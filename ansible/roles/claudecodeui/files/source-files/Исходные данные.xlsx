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24226"/>
  <bookViews>
    <workbookView xWindow="0" yWindow="0" windowWidth="28800" windowHeight="12225" tabRatio="949"/>
  </bookViews>
  <sheets>
    <sheet name="Импорт_Натур" sheetId="206" r:id="rId1"/>
    <sheet name="Импорт_Цены" sheetId="209" r:id="rId2"/>
    <sheet name="Я не сдал тест))" sheetId="210" state="hidden" r:id="rId3"/>
    <sheet name="Я не сдал тест)" sheetId="208" state="hidden" r:id="rId4"/>
  </sheets>
  <definedNames>
    <definedName name="_xlnm._FilterDatabase" localSheetId="0" hidden="1">Импорт_Натур!$B$3:$L$192</definedName>
    <definedName name="_xlnm._FilterDatabase" localSheetId="1" hidden="1">Импорт_Цены!$B$3:$G$192</definedName>
    <definedName name="VAT">#REF!</definedName>
    <definedName name="VATMSA">#REF!</definedName>
    <definedName name="WACC">#REF!</definedName>
  </definedNames>
  <calcPr calcId="162913" calcMode="autoNoTable"/>
</workbook>
</file>

<file path=xl/calcChain.xml><?xml version="1.0" encoding="utf-8"?>
<calcChain xmlns="http://schemas.openxmlformats.org/spreadsheetml/2006/main">
  <c r="D3" i="210" l="1"/>
  <c r="D4" i="210"/>
  <c r="D5" i="210"/>
  <c r="D6" i="210"/>
  <c r="D7" i="210"/>
  <c r="D8" i="210"/>
  <c r="D9" i="210"/>
  <c r="D10" i="210"/>
  <c r="D11" i="210"/>
  <c r="D12" i="210"/>
  <c r="D13" i="210"/>
  <c r="D14" i="210"/>
  <c r="D15" i="210"/>
  <c r="D16" i="210"/>
  <c r="D17" i="210"/>
  <c r="D18" i="210"/>
  <c r="D19" i="210"/>
  <c r="D20" i="210"/>
  <c r="D21" i="210"/>
  <c r="D22" i="210"/>
  <c r="D23" i="210"/>
  <c r="D24" i="210"/>
  <c r="D25" i="210"/>
  <c r="D26" i="210"/>
  <c r="D27" i="210"/>
  <c r="D28" i="210"/>
  <c r="D29" i="210"/>
  <c r="D30" i="210"/>
  <c r="D31" i="210"/>
  <c r="D32" i="210"/>
  <c r="D33" i="210"/>
  <c r="D34" i="210"/>
  <c r="D35" i="210"/>
  <c r="D36" i="210"/>
  <c r="D37" i="210"/>
  <c r="D38" i="210"/>
  <c r="D39" i="210"/>
  <c r="D40" i="210"/>
  <c r="D41" i="210"/>
  <c r="D42" i="210"/>
  <c r="D43" i="210"/>
  <c r="D44" i="210"/>
  <c r="D45" i="210"/>
  <c r="D46" i="210"/>
  <c r="D47" i="210"/>
  <c r="D48" i="210"/>
  <c r="D49" i="210"/>
  <c r="D50" i="210"/>
  <c r="D51" i="210"/>
  <c r="D52" i="210"/>
  <c r="D53" i="210"/>
  <c r="D54" i="210"/>
  <c r="D55" i="210"/>
  <c r="D56" i="210"/>
  <c r="D57" i="210"/>
  <c r="D58" i="210"/>
  <c r="D59" i="210"/>
  <c r="D60" i="210"/>
  <c r="D61" i="210"/>
  <c r="D62" i="210"/>
  <c r="D63" i="210"/>
  <c r="D64" i="210"/>
  <c r="D65" i="210"/>
  <c r="D66" i="210"/>
  <c r="D67" i="210"/>
  <c r="D68" i="210"/>
  <c r="D69" i="210"/>
  <c r="D70" i="210"/>
  <c r="D71" i="210"/>
  <c r="D72" i="210"/>
  <c r="D73" i="210"/>
  <c r="D74" i="210"/>
  <c r="D75" i="210"/>
  <c r="D76" i="210"/>
  <c r="D77" i="210"/>
  <c r="D78" i="210"/>
  <c r="D79" i="210"/>
  <c r="D80" i="210"/>
  <c r="D81" i="210"/>
  <c r="D82" i="210"/>
  <c r="D83" i="210"/>
  <c r="D84" i="210"/>
  <c r="D85" i="210"/>
  <c r="D86" i="210"/>
  <c r="D87" i="210"/>
  <c r="D88" i="210"/>
  <c r="D89" i="210"/>
  <c r="D90" i="210"/>
  <c r="D91" i="210"/>
  <c r="D92" i="210"/>
  <c r="D93" i="210"/>
  <c r="D94" i="210"/>
  <c r="D95" i="210"/>
  <c r="D96" i="210"/>
  <c r="D97" i="210"/>
  <c r="D98" i="210"/>
  <c r="D99" i="210"/>
  <c r="D100" i="210"/>
  <c r="D101" i="210"/>
  <c r="D102" i="210"/>
  <c r="D103" i="210"/>
  <c r="D104" i="210"/>
  <c r="D105" i="210"/>
  <c r="D106" i="210"/>
  <c r="D107" i="210"/>
  <c r="D108" i="210"/>
  <c r="D109" i="210"/>
  <c r="D110" i="210"/>
  <c r="D111" i="210"/>
  <c r="D112" i="210"/>
  <c r="D113" i="210"/>
  <c r="D114" i="210"/>
  <c r="D115" i="210"/>
  <c r="D116" i="210"/>
  <c r="D117" i="210"/>
  <c r="D118" i="210"/>
  <c r="D119" i="210"/>
  <c r="D120" i="210"/>
  <c r="D121" i="210"/>
  <c r="D122" i="210"/>
  <c r="D123" i="210"/>
  <c r="D124" i="210"/>
  <c r="D125" i="210"/>
  <c r="D126" i="210"/>
  <c r="D127" i="210"/>
  <c r="D128" i="210"/>
  <c r="D129" i="210"/>
  <c r="D130" i="210"/>
  <c r="D131" i="210"/>
  <c r="D132" i="210"/>
  <c r="D133" i="210"/>
  <c r="D134" i="210"/>
  <c r="D135" i="210"/>
  <c r="D136" i="210"/>
  <c r="D137" i="210"/>
  <c r="D138" i="210"/>
  <c r="D139" i="210"/>
  <c r="D140" i="210"/>
  <c r="D141" i="210"/>
  <c r="D142" i="210"/>
  <c r="D143" i="210"/>
  <c r="D144" i="210"/>
  <c r="D145" i="210"/>
  <c r="D146" i="210"/>
  <c r="D147" i="210"/>
  <c r="D148" i="210"/>
  <c r="D149" i="210"/>
  <c r="D150" i="210"/>
  <c r="D151" i="210"/>
  <c r="D152" i="210"/>
  <c r="D153" i="210"/>
  <c r="D154" i="210"/>
  <c r="D155" i="210"/>
  <c r="D156" i="210"/>
  <c r="D157" i="210"/>
  <c r="D158" i="210"/>
  <c r="D159" i="210"/>
  <c r="D160" i="210"/>
  <c r="D161" i="210"/>
  <c r="D162" i="210"/>
  <c r="D163" i="210"/>
  <c r="D164" i="210"/>
  <c r="D165" i="210"/>
  <c r="D166" i="210"/>
  <c r="D167" i="210"/>
  <c r="D168" i="210"/>
  <c r="D169" i="210"/>
  <c r="D170" i="210"/>
  <c r="D171" i="210"/>
  <c r="D172" i="210"/>
  <c r="D173" i="210"/>
  <c r="D174" i="210"/>
  <c r="D175" i="210"/>
  <c r="D176" i="210"/>
  <c r="D177" i="210"/>
  <c r="D178" i="210"/>
  <c r="D179" i="210"/>
  <c r="D180" i="210"/>
  <c r="D181" i="210"/>
  <c r="D182" i="210"/>
  <c r="D183" i="210"/>
  <c r="D184" i="210"/>
  <c r="D185" i="210"/>
  <c r="D186" i="210"/>
  <c r="D187" i="210"/>
  <c r="D188" i="210"/>
  <c r="D189" i="210"/>
  <c r="D190" i="210"/>
  <c r="D191" i="210"/>
  <c r="D2" i="210"/>
  <c r="I89" i="206"/>
  <c r="I88" i="206"/>
  <c r="I87" i="206"/>
  <c r="D7" i="208"/>
  <c r="D8" i="208"/>
  <c r="D9" i="208"/>
  <c r="D10" i="208"/>
  <c r="D11" i="208"/>
  <c r="D12" i="208"/>
  <c r="D13" i="208"/>
  <c r="D14" i="208"/>
  <c r="D15" i="208"/>
  <c r="D16" i="208"/>
  <c r="D17" i="208"/>
  <c r="D18" i="208"/>
  <c r="D19" i="208"/>
  <c r="D20" i="208"/>
  <c r="D21" i="208"/>
  <c r="D22" i="208"/>
  <c r="D23" i="208"/>
  <c r="D24" i="208"/>
  <c r="D25" i="208"/>
  <c r="D26" i="208"/>
  <c r="D27" i="208"/>
  <c r="D28" i="208"/>
  <c r="D29" i="208"/>
  <c r="D30" i="208"/>
  <c r="D31" i="208"/>
  <c r="D32" i="208"/>
  <c r="D33" i="208"/>
  <c r="D34" i="208"/>
  <c r="D35" i="208"/>
  <c r="D36" i="208"/>
  <c r="D37" i="208"/>
  <c r="D38" i="208"/>
  <c r="D39" i="208"/>
  <c r="D40" i="208"/>
  <c r="D41" i="208"/>
  <c r="D42" i="208"/>
  <c r="D43" i="208"/>
  <c r="D44" i="208"/>
  <c r="D45" i="208"/>
  <c r="D46" i="208"/>
  <c r="D47" i="208"/>
  <c r="D48" i="208"/>
  <c r="D49" i="208"/>
  <c r="D50" i="208"/>
  <c r="D51" i="208"/>
  <c r="D52" i="208"/>
  <c r="D53" i="208"/>
  <c r="D54" i="208"/>
  <c r="D55" i="208"/>
  <c r="D56" i="208"/>
  <c r="D57" i="208"/>
  <c r="D58" i="208"/>
  <c r="D59" i="208"/>
  <c r="D60" i="208"/>
  <c r="D61" i="208"/>
  <c r="D62" i="208"/>
  <c r="D63" i="208"/>
  <c r="D64" i="208"/>
  <c r="D65" i="208"/>
  <c r="D66" i="208"/>
  <c r="D67" i="208"/>
  <c r="D68" i="208"/>
  <c r="D69" i="208"/>
  <c r="D70" i="208"/>
  <c r="D71" i="208"/>
  <c r="D72" i="208"/>
  <c r="D73" i="208"/>
  <c r="D74" i="208"/>
  <c r="D75" i="208"/>
  <c r="D76" i="208"/>
  <c r="D77" i="208"/>
  <c r="D78" i="208"/>
  <c r="D79" i="208"/>
  <c r="D80" i="208"/>
  <c r="D81" i="208"/>
  <c r="D82" i="208"/>
  <c r="D83" i="208"/>
  <c r="D84" i="208"/>
  <c r="D85" i="208"/>
  <c r="D86" i="208"/>
  <c r="D87" i="208"/>
  <c r="D88" i="208"/>
  <c r="D89" i="208"/>
  <c r="D90" i="208"/>
  <c r="D91" i="208"/>
  <c r="D92" i="208"/>
  <c r="D93" i="208"/>
  <c r="D94" i="208"/>
  <c r="D95" i="208"/>
  <c r="D96" i="208"/>
  <c r="D97" i="208"/>
  <c r="D98" i="208"/>
  <c r="D99" i="208"/>
  <c r="D100" i="208"/>
  <c r="D101" i="208"/>
  <c r="D102" i="208"/>
  <c r="D103" i="208"/>
  <c r="D104" i="208"/>
  <c r="D105" i="208"/>
  <c r="D106" i="208"/>
  <c r="D107" i="208"/>
  <c r="D108" i="208"/>
  <c r="D109" i="208"/>
  <c r="D110" i="208"/>
  <c r="D111" i="208"/>
  <c r="D112" i="208"/>
  <c r="D113" i="208"/>
  <c r="D114" i="208"/>
  <c r="D115" i="208"/>
  <c r="D116" i="208"/>
  <c r="D117" i="208"/>
  <c r="D118" i="208"/>
  <c r="D119" i="208"/>
  <c r="D120" i="208"/>
  <c r="D121" i="208"/>
  <c r="D122" i="208"/>
  <c r="D123" i="208"/>
  <c r="D124" i="208"/>
  <c r="D125" i="208"/>
  <c r="D126" i="208"/>
  <c r="D127" i="208"/>
  <c r="D128" i="208"/>
  <c r="D129" i="208"/>
  <c r="D130" i="208"/>
  <c r="D131" i="208"/>
  <c r="D132" i="208"/>
  <c r="D133" i="208"/>
  <c r="D134" i="208"/>
  <c r="D135" i="208"/>
  <c r="D136" i="208"/>
  <c r="D137" i="208"/>
  <c r="D138" i="208"/>
  <c r="D139" i="208"/>
  <c r="D140" i="208"/>
  <c r="D141" i="208"/>
  <c r="D142" i="208"/>
  <c r="D143" i="208"/>
  <c r="D144" i="208"/>
  <c r="D145" i="208"/>
  <c r="D146" i="208"/>
  <c r="D147" i="208"/>
  <c r="D148" i="208"/>
  <c r="D149" i="208"/>
  <c r="D150" i="208"/>
  <c r="D151" i="208"/>
  <c r="D152" i="208"/>
  <c r="D153" i="208"/>
  <c r="D154" i="208"/>
  <c r="D155" i="208"/>
  <c r="D156" i="208"/>
  <c r="D157" i="208"/>
  <c r="D158" i="208"/>
  <c r="D159" i="208"/>
  <c r="D160" i="208"/>
  <c r="D161" i="208"/>
  <c r="D162" i="208"/>
  <c r="D163" i="208"/>
  <c r="D164" i="208"/>
  <c r="D165" i="208"/>
  <c r="D166" i="208"/>
  <c r="D167" i="208"/>
  <c r="D168" i="208"/>
  <c r="D169" i="208"/>
  <c r="D170" i="208"/>
  <c r="D171" i="208"/>
  <c r="D172" i="208"/>
  <c r="D173" i="208"/>
  <c r="D174" i="208"/>
  <c r="D175" i="208"/>
  <c r="D176" i="208"/>
  <c r="D177" i="208"/>
  <c r="D178" i="208"/>
  <c r="D179" i="208"/>
  <c r="D180" i="208"/>
  <c r="D181" i="208"/>
  <c r="D182" i="208"/>
  <c r="D183" i="208"/>
  <c r="D184" i="208"/>
  <c r="D185" i="208"/>
  <c r="D186" i="208"/>
  <c r="D187" i="208"/>
  <c r="D188" i="208"/>
  <c r="D189" i="208"/>
  <c r="D190" i="208"/>
  <c r="D191" i="208"/>
  <c r="D192" i="208"/>
  <c r="D193" i="208"/>
  <c r="D194" i="208"/>
  <c r="D6" i="208"/>
</calcChain>
</file>

<file path=xl/sharedStrings.xml><?xml version="1.0" encoding="utf-8"?>
<sst xmlns="http://schemas.openxmlformats.org/spreadsheetml/2006/main" count="1339" uniqueCount="199">
  <si>
    <t>Importers</t>
  </si>
  <si>
    <t>Imported quantity</t>
  </si>
  <si>
    <t>Unit</t>
  </si>
  <si>
    <t>United States of America</t>
  </si>
  <si>
    <t>Units</t>
  </si>
  <si>
    <t>Australia</t>
  </si>
  <si>
    <t>Canada</t>
  </si>
  <si>
    <t>Maldives</t>
  </si>
  <si>
    <t>Tajikistan</t>
  </si>
  <si>
    <t>Germany</t>
  </si>
  <si>
    <t>United Kingdom</t>
  </si>
  <si>
    <t>Saudi Arabia</t>
  </si>
  <si>
    <t>Italy</t>
  </si>
  <si>
    <t>Poland</t>
  </si>
  <si>
    <t>France</t>
  </si>
  <si>
    <t>Russian Federation</t>
  </si>
  <si>
    <t>Spain</t>
  </si>
  <si>
    <t>Kazakhstan</t>
  </si>
  <si>
    <t>Switzerland</t>
  </si>
  <si>
    <t>Czech Republic</t>
  </si>
  <si>
    <t>Romania</t>
  </si>
  <si>
    <t>Norway</t>
  </si>
  <si>
    <t>Belgium</t>
  </si>
  <si>
    <t>United Arab Emirates</t>
  </si>
  <si>
    <t>Qatar</t>
  </si>
  <si>
    <t>Sweden</t>
  </si>
  <si>
    <t>Ireland</t>
  </si>
  <si>
    <t>Slovakia</t>
  </si>
  <si>
    <t>Chile</t>
  </si>
  <si>
    <t>Denmark</t>
  </si>
  <si>
    <t>Portugal</t>
  </si>
  <si>
    <t>El Salvador</t>
  </si>
  <si>
    <t>Finland</t>
  </si>
  <si>
    <t>Austria</t>
  </si>
  <si>
    <t>Lithuania</t>
  </si>
  <si>
    <t>Thailand</t>
  </si>
  <si>
    <t>Kuwait</t>
  </si>
  <si>
    <t>Japan</t>
  </si>
  <si>
    <t>Latvia</t>
  </si>
  <si>
    <t>Kyrgyzstan</t>
  </si>
  <si>
    <t>Korea, Republic of</t>
  </si>
  <si>
    <t>Greece</t>
  </si>
  <si>
    <t>South Africa</t>
  </si>
  <si>
    <t>Malaysia</t>
  </si>
  <si>
    <t>Georgia</t>
  </si>
  <si>
    <t>Serbia</t>
  </si>
  <si>
    <t>Dominican Republic</t>
  </si>
  <si>
    <t>Croatia</t>
  </si>
  <si>
    <t>Iraq</t>
  </si>
  <si>
    <t>Peru</t>
  </si>
  <si>
    <t>Oman</t>
  </si>
  <si>
    <t>Slovenia</t>
  </si>
  <si>
    <t>Hungary</t>
  </si>
  <si>
    <t>Bulgaria</t>
  </si>
  <si>
    <t>Estonia</t>
  </si>
  <si>
    <t>Brazil</t>
  </si>
  <si>
    <t>Egypt</t>
  </si>
  <si>
    <t>Bahrain</t>
  </si>
  <si>
    <t>Türkiye</t>
  </si>
  <si>
    <t>Panama</t>
  </si>
  <si>
    <t>Azerbaijan</t>
  </si>
  <si>
    <t>Bosnia and Herzegovina</t>
  </si>
  <si>
    <t>Moldova, Republic of</t>
  </si>
  <si>
    <t>Luxembourg</t>
  </si>
  <si>
    <t>Viet Nam</t>
  </si>
  <si>
    <t>Singapore</t>
  </si>
  <si>
    <t>Nicaragua</t>
  </si>
  <si>
    <t>Belarus</t>
  </si>
  <si>
    <t>Albania</t>
  </si>
  <si>
    <t>Cyprus</t>
  </si>
  <si>
    <t>Algeria</t>
  </si>
  <si>
    <t>Mongolia</t>
  </si>
  <si>
    <t>China</t>
  </si>
  <si>
    <t>New Zealand</t>
  </si>
  <si>
    <t>Paraguay</t>
  </si>
  <si>
    <t>Argentina</t>
  </si>
  <si>
    <t>Hong Kong, China</t>
  </si>
  <si>
    <t>Uruguay</t>
  </si>
  <si>
    <t>Montenegro</t>
  </si>
  <si>
    <t>Ukraine</t>
  </si>
  <si>
    <t>Côte d'Ivoire</t>
  </si>
  <si>
    <t>Macedonia, North</t>
  </si>
  <si>
    <t>Botswana</t>
  </si>
  <si>
    <t>Jamaica</t>
  </si>
  <si>
    <t>Taipei, Chinese</t>
  </si>
  <si>
    <t>Pakistan</t>
  </si>
  <si>
    <t>Macao, China</t>
  </si>
  <si>
    <t>Jordan</t>
  </si>
  <si>
    <t>Angola</t>
  </si>
  <si>
    <t>Cameroon</t>
  </si>
  <si>
    <t>Colombia</t>
  </si>
  <si>
    <t>Cuba</t>
  </si>
  <si>
    <t>Costa Rica</t>
  </si>
  <si>
    <t>Trinidad and Tobago</t>
  </si>
  <si>
    <t>Eswatini</t>
  </si>
  <si>
    <t>Curaçao</t>
  </si>
  <si>
    <t>Ghana</t>
  </si>
  <si>
    <t>Seychelles</t>
  </si>
  <si>
    <t>Bahamas</t>
  </si>
  <si>
    <t>Armenia</t>
  </si>
  <si>
    <t>Cambodia</t>
  </si>
  <si>
    <t>Timor-Leste</t>
  </si>
  <si>
    <t>Malta</t>
  </si>
  <si>
    <t>Aruba</t>
  </si>
  <si>
    <t>Indonesia</t>
  </si>
  <si>
    <t>Namibia</t>
  </si>
  <si>
    <t>Afghanistan</t>
  </si>
  <si>
    <t>Sri Lanka</t>
  </si>
  <si>
    <t>Lesotho</t>
  </si>
  <si>
    <t>Tunisia</t>
  </si>
  <si>
    <t>Saint Lucia</t>
  </si>
  <si>
    <t>Iran, Islamic Republic of</t>
  </si>
  <si>
    <t>Uzbekistan</t>
  </si>
  <si>
    <t>Iceland</t>
  </si>
  <si>
    <t>Libya, State of</t>
  </si>
  <si>
    <t>United States Minor Outlying Islands</t>
  </si>
  <si>
    <t>Saint Kitts and Nevis</t>
  </si>
  <si>
    <t>Grenada</t>
  </si>
  <si>
    <t>Mauritius</t>
  </si>
  <si>
    <t>Cayman Islands</t>
  </si>
  <si>
    <t>Faroe Islands</t>
  </si>
  <si>
    <t>Bangladesh</t>
  </si>
  <si>
    <t>Bermuda</t>
  </si>
  <si>
    <t>Barbados</t>
  </si>
  <si>
    <t>Yemen</t>
  </si>
  <si>
    <t>Gabon</t>
  </si>
  <si>
    <t>Morocco</t>
  </si>
  <si>
    <t>Greenland</t>
  </si>
  <si>
    <t>Lebanon</t>
  </si>
  <si>
    <t>Zimbabwe</t>
  </si>
  <si>
    <t>Turkmenistan</t>
  </si>
  <si>
    <t>Zambia</t>
  </si>
  <si>
    <t>French Polynesia</t>
  </si>
  <si>
    <t>Antigua and Barbuda</t>
  </si>
  <si>
    <t>Cabo Verde</t>
  </si>
  <si>
    <t>Gibraltar</t>
  </si>
  <si>
    <t>Guinea</t>
  </si>
  <si>
    <t>Ship stores and bunkers</t>
  </si>
  <si>
    <t>Rwanda</t>
  </si>
  <si>
    <t>South Sudan</t>
  </si>
  <si>
    <t>Israel</t>
  </si>
  <si>
    <t>Mali</t>
  </si>
  <si>
    <t>Sint Maarten (Dutch part)</t>
  </si>
  <si>
    <t>Northern Mariana Islands</t>
  </si>
  <si>
    <t>Brunei Darussalam</t>
  </si>
  <si>
    <t>Andorra</t>
  </si>
  <si>
    <t>Bhutan</t>
  </si>
  <si>
    <t>Ethiopia</t>
  </si>
  <si>
    <t>Fiji</t>
  </si>
  <si>
    <t>Congo, Democratic Republic of the</t>
  </si>
  <si>
    <t>Ecuador</t>
  </si>
  <si>
    <t>Benin</t>
  </si>
  <si>
    <t>Nepal</t>
  </si>
  <si>
    <t>Honduras</t>
  </si>
  <si>
    <t>Liberia</t>
  </si>
  <si>
    <t>Anguilla</t>
  </si>
  <si>
    <t>Sierra Leone</t>
  </si>
  <si>
    <t>India</t>
  </si>
  <si>
    <t>Tanzania, United Republic of</t>
  </si>
  <si>
    <t>Uganda</t>
  </si>
  <si>
    <t>Suriname</t>
  </si>
  <si>
    <t>Togo</t>
  </si>
  <si>
    <t>Malawi</t>
  </si>
  <si>
    <t>Guyana</t>
  </si>
  <si>
    <t>Guam</t>
  </si>
  <si>
    <t>Guatemala</t>
  </si>
  <si>
    <t>Netherlands</t>
  </si>
  <si>
    <t>Mozambique</t>
  </si>
  <si>
    <t>Nigeria</t>
  </si>
  <si>
    <t>Philippines</t>
  </si>
  <si>
    <t>Papua New Guinea</t>
  </si>
  <si>
    <t>Equatorial Guinea</t>
  </si>
  <si>
    <t>Cook Islands</t>
  </si>
  <si>
    <t>Falkland Islands (Malvinas)</t>
  </si>
  <si>
    <t>Gambia</t>
  </si>
  <si>
    <t>Bolivia, Plurinational State of</t>
  </si>
  <si>
    <t>Belize</t>
  </si>
  <si>
    <t>Myanmar</t>
  </si>
  <si>
    <t>Burundi</t>
  </si>
  <si>
    <t>British Virgin Islands</t>
  </si>
  <si>
    <t>Kiribati</t>
  </si>
  <si>
    <t>French Southern and Antarctic Territories</t>
  </si>
  <si>
    <t>Djibouti</t>
  </si>
  <si>
    <t>Dominica</t>
  </si>
  <si>
    <t>Bonaire, Sint Eustatius and Saba</t>
  </si>
  <si>
    <t>New Caledonia</t>
  </si>
  <si>
    <t>Lao People's Democratic Republic</t>
  </si>
  <si>
    <t>Korea, Democratic People's Republic of</t>
  </si>
  <si>
    <t>Tokelau</t>
  </si>
  <si>
    <t>Sudan</t>
  </si>
  <si>
    <t>Somalia</t>
  </si>
  <si>
    <t>Saint Vincent and the Grenadines</t>
  </si>
  <si>
    <t>Venezuela, Bolivarian Republic of</t>
  </si>
  <si>
    <t>Kilogram</t>
  </si>
  <si>
    <t>кг/шт.</t>
  </si>
  <si>
    <t>Нужно посчитать в штуках</t>
  </si>
  <si>
    <t>Вес 1 штуки</t>
  </si>
  <si>
    <t>Импорт в натуральном выражении</t>
  </si>
  <si>
    <t>Цены импорта - долл./шт.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</si>
</sst>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1">
    <numFmt numFmtId="41" formatCode="_-* #,##0_-;\-* #,##0_-;_-* &quot;-&quot;_-;_-@_-"/>
    <numFmt numFmtId="43" formatCode="_-* #,##0.00_-;\-* #,##0.00_-;_-* &quot;-&quot;??_-;_-@_-"/>
    <numFmt numFmtId="164" formatCode="_-* #,##0.00\ _₽_-;\-* #,##0.00\ _₽_-;_-* &quot;-&quot;??\ _₽_-;_-@_-"/>
    <numFmt numFmtId="165" formatCode="00\ 00\ 00"/>
    <numFmt numFmtId="166" formatCode="_-* #,##0.00_р_._-;\-* #,##0.00_р_._-;_-* &quot;-&quot;??_р_._-;_-@_-"/>
    <numFmt numFmtId="167" formatCode="#,##0.0"/>
    <numFmt numFmtId="168" formatCode="#,##0_);\(#,##0\);&quot;-&quot;_)"/>
    <numFmt numFmtId="169" formatCode="0.0"/>
    <numFmt numFmtId="170" formatCode="0.0%"/>
    <numFmt numFmtId="171" formatCode="#,##0;\(#,##0\);\-"/>
    <numFmt numFmtId="172" formatCode="_-* #,##0.00\ [$DM-407]_-;\-* #,##0.00\ [$DM-407]_-;_-* \-??\ [$DM-407]_-;_-@_-"/>
    <numFmt numFmtId="173" formatCode="#,##0\ ;\ \(#,##0\)"/>
    <numFmt numFmtId="174" formatCode="_(* #,##0_);_(* \(#,##0\);_(* &quot;-&quot;_);_(@_)"/>
    <numFmt numFmtId="175" formatCode="%#.00"/>
    <numFmt numFmtId="176" formatCode="&quot;р.&quot;&quot; &quot;#,##0.000_);\(&quot;р.&quot;&quot; &quot;#,##0.000\);\-\ "/>
    <numFmt numFmtId="177" formatCode="#,##0.0_);\(#,##0.0\)"/>
    <numFmt numFmtId="178" formatCode="_(* #,##0.00_);_(* \(#,##0.00\);_(* &quot;-&quot;_);_(@_)"/>
    <numFmt numFmtId="179" formatCode="\t0.00%"/>
    <numFmt numFmtId="180" formatCode="#,##0.0;\(#,##0.0\)"/>
    <numFmt numFmtId="181" formatCode="#,##0.0;\(#,##0.0\);0.0"/>
    <numFmt numFmtId="182" formatCode="_(* #,##0.0_);_(* \(#,##0.0\)"/>
    <numFmt numFmtId="183" formatCode="#,##0.0_);[Red]\(#,##0.0\)"/>
    <numFmt numFmtId="184" formatCode="\t#\ ??/??"/>
    <numFmt numFmtId="185" formatCode="mmm/dd/yyyy;_-\ &quot;N/A&quot;_-;_-\ &quot;-&quot;_-"/>
    <numFmt numFmtId="186" formatCode="0.0_)\%;\(0.0\)\%"/>
    <numFmt numFmtId="187" formatCode="#,##0_);[Red]\(#,##0\);\-_)"/>
    <numFmt numFmtId="188" formatCode="[Magenta]\ &quot;Ошибка&quot;;[Magenta]\ &quot;Ошибка&quot;;[Blue]\ &quot;OK&quot;"/>
    <numFmt numFmtId="189" formatCode="_-#,##0_-;[Red]\(#,##0\);_-\ \ &quot;-&quot;_-;_-@_-"/>
    <numFmt numFmtId="190" formatCode="_-#,##0.00_-;\(#,##0.00\);_-\ \ &quot;-&quot;_-;_-@_-"/>
    <numFmt numFmtId="191" formatCode="mmm/yyyy;_-\ &quot;N/A&quot;_-;_-\ &quot;-&quot;_-"/>
    <numFmt numFmtId="192" formatCode="_-#,##0%_-;\(#,##0%\);_-\ &quot;-&quot;_-"/>
    <numFmt numFmtId="193" formatCode="_-#,###,_-;\(#,###,\);_-\ \ &quot;-&quot;_-;_-@_-"/>
    <numFmt numFmtId="194" formatCode="_-#,###.00,_-;\(#,###.00,\);_-\ \ &quot;-&quot;_-;_-@_-"/>
    <numFmt numFmtId="195" formatCode="_-#0&quot;.&quot;0,_-;\(#0&quot;.&quot;0,\);_-\ \ &quot;-&quot;_-;_-@_-"/>
    <numFmt numFmtId="196" formatCode="_-#0&quot;.&quot;0000_-;\(#0&quot;.&quot;0000\);_-\ \ &quot;-&quot;_-;_-@_-"/>
    <numFmt numFmtId="197" formatCode="#,##0.00_);\(#,##0.00\);\-_)"/>
    <numFmt numFmtId="198" formatCode="#.00"/>
    <numFmt numFmtId="199" formatCode="&quot;$&quot;#.00"/>
    <numFmt numFmtId="200" formatCode="0.00%_);\(0.00%\);\-_)"/>
    <numFmt numFmtId="201" formatCode="\£\ #,##0_);[Red]\(\£\ #,##0\)"/>
    <numFmt numFmtId="202" formatCode="\¥\ #,##0_);[Red]\(\¥\ #,##0\)"/>
    <numFmt numFmtId="203" formatCode="#."/>
    <numFmt numFmtId="204" formatCode="#,##0;\(#,##0\);&quot;-&quot;"/>
    <numFmt numFmtId="205" formatCode="#,##0&quot;р.&quot;;[Red]\-#,##0&quot;р.&quot;"/>
    <numFmt numFmtId="206" formatCode="_-* #,##0_)_-;\-* \(#,##0\)_-;_-* &quot;-&quot;_)_-;_-@_-"/>
    <numFmt numFmtId="207" formatCode="\$#,##0_);[Red]&quot;($&quot;#,##0\)"/>
    <numFmt numFmtId="208" formatCode="0.00;[Red]0.00"/>
    <numFmt numFmtId="209" formatCode="0_)"/>
    <numFmt numFmtId="210" formatCode="0.0%;\-0%"/>
    <numFmt numFmtId="211" formatCode="0.00;0;"/>
    <numFmt numFmtId="212" formatCode="@\ *."/>
    <numFmt numFmtId="213" formatCode="_-* #,##0\ &quot;руб&quot;_-;\-* #,##0\ &quot;руб&quot;_-;_-* &quot;-&quot;\ &quot;руб&quot;_-;_-@_-"/>
    <numFmt numFmtId="214" formatCode="0.000"/>
    <numFmt numFmtId="215" formatCode="0.00&quot;x&quot;"/>
    <numFmt numFmtId="216" formatCode="0.0&quot;x&quot;"/>
    <numFmt numFmtId="217" formatCode="###\ ###\ ##0;[Red]\-###\ ###\ ##0"/>
    <numFmt numFmtId="218" formatCode="#,##0;\(#,##0\)"/>
    <numFmt numFmtId="219" formatCode="_(* #,##0_);_(* \(#,##0\);_(* &quot;-&quot;??_);_(@_)"/>
    <numFmt numFmtId="220" formatCode="0.0%_);\(0.0%\);\-_)"/>
    <numFmt numFmtId="221" formatCode="_-* #,##0\ &quot;Sk&quot;_-;\-* #,##0\ &quot;Sk&quot;_-;_-* &quot;-&quot;\ &quot;Sk&quot;_-;_-@_-"/>
    <numFmt numFmtId="222" formatCode="#,##0.00_);\(#,##0.00\);\-\ "/>
    <numFmt numFmtId="223" formatCode="0.0%_);\(0.0%\);\ &quot;-&quot;_-;_-@_-"/>
    <numFmt numFmtId="224" formatCode="0&quot;A&quot;"/>
    <numFmt numFmtId="225" formatCode="0&quot;E&quot;"/>
    <numFmt numFmtId="226" formatCode="0&quot;F&quot;"/>
    <numFmt numFmtId="227" formatCode="_-* #,##0.00[$€-1]_-;\-* #,##0.00[$€-1]_-;_-* &quot;-&quot;??[$€-1]_-"/>
    <numFmt numFmtId="228" formatCode="0.00\ ;\(0.00\)"/>
    <numFmt numFmtId="229" formatCode="#,##0.00;\(#,##0.00\)"/>
    <numFmt numFmtId="230" formatCode="000000"/>
    <numFmt numFmtId="231" formatCode="_-* #,##0.00&quot; Pts&quot;_-;\-* #,##0.00&quot; Pts&quot;_-;_-* \-??&quot; Pts&quot;_-;_-@_-"/>
    <numFmt numFmtId="232" formatCode="0.0000000000000"/>
    <numFmt numFmtId="233" formatCode="_(&quot;$&quot;* #,##0_);_(&quot;$&quot;* \(#,##0\);_(&quot;$&quot;* &quot;-&quot;_);_(@_)"/>
    <numFmt numFmtId="234" formatCode="_(&quot;$&quot;* #,##0.00_);_(&quot;$&quot;* \(#,##0.00\);_(&quot;$&quot;* &quot;-&quot;??_);_(@_)"/>
    <numFmt numFmtId="235" formatCode="###\ ##\ ##"/>
    <numFmt numFmtId="236" formatCode="0_);\(0\)"/>
    <numFmt numFmtId="237" formatCode="_(* #,##0.0_);_(* \(#,##0.0\);_(* &quot;--- &quot;_)"/>
    <numFmt numFmtId="238" formatCode="#,##0;[Red]#,##0"/>
    <numFmt numFmtId="239" formatCode="&quot;\&quot;#,##0;[Red]\-&quot;\&quot;#,##0"/>
    <numFmt numFmtId="240" formatCode="0.0_)"/>
    <numFmt numFmtId="241" formatCode="0.0%_);\(0.0%\)"/>
    <numFmt numFmtId="242" formatCode="\£#,##0_);\(\£#,##0\)"/>
    <numFmt numFmtId="243" formatCode="#,##0_);[Red]\(#,##0\);&quot;-&quot;_);@"/>
    <numFmt numFmtId="244" formatCode="#,##0.0_);[Red]\(#,##0.0\);&quot;-&quot;_);[Blue]&quot;Error-&quot;@"/>
    <numFmt numFmtId="245" formatCode="#,##0.00_);[Red]\(#,##0.00\);&quot;-&quot;_);[Blue]&quot;Error-&quot;@"/>
    <numFmt numFmtId="246" formatCode="#,##0_);[Red]\(#,##0\);&quot;-&quot;_);[Blue]&quot;Error-&quot;@"/>
    <numFmt numFmtId="247" formatCode="&quot;£&quot;* #,##0,_);[Red]&quot;£&quot;* \(#,##0,\);&quot;£&quot;* &quot;-&quot;_);[Blue]&quot;Error-&quot;@"/>
    <numFmt numFmtId="248" formatCode="0.0000000"/>
    <numFmt numFmtId="249" formatCode="General_)"/>
    <numFmt numFmtId="250" formatCode="&quot;£&quot;* #,##0.0,_);[Red]&quot;£&quot;* \(#,##0.0,\);&quot;£&quot;* &quot;-&quot;_);[Blue]&quot;Error-&quot;@"/>
    <numFmt numFmtId="251" formatCode="&quot;£&quot;* #,##0.00,_);[Red]&quot;£&quot;* \(#,##0.00,\);&quot;£&quot;* &quot;-&quot;_);[Blue]&quot;Error-&quot;@"/>
    <numFmt numFmtId="252" formatCode="dd\ mmm\ yyyy_)"/>
    <numFmt numFmtId="253" formatCode="dd/mm/yy_)"/>
    <numFmt numFmtId="254" formatCode="0%_);[Red]\-0%_);0%_);[Blue]&quot;Error-&quot;@"/>
    <numFmt numFmtId="255" formatCode="0.000000000"/>
    <numFmt numFmtId="256" formatCode="0.0000000000"/>
    <numFmt numFmtId="257" formatCode="0.0%_);[Red]\-0.0%_);0.0%_);[Blue]&quot;Error-&quot;@"/>
    <numFmt numFmtId="258" formatCode="yyyy&quot;E&quot;"/>
    <numFmt numFmtId="259" formatCode="0.00000000000"/>
    <numFmt numFmtId="260" formatCode="0000"/>
    <numFmt numFmtId="261" formatCode="_-* #,##0\ _р_._-;\-* #,##0\ _р_._-;_-* &quot;-&quot;\ _р_._-;_-@_-"/>
    <numFmt numFmtId="262" formatCode="#,##0.00_);\(#,##0.00\);@_)"/>
    <numFmt numFmtId="263" formatCode="#,##0.000_);\(#,##0.000\);@_)"/>
    <numFmt numFmtId="264" formatCode="* \(#,##0\);* #,##0_);&quot;-&quot;??_);@"/>
    <numFmt numFmtId="265" formatCode="0.00_);\(0.00\);0.00"/>
    <numFmt numFmtId="266" formatCode="_(* #,##0.00_);[Red]_(* \(#,##0.00\);_(* &quot;-&quot;??_);_(@_)"/>
    <numFmt numFmtId="267" formatCode="_(&quot;$&quot;* #,##0.00_);_(&quot;$&quot;* \(#,##0.00\);@_)"/>
    <numFmt numFmtId="268" formatCode="_(&quot;$&quot;* #,##0.000_);_(&quot;$&quot;* \(#,##0.000\);@_)"/>
    <numFmt numFmtId="269" formatCode="&quot;$&quot;#,##0.00_);[Red]\(&quot;$&quot;#,##0.00\)"/>
    <numFmt numFmtId="270" formatCode="&quot;$&quot;#,##0\ ;\(&quot;$&quot;#,##0\)"/>
    <numFmt numFmtId="271" formatCode="000"/>
    <numFmt numFmtId="272" formatCode="dd\.mm\.yyyy&quot;г.&quot;"/>
    <numFmt numFmtId="273" formatCode="dd\ mmm\ yyyy"/>
    <numFmt numFmtId="274" formatCode="* #,##0_);* \(#,##0\);&quot;-&quot;??_);@"/>
    <numFmt numFmtId="275" formatCode="&quot;XXXXXX-XXX&quot;"/>
    <numFmt numFmtId="276" formatCode="#,##0_);\(#,##0\);&quot;- &quot;;&quot;  &quot;@"/>
    <numFmt numFmtId="277" formatCode="_(* #,##0.00_);_(* \(#,##0.00\);_(* &quot;-&quot;??_);_(@_)"/>
    <numFmt numFmtId="278" formatCode="ddd\ dd\ mmm"/>
    <numFmt numFmtId="279" formatCode="_-* #,##0\ _F_B_-;\-* #,##0\ _F_B_-;_-* &quot;-&quot;\ _F_B_-;_-@_-"/>
    <numFmt numFmtId="280" formatCode="_-* #,##0.00\ _F_B_-;\-* #,##0.00\ _F_B_-;_-* &quot;-&quot;??\ _F_B_-;_-@_-"/>
    <numFmt numFmtId="281" formatCode="#,##0;\(#,##0\);\-_)"/>
    <numFmt numFmtId="282" formatCode="#,##0.0_);\(#,##0.0\);\-_)"/>
    <numFmt numFmtId="283" formatCode="0\ \ \ \ \ "/>
    <numFmt numFmtId="284" formatCode="&quot;₽&quot;"/>
    <numFmt numFmtId="285" formatCode="0.00_);\(0.00\);0.00_)"/>
    <numFmt numFmtId="286" formatCode="#,##0.00_ ;[Red]\(#,##0.00&quot;) &quot;"/>
    <numFmt numFmtId="287" formatCode="_-* #,##0_-;_-* #,##0\-;_-* &quot;-&quot;_-;_-@_-"/>
    <numFmt numFmtId="288" formatCode="_-* #,##0.00_-;_-* #,##0.00\-;_-* &quot;-&quot;??_-;_-@_-"/>
    <numFmt numFmtId="289" formatCode="_-* #,##0\ _P_t_s_-;\-* #,##0\ _P_t_s_-;_-* &quot;- &quot;_P_t_s_-;_-@_-"/>
    <numFmt numFmtId="290" formatCode="_-* #,##0.00\ _P_t_s_-;\-* #,##0.00\ _P_t_s_-;_-* \-??\ _P_t_s_-;_-@_-"/>
    <numFmt numFmtId="291" formatCode="_-* #,##0\ _$_-;\-* #,##0\ _$_-;_-* &quot;-&quot;\ _$_-;_-@_-"/>
    <numFmt numFmtId="292" formatCode="0.0&quot;, &quot;_);\(0.0&quot;, )&quot;;\-_0_)"/>
    <numFmt numFmtId="293" formatCode="#,##0__\ \ \ \ "/>
    <numFmt numFmtId="294" formatCode="_-* #,##0&quot; Pts&quot;_-;\-* #,##0&quot; Pts&quot;_-;_-* &quot;- Pts&quot;_-;_-@_-"/>
    <numFmt numFmtId="295" formatCode="_-* #,##0\ &quot;F&quot;_-;\-* #,##0\ &quot;F&quot;_-;_-* &quot;-&quot;\ &quot;F&quot;_-;_-@_-"/>
    <numFmt numFmtId="296" formatCode="_-* #,##0.00\ &quot;F&quot;_-;\-* #,##0.00\ &quot;F&quot;_-;_-* &quot;-&quot;??\ &quot;F&quot;_-;_-@_-"/>
    <numFmt numFmtId="297" formatCode="0.0\ \x;&quot;NM &quot;"/>
    <numFmt numFmtId="298" formatCode="&quot;$&quot;#,##0.0_);\(&quot;$&quot;#,##0.0\)"/>
    <numFmt numFmtId="299" formatCode="0.00\x"/>
    <numFmt numFmtId="300" formatCode="#,##0.00_)\x;\(#,##0.00\)\x;@_)"/>
    <numFmt numFmtId="301" formatCode="#,##0.000_)\x;\(#,##0.000\)\x;@_)"/>
    <numFmt numFmtId="302" formatCode="0.0&quot;x&quot;;&quot;nm&quot;;\-_x"/>
    <numFmt numFmtId="303" formatCode="0.00&quot;x&quot;;&quot;nm&quot;;\-_x"/>
    <numFmt numFmtId="304" formatCode="0.0\x"/>
    <numFmt numFmtId="305" formatCode="_-* #,##0.00\ &quot;Sk&quot;_-;\-* #,##0.00\ &quot;Sk&quot;_-;_-* &quot;-&quot;??\ &quot;Sk&quot;_-;_-@_-"/>
    <numFmt numFmtId="306" formatCode="#,##0_);\(#,##0\);&quot;-  &quot;"/>
    <numFmt numFmtId="307" formatCode="#,##0.0_);\(#,##0.0\);&quot;-  &quot;"/>
    <numFmt numFmtId="308" formatCode="_(* #,##0.0_);_(* \(#,##0.0\);_(* &quot;-&quot;?_);_(@_)"/>
    <numFmt numFmtId="309" formatCode="#,##0_);[Red]\(#,##0\);&quot;-----&quot;"/>
    <numFmt numFmtId="310" formatCode="#,##0.00_);[Red]\(#,##0.00\);&quot;-----&quot;"/>
    <numFmt numFmtId="311" formatCode="_-* #,##0_р_._-;\-* #,##0_р_._-;_-* &quot;-&quot;_р_._-;_-@_-"/>
    <numFmt numFmtId="312" formatCode="_-* #,##0\ &quot;FB&quot;_-;\-* #,##0\ &quot;FB&quot;_-;_-* &quot;-&quot;\ &quot;FB&quot;_-;_-@_-"/>
    <numFmt numFmtId="313" formatCode="_-* #,##0.00\ &quot;FB&quot;_-;\-* #,##0.00\ &quot;FB&quot;_-;_-* &quot;-&quot;??\ &quot;FB&quot;_-;_-@_-"/>
    <numFmt numFmtId="314" formatCode="#,##0.000_)%;\(#,##0.000\)%;@_)"/>
    <numFmt numFmtId="315" formatCode="0.0%_);\(0.0%\);&quot;-  &quot;"/>
    <numFmt numFmtId="316" formatCode="0.0_%"/>
    <numFmt numFmtId="317" formatCode="#,##0.0\%_);\(#,##0.0\%\);#,##0.0\%_);@_%_)"/>
    <numFmt numFmtId="318" formatCode="0.0%_);\(0.0%\);\-_%_)"/>
    <numFmt numFmtId="319" formatCode="0%_);\(0%\);\-_%_)"/>
    <numFmt numFmtId="320" formatCode="0.00%_);\(0.00%\);\-_%_)"/>
    <numFmt numFmtId="321" formatCode="##0&quot;bp&quot;_);\(##0&quot;bp&quot;\);\-_b_p_)"/>
    <numFmt numFmtId="322" formatCode="0.0%;\(0.0%\)"/>
    <numFmt numFmtId="323" formatCode="&quot;р.&quot;#\-?/?"/>
    <numFmt numFmtId="324" formatCode="#,##0______;;&quot;------------      &quot;"/>
    <numFmt numFmtId="325" formatCode="0.00;\-0.00;0.00"/>
    <numFmt numFmtId="326" formatCode="#,##0.00_x"/>
    <numFmt numFmtId="327" formatCode="#,##0.00\x"/>
    <numFmt numFmtId="328" formatCode="0.00\x;\-0.00\x;0.00\x"/>
    <numFmt numFmtId="329" formatCode="#,##0.00\ [$руб.-419];[Red]\-#,##0.00\ [$руб.-419]"/>
    <numFmt numFmtId="330" formatCode="##0.00000"/>
    <numFmt numFmtId="331" formatCode="_(* #,##0.000_);_(* \(#,##0.000\);_(* &quot;-&quot;???_);_(@_)"/>
    <numFmt numFmtId="332" formatCode="&quot;$&quot;#\ ?/?"/>
    <numFmt numFmtId="333" formatCode="0_%_);\(0\)_%;0_%_);@_%_)"/>
    <numFmt numFmtId="334" formatCode="\+0%;\-0%"/>
    <numFmt numFmtId="335" formatCode=";;;\ \ \ @"/>
    <numFmt numFmtId="336" formatCode=";;;\ \ \ \ \ @"/>
    <numFmt numFmtId="337" formatCode=";;;\ \ \ \ \ \ @"/>
    <numFmt numFmtId="338" formatCode="0.000000"/>
    <numFmt numFmtId="339" formatCode="\£#,##0"/>
    <numFmt numFmtId="340" formatCode="&quot;$ &quot;#,##0&quot; mn&quot;"/>
    <numFmt numFmtId="341" formatCode="_-&quot;F&quot;\ * #,##0_-;_-&quot;F&quot;\ * #,##0\-;_-&quot;F&quot;\ * &quot;-&quot;_-;_-@_-"/>
    <numFmt numFmtId="342" formatCode="_-&quot;F&quot;\ * #,##0.00_-;_-&quot;F&quot;\ * #,##0.00\-;_-&quot;F&quot;\ * &quot;-&quot;??_-;_-@_-"/>
    <numFmt numFmtId="343" formatCode="_-* #,##0_?_._-;\-* #,##0_?_._-;_-* &quot;-&quot;_?_._-;_-@_-"/>
    <numFmt numFmtId="344" formatCode="_-* #,##0.00&quot;?.&quot;_-;\-* #,##0.00&quot;?.&quot;_-;_-* &quot;-&quot;??&quot;?.&quot;_-;_-@_-"/>
    <numFmt numFmtId="345" formatCode="&quot;$&quot;#,##0_);[Red]\(&quot;$&quot;#,##0\)"/>
    <numFmt numFmtId="346" formatCode="_-&quot;Ј&quot;* #,##0_-;\-&quot;Ј&quot;* #,##0_-;_-&quot;Ј&quot;* &quot;-&quot;_-;_-@_-"/>
    <numFmt numFmtId="347" formatCode="_-&quot;Ј&quot;* #,##0.00_-;\-&quot;Ј&quot;* #,##0.00_-;_-&quot;Ј&quot;* &quot;-&quot;??_-;_-@_-"/>
    <numFmt numFmtId="348" formatCode="yyyy"/>
    <numFmt numFmtId="349" formatCode="yyyy\ &quot;год&quot;"/>
    <numFmt numFmtId="350" formatCode="yyyy&quot;A&quot;"/>
    <numFmt numFmtId="351" formatCode="\¥#,##0_);\(\¥#,##0\)"/>
    <numFmt numFmtId="352" formatCode="#,##0\в"/>
    <numFmt numFmtId="353" formatCode="#,##0.00_ ;[Red]\-#,##0.00\ "/>
    <numFmt numFmtId="354" formatCode="_-* #,##0.00&quot;р.&quot;_-;\-* #,##0.00&quot;р.&quot;_-;_-* &quot;-&quot;??&quot;р.&quot;_-;_-@_-"/>
    <numFmt numFmtId="355" formatCode="_-* #,##0\ _S_k_-;\-* #,##0\ _S_k_-;_-* &quot;-&quot;\ _S_k_-;_-@_-"/>
    <numFmt numFmtId="356" formatCode="_-* #,##0.00\ _S_k_-;\-* #,##0.00\ _S_k_-;_-* &quot;-&quot;??\ _S_k_-;_-@_-"/>
    <numFmt numFmtId="357" formatCode="#,##0_);\(#,##0\);#,###"/>
    <numFmt numFmtId="358" formatCode="#,##0.00&quot;р.&quot;;\-#,##0.00&quot;р.&quot;"/>
    <numFmt numFmtId="359" formatCode="#,##0\т"/>
    <numFmt numFmtId="360" formatCode="0.000%"/>
    <numFmt numFmtId="361" formatCode="[$-419]mmmm;@"/>
    <numFmt numFmtId="362" formatCode="_-* #,##0\ _₽_-;\-* #,##0\ _₽_-;_-* &quot;-&quot;??\ _₽_-;_-@_-"/>
  </numFmts>
  <fonts count="389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Arial Cyr"/>
      <family val="2"/>
      <charset val="204"/>
    </font>
    <font>
      <sz val="10"/>
      <name val="Arial"/>
      <family val="2"/>
      <charset val="204"/>
    </font>
    <font>
      <sz val="9"/>
      <name val="Helv"/>
    </font>
    <font>
      <sz val="10"/>
      <color indexed="8"/>
      <name val="Arial"/>
      <family val="2"/>
      <charset val="204"/>
    </font>
    <font>
      <sz val="10"/>
      <name val="Helv"/>
      <charset val="204"/>
    </font>
    <font>
      <sz val="8"/>
      <name val="Arial Cyr"/>
      <charset val="204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Arial"/>
      <family val="2"/>
      <charset val="204"/>
    </font>
    <font>
      <sz val="11"/>
      <color indexed="8"/>
      <name val="Calibri"/>
      <family val="2"/>
      <charset val="204"/>
    </font>
    <font>
      <sz val="8"/>
      <color theme="1"/>
      <name val="Arial"/>
      <family val="2"/>
      <charset val="204"/>
    </font>
    <font>
      <sz val="8"/>
      <color indexed="8"/>
      <name val="Arial"/>
      <family val="2"/>
      <charset val="204"/>
    </font>
    <font>
      <sz val="10"/>
      <name val="Arial Narrow"/>
      <family val="2"/>
      <charset val="204"/>
    </font>
    <font>
      <sz val="10"/>
      <name val="Arial CY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8"/>
      <color indexed="12"/>
      <name val="Arial"/>
      <family val="2"/>
    </font>
    <font>
      <b/>
      <sz val="10"/>
      <name val="MS Sans Serif"/>
      <family val="2"/>
    </font>
    <font>
      <sz val="10"/>
      <name val="Arial"/>
      <family val="2"/>
    </font>
    <font>
      <sz val="10"/>
      <name val="Arial Cyr"/>
      <charset val="204"/>
    </font>
    <font>
      <sz val="10"/>
      <name val="Arial Narrow"/>
      <family val="2"/>
    </font>
    <font>
      <sz val="10"/>
      <color indexed="8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0"/>
      <name val="Book Antiqua"/>
      <family val="1"/>
      <charset val="204"/>
    </font>
    <font>
      <sz val="10"/>
      <color indexed="8"/>
      <name val="Helv"/>
      <family val="2"/>
    </font>
    <font>
      <sz val="8"/>
      <name val="PragmaticaTT"/>
    </font>
    <font>
      <sz val="12"/>
      <name val="Times New Roman"/>
      <family val="1"/>
    </font>
    <font>
      <sz val="1"/>
      <color indexed="8"/>
      <name val="Courier"/>
      <family val="3"/>
    </font>
    <font>
      <sz val="10"/>
      <name val="Arial Narrow"/>
      <family val="2"/>
      <charset val="238"/>
    </font>
    <font>
      <sz val="10"/>
      <name val="Arial Cyr"/>
      <family val="2"/>
      <charset val="204"/>
    </font>
    <font>
      <sz val="10"/>
      <name val="Helv"/>
    </font>
    <font>
      <sz val="10"/>
      <name val="NTHarmonica"/>
      <charset val="204"/>
    </font>
    <font>
      <sz val="8"/>
      <name val="Times"/>
      <family val="1"/>
    </font>
    <font>
      <b/>
      <sz val="9"/>
      <name val="TimesET"/>
    </font>
    <font>
      <b/>
      <i/>
      <sz val="8"/>
      <name val="Arial"/>
      <family val="2"/>
    </font>
    <font>
      <sz val="10"/>
      <name val="Courier"/>
      <family val="3"/>
    </font>
    <font>
      <sz val="8"/>
      <name val="Verdana"/>
      <family val="2"/>
      <charset val="204"/>
    </font>
    <font>
      <sz val="10"/>
      <name val="Helv"/>
      <family val="2"/>
    </font>
    <font>
      <sz val="10"/>
      <name val="PragmaticaCTT"/>
      <charset val="204"/>
    </font>
    <font>
      <sz val="10"/>
      <name val="Univers Condensed"/>
      <family val="2"/>
    </font>
    <font>
      <sz val="10"/>
      <name val="Univers Condensed"/>
      <family val="2"/>
      <charset val="204"/>
    </font>
    <font>
      <b/>
      <i/>
      <sz val="10"/>
      <name val="Arial Cyr"/>
      <family val="2"/>
      <charset val="204"/>
    </font>
    <font>
      <b/>
      <sz val="22"/>
      <color indexed="18"/>
      <name val="Arial"/>
      <family val="2"/>
    </font>
    <font>
      <sz val="10"/>
      <name val="Courier"/>
      <family val="1"/>
      <charset val="204"/>
    </font>
    <font>
      <sz val="10"/>
      <name val="Times New Roman"/>
      <family val="1"/>
      <charset val="204"/>
    </font>
    <font>
      <b/>
      <sz val="14"/>
      <color indexed="18"/>
      <name val="Arial"/>
      <family val="2"/>
    </font>
    <font>
      <sz val="10"/>
      <name val="Courier New"/>
      <family val="3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Arial"/>
      <family val="2"/>
      <charset val="204"/>
    </font>
    <font>
      <sz val="10"/>
      <name val="Times New Roman"/>
      <family val="1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"/>
      <color indexed="8"/>
      <name val="Courier"/>
      <family val="1"/>
      <charset val="204"/>
    </font>
    <font>
      <sz val="9"/>
      <name val="Book Antiqua"/>
      <family val="1"/>
    </font>
    <font>
      <u/>
      <sz val="10"/>
      <color indexed="12"/>
      <name val="Footlight MT Light"/>
      <family val="1"/>
    </font>
    <font>
      <i/>
      <sz val="10"/>
      <color indexed="32"/>
      <name val="Arial Narrow"/>
      <family val="2"/>
    </font>
    <font>
      <sz val="11"/>
      <name val="Univers"/>
      <family val="2"/>
    </font>
    <font>
      <u/>
      <sz val="10"/>
      <color indexed="12"/>
      <name val="Arial"/>
      <family val="2"/>
    </font>
    <font>
      <b/>
      <sz val="1"/>
      <color indexed="8"/>
      <name val="Courier"/>
      <family val="3"/>
    </font>
    <font>
      <u/>
      <sz val="11"/>
      <color indexed="36"/>
      <name val="lr oSVbN"/>
      <family val="3"/>
      <charset val="128"/>
    </font>
    <font>
      <u/>
      <sz val="11"/>
      <color indexed="12"/>
      <name val="lr oSVbN"/>
      <family val="3"/>
      <charset val="128"/>
    </font>
    <font>
      <sz val="10"/>
      <name val="MS Sans Serif"/>
      <family val="2"/>
      <charset val="204"/>
    </font>
    <font>
      <sz val="8"/>
      <name val="Tms Rmn"/>
    </font>
    <font>
      <sz val="8"/>
      <color indexed="8"/>
      <name val="Arial"/>
      <family val="2"/>
    </font>
    <font>
      <sz val="10"/>
      <name val="Univers"/>
      <family val="2"/>
    </font>
    <font>
      <sz val="7"/>
      <name val="Univers"/>
      <family val="2"/>
    </font>
    <font>
      <sz val="8.25"/>
      <name val="Helv"/>
    </font>
    <font>
      <sz val="10"/>
      <name val="MS Sans Serif"/>
      <family val="2"/>
    </font>
    <font>
      <b/>
      <sz val="11"/>
      <name val="Book Antiqua"/>
      <family val="1"/>
    </font>
    <font>
      <sz val="8"/>
      <name val="Courier"/>
      <family val="3"/>
    </font>
    <font>
      <sz val="9"/>
      <name val="Courier"/>
      <family val="3"/>
    </font>
    <font>
      <b/>
      <i/>
      <sz val="10"/>
      <color indexed="9"/>
      <name val="Arial"/>
      <family val="2"/>
      <charset val="204"/>
    </font>
    <font>
      <sz val="6"/>
      <name val="Arial"/>
      <family val="2"/>
      <charset val="204"/>
    </font>
    <font>
      <b/>
      <sz val="6"/>
      <name val="Arial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b/>
      <i/>
      <sz val="8"/>
      <name val="Arial"/>
      <family val="2"/>
      <charset val="204"/>
    </font>
    <font>
      <i/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i/>
      <sz val="9"/>
      <name val="Arial"/>
      <family val="2"/>
      <charset val="204"/>
    </font>
    <font>
      <b/>
      <sz val="9"/>
      <name val="Symbol"/>
      <family val="1"/>
      <charset val="2"/>
    </font>
    <font>
      <b/>
      <u/>
      <sz val="9"/>
      <name val="Arial"/>
      <family val="2"/>
      <charset val="204"/>
    </font>
    <font>
      <i/>
      <sz val="12"/>
      <color indexed="8"/>
      <name val="Times New Roman"/>
      <family val="1"/>
    </font>
    <font>
      <sz val="10"/>
      <name val="Arial CE"/>
    </font>
    <font>
      <sz val="9"/>
      <color indexed="8"/>
      <name val="Comic Sans MS"/>
      <family val="4"/>
      <charset val="204"/>
    </font>
    <font>
      <b/>
      <sz val="11"/>
      <name val="Times New Roman CE"/>
      <family val="1"/>
      <charset val="238"/>
    </font>
    <font>
      <b/>
      <i/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i/>
      <sz val="11"/>
      <name val="Arial"/>
      <family val="2"/>
      <charset val="204"/>
    </font>
    <font>
      <b/>
      <u/>
      <sz val="11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i/>
      <sz val="12"/>
      <name val="Arial"/>
      <family val="2"/>
      <charset val="204"/>
    </font>
    <font>
      <b/>
      <u/>
      <sz val="12"/>
      <name val="Arial"/>
      <family val="2"/>
      <charset val="204"/>
    </font>
    <font>
      <b/>
      <sz val="14"/>
      <name val="Arial"/>
      <family val="2"/>
      <charset val="204"/>
    </font>
    <font>
      <b/>
      <i/>
      <sz val="14"/>
      <name val="Arial"/>
      <family val="2"/>
      <charset val="204"/>
    </font>
    <font>
      <b/>
      <u/>
      <sz val="14"/>
      <name val="Arial"/>
      <family val="2"/>
      <charset val="204"/>
    </font>
    <font>
      <b/>
      <sz val="16"/>
      <name val="Arial"/>
      <family val="2"/>
      <charset val="204"/>
    </font>
    <font>
      <b/>
      <i/>
      <sz val="16"/>
      <name val="Arial"/>
      <family val="2"/>
      <charset val="204"/>
    </font>
    <font>
      <b/>
      <u/>
      <sz val="16"/>
      <name val="Arial"/>
      <family val="2"/>
      <charset val="204"/>
    </font>
    <font>
      <b/>
      <sz val="18"/>
      <name val="Arial"/>
      <family val="2"/>
      <charset val="204"/>
    </font>
    <font>
      <b/>
      <i/>
      <sz val="18"/>
      <name val="Arial"/>
      <family val="2"/>
      <charset val="204"/>
    </font>
    <font>
      <b/>
      <u/>
      <sz val="18"/>
      <name val="Arial"/>
      <family val="2"/>
      <charset val="204"/>
    </font>
    <font>
      <b/>
      <sz val="6"/>
      <name val="Univers"/>
      <family val="2"/>
    </font>
    <font>
      <sz val="8"/>
      <name val="Helv"/>
    </font>
    <font>
      <b/>
      <sz val="12"/>
      <color indexed="9"/>
      <name val="Arial"/>
      <family val="2"/>
    </font>
    <font>
      <b/>
      <sz val="14"/>
      <color indexed="9"/>
      <name val="Arial"/>
      <family val="2"/>
      <charset val="204"/>
    </font>
    <font>
      <b/>
      <i/>
      <sz val="14"/>
      <name val="Arial"/>
      <family val="2"/>
    </font>
    <font>
      <b/>
      <i/>
      <sz val="20"/>
      <name val="Arial"/>
      <family val="2"/>
    </font>
    <font>
      <b/>
      <sz val="16"/>
      <color indexed="9"/>
      <name val="Arial"/>
      <family val="2"/>
    </font>
    <font>
      <b/>
      <sz val="14"/>
      <name val="Arial"/>
      <family val="2"/>
    </font>
    <font>
      <b/>
      <i/>
      <sz val="22"/>
      <name val="Arial"/>
      <family val="2"/>
    </font>
    <font>
      <sz val="14"/>
      <name val="Tms Rmn"/>
    </font>
    <font>
      <b/>
      <sz val="10"/>
      <name val="Pragmatica"/>
      <charset val="204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8"/>
      <name val="ＭＳ Ｐゴシック"/>
      <family val="3"/>
      <charset val="128"/>
    </font>
    <font>
      <sz val="9"/>
      <name val="Tahoma"/>
      <family val="2"/>
      <charset val="238"/>
    </font>
    <font>
      <b/>
      <sz val="24"/>
      <name val="Arial"/>
      <family val="2"/>
      <charset val="204"/>
    </font>
    <font>
      <b/>
      <i/>
      <sz val="24"/>
      <name val="Arial"/>
      <family val="2"/>
      <charset val="204"/>
    </font>
    <font>
      <b/>
      <u/>
      <sz val="24"/>
      <name val="Arial"/>
      <family val="2"/>
      <charset val="204"/>
    </font>
    <font>
      <sz val="11"/>
      <color indexed="8"/>
      <name val="Helv"/>
      <family val="2"/>
    </font>
    <font>
      <u/>
      <sz val="8.5"/>
      <color indexed="12"/>
      <name val="Arial"/>
      <family val="2"/>
    </font>
    <font>
      <sz val="8"/>
      <name val="MS Sans Serif"/>
      <family val="2"/>
      <charset val="204"/>
    </font>
    <font>
      <sz val="12"/>
      <name val="?Ia"/>
      <family val="2"/>
      <charset val="134"/>
    </font>
    <font>
      <sz val="10"/>
      <name val="PragmaticaCTT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sz val="11"/>
      <color indexed="9"/>
      <name val="ＭＳ Ｐゴシック"/>
      <family val="3"/>
      <charset val="128"/>
    </font>
    <font>
      <sz val="9"/>
      <color indexed="11"/>
      <name val="Arial"/>
      <family val="2"/>
      <charset val="204"/>
    </font>
    <font>
      <sz val="12"/>
      <name val="Arial MT"/>
    </font>
    <font>
      <sz val="8"/>
      <name val="Helv"/>
      <charset val="204"/>
    </font>
    <font>
      <b/>
      <sz val="10"/>
      <name val="Wide Latin"/>
      <family val="1"/>
    </font>
    <font>
      <i/>
      <sz val="10"/>
      <name val="Wide Latin"/>
      <family val="1"/>
    </font>
    <font>
      <sz val="11"/>
      <name val="Arial"/>
      <family val="2"/>
    </font>
    <font>
      <sz val="9"/>
      <name val="Times New Roman"/>
      <family val="1"/>
    </font>
    <font>
      <sz val="10"/>
      <color indexed="12"/>
      <name val="Arial"/>
      <family val="2"/>
    </font>
    <font>
      <i/>
      <sz val="8"/>
      <color indexed="16"/>
      <name val="Arial"/>
      <family val="2"/>
    </font>
    <font>
      <i/>
      <sz val="8"/>
      <color indexed="54"/>
      <name val="Arial"/>
      <family val="2"/>
    </font>
    <font>
      <i/>
      <sz val="9"/>
      <color indexed="16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indexed="12"/>
      <name val="Arial"/>
      <family val="2"/>
      <charset val="204"/>
    </font>
    <font>
      <sz val="9"/>
      <color indexed="12"/>
      <name val="Times New Roman"/>
      <family val="1"/>
    </font>
    <font>
      <u/>
      <sz val="10"/>
      <color indexed="12"/>
      <name val="Arial Cyr"/>
      <charset val="204"/>
    </font>
    <font>
      <sz val="10"/>
      <name val="Courier New"/>
      <family val="3"/>
      <charset val="204"/>
    </font>
    <font>
      <b/>
      <sz val="9"/>
      <name val="Frutiger 45 Light"/>
      <family val="2"/>
    </font>
    <font>
      <b/>
      <sz val="10"/>
      <name val="Helvetica"/>
      <family val="2"/>
    </font>
    <font>
      <sz val="12"/>
      <name val="Arial"/>
      <family val="2"/>
    </font>
    <font>
      <sz val="9"/>
      <name val="Frutiger 45 Light"/>
      <family val="2"/>
    </font>
    <font>
      <b/>
      <sz val="10"/>
      <name val="Arial"/>
      <family val="2"/>
    </font>
    <font>
      <sz val="11"/>
      <color indexed="36"/>
      <name val="Calibri"/>
      <family val="2"/>
    </font>
    <font>
      <b/>
      <sz val="10"/>
      <color indexed="8"/>
      <name val="Arial"/>
      <family val="2"/>
    </font>
    <font>
      <sz val="18"/>
      <name val="Geneva"/>
      <family val="2"/>
    </font>
    <font>
      <sz val="10"/>
      <color indexed="8"/>
      <name val="Tms Rmn"/>
    </font>
    <font>
      <sz val="8"/>
      <color indexed="12"/>
      <name val="Tms Rmn"/>
    </font>
    <font>
      <sz val="12"/>
      <name val="Tms Rmn"/>
    </font>
    <font>
      <sz val="8"/>
      <name val="Times New Roman"/>
      <family val="1"/>
    </font>
    <font>
      <b/>
      <i/>
      <sz val="12"/>
      <name val="Times New Roman"/>
      <family val="1"/>
    </font>
    <font>
      <u val="singleAccounting"/>
      <sz val="10"/>
      <name val="Arial"/>
      <family val="2"/>
    </font>
    <font>
      <sz val="12"/>
      <name val="±???A?"/>
      <charset val="129"/>
    </font>
    <font>
      <sz val="9"/>
      <name val="Arial Cyr"/>
      <family val="2"/>
      <charset val="204"/>
    </font>
    <font>
      <sz val="9"/>
      <name val="Times New Roman"/>
      <family val="1"/>
      <charset val="204"/>
    </font>
    <font>
      <b/>
      <sz val="11"/>
      <color indexed="43"/>
      <name val="Calibri"/>
      <family val="2"/>
    </font>
    <font>
      <b/>
      <sz val="10"/>
      <color indexed="52"/>
      <name val="Arial Narrow"/>
      <family val="2"/>
    </font>
    <font>
      <sz val="8"/>
      <name val="Times New Roman"/>
      <family val="1"/>
      <charset val="204"/>
    </font>
    <font>
      <b/>
      <sz val="12"/>
      <name val="Times New Roman"/>
      <family val="1"/>
    </font>
    <font>
      <sz val="10"/>
      <color indexed="18"/>
      <name val="Times New Roman"/>
      <family val="1"/>
    </font>
    <font>
      <b/>
      <sz val="11"/>
      <color indexed="9"/>
      <name val="Calibri"/>
      <family val="2"/>
    </font>
    <font>
      <sz val="11"/>
      <color indexed="12"/>
      <name val="Arial"/>
      <family val="2"/>
      <charset val="204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10"/>
      <name val="Sabon"/>
    </font>
    <font>
      <sz val="8"/>
      <name val="Palatino"/>
      <family val="1"/>
    </font>
    <font>
      <sz val="10"/>
      <name val="Geneva"/>
      <family val="2"/>
    </font>
    <font>
      <sz val="12"/>
      <color indexed="24"/>
      <name val="Arial"/>
      <family val="2"/>
      <charset val="204"/>
    </font>
    <font>
      <b/>
      <u/>
      <sz val="10"/>
      <color indexed="16"/>
      <name val="Arial"/>
      <family val="2"/>
      <charset val="204"/>
    </font>
    <font>
      <b/>
      <sz val="11"/>
      <name val="Times New Roman"/>
      <family val="1"/>
      <charset val="204"/>
    </font>
    <font>
      <sz val="12"/>
      <name val="Helv"/>
    </font>
    <font>
      <b/>
      <sz val="8"/>
      <name val="Arial"/>
      <family val="2"/>
    </font>
    <font>
      <sz val="10"/>
      <color indexed="22"/>
      <name val="Arial"/>
      <family val="2"/>
      <charset val="204"/>
    </font>
    <font>
      <sz val="7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  <charset val="204"/>
    </font>
    <font>
      <u val="doubleAccounting"/>
      <sz val="10"/>
      <name val="Arial"/>
      <family val="2"/>
    </font>
    <font>
      <sz val="10"/>
      <name val="Times New Roman CE"/>
    </font>
    <font>
      <sz val="12"/>
      <name val="Tms Rmn"/>
      <charset val="204"/>
    </font>
    <font>
      <sz val="10"/>
      <color indexed="12"/>
      <name val="Times New Roman CYR"/>
      <family val="1"/>
      <charset val="204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7"/>
      <name val="Palatino"/>
      <family val="1"/>
    </font>
    <font>
      <sz val="11"/>
      <color indexed="17"/>
      <name val="Calibri"/>
      <family val="2"/>
    </font>
    <font>
      <sz val="10"/>
      <color indexed="17"/>
      <name val="Times New Roman"/>
      <family val="1"/>
    </font>
    <font>
      <b/>
      <sz val="8"/>
      <name val="Courier"/>
      <family val="3"/>
    </font>
    <font>
      <b/>
      <u/>
      <sz val="10"/>
      <name val="Courier"/>
      <family val="3"/>
    </font>
    <font>
      <sz val="9"/>
      <color indexed="18"/>
      <name val="Frutiger 45 Light"/>
      <family val="2"/>
    </font>
    <font>
      <sz val="9"/>
      <name val="Futura UBS Bk"/>
      <family val="2"/>
    </font>
    <font>
      <sz val="6"/>
      <color indexed="16"/>
      <name val="Palatino"/>
      <family val="1"/>
    </font>
    <font>
      <b/>
      <sz val="12"/>
      <name val="Arial"/>
      <family val="2"/>
    </font>
    <font>
      <b/>
      <i/>
      <sz val="16"/>
      <color indexed="8"/>
      <name val="Arial1"/>
      <charset val="204"/>
    </font>
    <font>
      <b/>
      <sz val="15"/>
      <color indexed="62"/>
      <name val="Calibri"/>
      <family val="2"/>
    </font>
    <font>
      <sz val="12"/>
      <color indexed="9"/>
      <name val="Arial Cyr"/>
      <family val="2"/>
      <charset val="204"/>
    </font>
    <font>
      <sz val="18"/>
      <name val="Helvetica-Black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8"/>
      <name val="Palatino"/>
      <family val="1"/>
    </font>
    <font>
      <b/>
      <sz val="18"/>
      <name val="Helv"/>
    </font>
    <font>
      <i/>
      <sz val="12"/>
      <name val="Arial"/>
      <family val="2"/>
      <charset val="204"/>
    </font>
    <font>
      <b/>
      <i/>
      <sz val="22"/>
      <name val="Times New Roman"/>
      <family val="1"/>
      <charset val="204"/>
    </font>
    <font>
      <sz val="10"/>
      <color indexed="9"/>
      <name val="Times New Roman"/>
      <family val="1"/>
    </font>
    <font>
      <sz val="8"/>
      <name val="Geneva"/>
      <family val="2"/>
    </font>
    <font>
      <sz val="11"/>
      <name val="‚l‚r –¾’©"/>
      <charset val="128"/>
    </font>
    <font>
      <sz val="12"/>
      <name val="Optima"/>
      <family val="2"/>
    </font>
    <font>
      <sz val="11"/>
      <color indexed="62"/>
      <name val="Calibri"/>
      <family val="2"/>
    </font>
    <font>
      <sz val="10"/>
      <color indexed="62"/>
      <name val="Arial Narrow"/>
      <family val="2"/>
    </font>
    <font>
      <sz val="10"/>
      <color indexed="12"/>
      <name val="MS Sans Serif"/>
      <family val="2"/>
      <charset val="204"/>
    </font>
    <font>
      <sz val="9"/>
      <color indexed="12"/>
      <name val="Frutiger 45 Light"/>
      <family val="2"/>
    </font>
    <font>
      <sz val="10"/>
      <color indexed="12"/>
      <name val="Times New Roman"/>
      <family val="1"/>
    </font>
    <font>
      <sz val="9"/>
      <color indexed="12"/>
      <name val="Helvetica"/>
      <family val="2"/>
    </font>
    <font>
      <sz val="10"/>
      <color indexed="9"/>
      <name val="Frutiger 45 Light"/>
      <family val="2"/>
    </font>
    <font>
      <u/>
      <sz val="10"/>
      <color indexed="36"/>
      <name val="Arial Cyr"/>
      <charset val="204"/>
    </font>
    <font>
      <i/>
      <sz val="8"/>
      <name val="Helv"/>
    </font>
    <font>
      <b/>
      <sz val="10"/>
      <name val="MS Sans Serif"/>
      <family val="2"/>
      <charset val="204"/>
    </font>
    <font>
      <sz val="9"/>
      <name val="Arial"/>
      <family val="2"/>
      <charset val="186"/>
    </font>
    <font>
      <sz val="10"/>
      <name val="HelveticaLT"/>
      <family val="2"/>
      <charset val="204"/>
    </font>
    <font>
      <b/>
      <sz val="9"/>
      <name val="Helv"/>
      <charset val="204"/>
    </font>
    <font>
      <b/>
      <sz val="14"/>
      <name val="Helv"/>
      <charset val="204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i/>
      <sz val="8"/>
      <color indexed="62"/>
      <name val="Arial Cyr"/>
      <family val="2"/>
      <charset val="204"/>
    </font>
    <font>
      <sz val="8"/>
      <color indexed="20"/>
      <name val="Arial Cyr"/>
      <family val="2"/>
      <charset val="204"/>
    </font>
    <font>
      <b/>
      <sz val="10"/>
      <color indexed="12"/>
      <name val="Arial Cyr"/>
      <family val="2"/>
      <charset val="204"/>
    </font>
    <font>
      <b/>
      <sz val="14"/>
      <name val="Helv"/>
    </font>
    <font>
      <sz val="8"/>
      <color indexed="9"/>
      <name val="MS Sans Serif"/>
      <family val="2"/>
      <charset val="204"/>
    </font>
    <font>
      <sz val="8"/>
      <name val="Arial Cyr"/>
      <family val="2"/>
      <charset val="204"/>
    </font>
    <font>
      <sz val="10"/>
      <name val="Geneva"/>
      <family val="2"/>
    </font>
    <font>
      <sz val="11"/>
      <color indexed="43"/>
      <name val="Calibri"/>
      <family val="2"/>
    </font>
    <font>
      <sz val="10"/>
      <color indexed="17"/>
      <name val="Arial"/>
      <family val="2"/>
      <charset val="204"/>
    </font>
    <font>
      <i/>
      <sz val="10"/>
      <name val="PragmaticaC"/>
    </font>
    <font>
      <b/>
      <sz val="11"/>
      <name val="Helv"/>
    </font>
    <font>
      <sz val="10"/>
      <name val="Frutiger 45 Light"/>
      <family val="2"/>
    </font>
    <font>
      <sz val="11"/>
      <color indexed="60"/>
      <name val="Calibri"/>
      <family val="2"/>
    </font>
    <font>
      <sz val="7"/>
      <name val="Small Fonts"/>
      <family val="2"/>
      <charset val="204"/>
    </font>
    <font>
      <i/>
      <sz val="10"/>
      <name val="Frutiger 45 Light"/>
      <family val="2"/>
    </font>
    <font>
      <sz val="14"/>
      <name val="NewtonC"/>
      <charset val="204"/>
    </font>
    <font>
      <sz val="10"/>
      <name val="Times New Roman CE"/>
      <charset val="238"/>
    </font>
    <font>
      <sz val="10"/>
      <name val="Palatino"/>
      <family val="1"/>
    </font>
    <font>
      <sz val="10"/>
      <name val="Arial CE"/>
      <charset val="238"/>
    </font>
    <font>
      <sz val="8"/>
      <name val="Arial CE"/>
    </font>
    <font>
      <sz val="9"/>
      <name val="Frutiger 45 Light"/>
    </font>
    <font>
      <sz val="9"/>
      <color indexed="56"/>
      <name val="Frutiger 45 Light"/>
      <family val="2"/>
    </font>
    <font>
      <i/>
      <sz val="12"/>
      <name val="NewtonC"/>
    </font>
    <font>
      <sz val="12"/>
      <name val="NewtonC"/>
    </font>
    <font>
      <sz val="12"/>
      <name val="№ЩЕБГј"/>
      <charset val="129"/>
    </font>
    <font>
      <b/>
      <sz val="13.5"/>
      <name val="MS Sans Serif"/>
      <family val="2"/>
      <charset val="204"/>
    </font>
    <font>
      <b/>
      <sz val="11"/>
      <color indexed="63"/>
      <name val="Calibri"/>
      <family val="2"/>
    </font>
    <font>
      <b/>
      <sz val="10"/>
      <color indexed="63"/>
      <name val="Arial Narrow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b/>
      <sz val="20"/>
      <name val="Times New Roman"/>
      <family val="1"/>
      <charset val="204"/>
    </font>
    <font>
      <sz val="10"/>
      <color indexed="16"/>
      <name val="Helvetica-Black"/>
    </font>
    <font>
      <b/>
      <u/>
      <sz val="10"/>
      <name val="Helv"/>
    </font>
    <font>
      <sz val="22"/>
      <name val="UBSHeadline"/>
      <family val="1"/>
    </font>
    <font>
      <sz val="8"/>
      <name val="Helvetica"/>
      <family val="2"/>
    </font>
    <font>
      <sz val="10"/>
      <name val="GillSans"/>
    </font>
    <font>
      <i/>
      <sz val="12"/>
      <name val="Tms Rmn"/>
    </font>
    <font>
      <b/>
      <sz val="10"/>
      <name val="HelveticaLT"/>
      <family val="2"/>
      <charset val="204"/>
    </font>
    <font>
      <sz val="7"/>
      <color indexed="12"/>
      <name val="Arial"/>
      <family val="2"/>
    </font>
    <font>
      <sz val="10"/>
      <color indexed="10"/>
      <name val="Times New Roman"/>
      <family val="1"/>
    </font>
    <font>
      <sz val="8"/>
      <color indexed="10"/>
      <name val="Arial"/>
      <family val="2"/>
    </font>
    <font>
      <b/>
      <sz val="8"/>
      <name val="Palatino"/>
      <family val="1"/>
      <charset val="204"/>
    </font>
    <font>
      <b/>
      <i/>
      <u/>
      <sz val="11"/>
      <color indexed="8"/>
      <name val="Arial1"/>
      <charset val="204"/>
    </font>
    <font>
      <sz val="9.5"/>
      <color indexed="23"/>
      <name val="Helvetica-Black"/>
    </font>
    <font>
      <b/>
      <sz val="10"/>
      <color indexed="39"/>
      <name val="Arial"/>
      <family val="2"/>
    </font>
    <font>
      <b/>
      <sz val="12"/>
      <color indexed="8"/>
      <name val="Arial"/>
      <family val="2"/>
      <charset val="204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0"/>
      <color indexed="10"/>
      <name val="Arial"/>
      <family val="2"/>
    </font>
    <font>
      <sz val="10"/>
      <name val="Tms Rmn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sz val="9"/>
      <color indexed="20"/>
      <name val="Arial"/>
      <family val="2"/>
    </font>
    <font>
      <b/>
      <u/>
      <sz val="9"/>
      <name val="Swis721 Lt BT"/>
      <family val="2"/>
    </font>
    <font>
      <sz val="10"/>
      <name val="MS Sans"/>
    </font>
    <font>
      <b/>
      <sz val="10"/>
      <color indexed="9"/>
      <name val="Verdana"/>
      <family val="2"/>
      <charset val="204"/>
    </font>
    <font>
      <sz val="10"/>
      <color indexed="9"/>
      <name val="Arial"/>
      <family val="2"/>
      <charset val="204"/>
    </font>
    <font>
      <sz val="10"/>
      <color indexed="8"/>
      <name val="Verdana"/>
      <family val="2"/>
      <charset val="204"/>
    </font>
    <font>
      <b/>
      <sz val="18"/>
      <name val="Times New Roman"/>
      <family val="1"/>
      <charset val="204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b/>
      <sz val="10"/>
      <name val="Times New Roman"/>
      <family val="1"/>
    </font>
    <font>
      <sz val="12"/>
      <color indexed="8"/>
      <name val="Palatino"/>
      <family val="1"/>
    </font>
    <font>
      <sz val="11"/>
      <color indexed="8"/>
      <name val="Helvetica-Black"/>
    </font>
    <font>
      <b/>
      <sz val="10"/>
      <color indexed="8"/>
      <name val="Times New Roman"/>
      <family val="1"/>
    </font>
    <font>
      <b/>
      <sz val="10"/>
      <color indexed="10"/>
      <name val="Arial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0"/>
      <color indexed="8"/>
      <name val="Arial Narrow"/>
      <family val="2"/>
    </font>
    <font>
      <u/>
      <sz val="8"/>
      <color indexed="8"/>
      <name val="Arial"/>
      <family val="2"/>
    </font>
    <font>
      <b/>
      <sz val="14"/>
      <name val="Times New Roman"/>
      <family val="1"/>
      <charset val="204"/>
    </font>
    <font>
      <sz val="11"/>
      <color indexed="10"/>
      <name val="Calibri"/>
      <family val="2"/>
    </font>
    <font>
      <b/>
      <i/>
      <sz val="8"/>
      <name val="Helv"/>
    </font>
    <font>
      <sz val="11"/>
      <color indexed="62"/>
      <name val="Calibri"/>
      <family val="2"/>
      <charset val="204"/>
    </font>
    <font>
      <b/>
      <sz val="8"/>
      <name val="Arial CYR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8.8000000000000007"/>
      <color theme="10"/>
      <name val="Calibri"/>
      <family val="2"/>
    </font>
    <font>
      <u/>
      <sz val="9"/>
      <color theme="10"/>
      <name val="Arial"/>
      <family val="2"/>
      <charset val="204"/>
    </font>
    <font>
      <u/>
      <sz val="8"/>
      <color theme="10"/>
      <name val="Arial"/>
      <family val="2"/>
      <charset val="204"/>
    </font>
    <font>
      <u/>
      <sz val="10"/>
      <color indexed="12"/>
      <name val="Times New Roman CYR"/>
      <family val="1"/>
    </font>
    <font>
      <u/>
      <sz val="9.35"/>
      <color theme="10"/>
      <name val="Calibri"/>
      <family val="2"/>
      <charset val="204"/>
    </font>
    <font>
      <b/>
      <sz val="12"/>
      <color indexed="12"/>
      <name val="Arial Cyr"/>
      <family val="2"/>
      <charset val="204"/>
    </font>
    <font>
      <b/>
      <sz val="12"/>
      <name val="Arial Cyr"/>
      <family val="2"/>
      <charset val="204"/>
    </font>
    <font>
      <sz val="8"/>
      <name val="Arial Cyr"/>
    </font>
    <font>
      <b/>
      <i/>
      <sz val="14"/>
      <color indexed="10"/>
      <name val="Arial Cyr"/>
      <family val="2"/>
      <charset val="204"/>
    </font>
    <font>
      <sz val="10"/>
      <color indexed="9"/>
      <name val="Arial Cyr"/>
      <family val="2"/>
      <charset val="204"/>
    </font>
    <font>
      <sz val="12"/>
      <name val="Arial Cyr"/>
      <family val="2"/>
      <charset val="204"/>
    </font>
    <font>
      <sz val="10"/>
      <color theme="1"/>
      <name val="Verdana"/>
      <family val="2"/>
      <charset val="204"/>
    </font>
    <font>
      <sz val="10"/>
      <color theme="1"/>
      <name val="Times New Roman"/>
      <family val="2"/>
      <charset val="204"/>
    </font>
    <font>
      <sz val="8"/>
      <name val="Arial"/>
      <family val="2"/>
      <charset val="1"/>
    </font>
    <font>
      <sz val="10"/>
      <color indexed="8"/>
      <name val="Arial Cyr"/>
      <family val="2"/>
      <charset val="204"/>
    </font>
    <font>
      <sz val="8"/>
      <color theme="1"/>
      <name val="Verdana"/>
      <family val="2"/>
      <charset val="204"/>
    </font>
    <font>
      <b/>
      <sz val="11"/>
      <name val="Arial Cyr"/>
      <family val="2"/>
      <charset val="204"/>
    </font>
    <font>
      <i/>
      <sz val="11"/>
      <color indexed="23"/>
      <name val="Calibri"/>
      <family val="2"/>
      <charset val="204"/>
    </font>
    <font>
      <b/>
      <i/>
      <sz val="14"/>
      <color indexed="57"/>
      <name val="Arial Cyr"/>
      <family val="2"/>
      <charset val="204"/>
    </font>
    <font>
      <sz val="14"/>
      <name val="Arial Cyr"/>
      <family val="2"/>
      <charset val="204"/>
    </font>
    <font>
      <sz val="9"/>
      <name val="Arial Cyr"/>
      <charset val="204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i/>
      <sz val="10"/>
      <name val="Arial"/>
      <family val="2"/>
    </font>
    <font>
      <b/>
      <i/>
      <sz val="9"/>
      <name val="Arial"/>
      <family val="2"/>
    </font>
    <font>
      <sz val="10"/>
      <name val="Courier"/>
      <family val="3"/>
      <charset val="204"/>
    </font>
    <font>
      <b/>
      <sz val="10"/>
      <color indexed="8"/>
      <name val="Arial"/>
      <family val="2"/>
      <charset val="204"/>
    </font>
    <font>
      <b/>
      <sz val="9"/>
      <color theme="0"/>
      <name val="Tahoma"/>
      <family val="2"/>
      <charset val="204"/>
    </font>
    <font>
      <sz val="9"/>
      <name val="Tahoma"/>
      <family val="2"/>
      <charset val="204"/>
    </font>
    <font>
      <sz val="9"/>
      <color rgb="FF0000CC"/>
      <name val="Tahoma"/>
      <family val="2"/>
      <charset val="204"/>
    </font>
    <font>
      <i/>
      <sz val="9"/>
      <color theme="0" tint="-0.499984740745262"/>
      <name val="Tahoma"/>
      <family val="2"/>
      <charset val="204"/>
    </font>
    <font>
      <sz val="9"/>
      <color theme="1"/>
      <name val="Tahoma"/>
      <family val="2"/>
      <charset val="204"/>
    </font>
    <font>
      <b/>
      <sz val="9"/>
      <color theme="1"/>
      <name val="Tahoma"/>
      <family val="2"/>
      <charset val="204"/>
    </font>
    <font>
      <b/>
      <sz val="9"/>
      <name val="Tahoma"/>
      <family val="2"/>
      <charset val="204"/>
    </font>
    <font>
      <sz val="9"/>
      <color theme="0" tint="-0.499984740745262"/>
      <name val="Tahoma"/>
      <family val="2"/>
      <charset val="204"/>
    </font>
    <font>
      <i/>
      <sz val="9"/>
      <color theme="1"/>
      <name val="Tahoma"/>
      <family val="2"/>
      <charset val="204"/>
    </font>
    <font>
      <sz val="11"/>
      <color rgb="FF000000"/>
      <name val="Calibri"/>
      <family val="2"/>
      <charset val="204"/>
    </font>
    <font>
      <sz val="9"/>
      <color rgb="FF000000"/>
      <name val="Tahoma"/>
      <family val="2"/>
      <charset val="204"/>
    </font>
    <font>
      <b/>
      <sz val="9"/>
      <color theme="0" tint="-0.499984740745262"/>
      <name val="Tahoma"/>
      <family val="2"/>
      <charset val="204"/>
    </font>
    <font>
      <u/>
      <sz val="11"/>
      <color theme="10"/>
      <name val="Calibri"/>
      <family val="2"/>
      <charset val="204"/>
    </font>
    <font>
      <b/>
      <u/>
      <sz val="9"/>
      <color theme="1"/>
      <name val="Tahoma"/>
      <family val="2"/>
      <charset val="204"/>
    </font>
    <font>
      <b/>
      <i/>
      <sz val="9"/>
      <color theme="1"/>
      <name val="Tahoma"/>
      <family val="2"/>
      <charset val="204"/>
    </font>
    <font>
      <sz val="12"/>
      <color theme="1"/>
      <name val="Times New Roman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b/>
      <sz val="8"/>
      <color rgb="FFFFFFFF"/>
      <name val="Calibri"/>
      <family val="2"/>
      <scheme val="minor"/>
    </font>
    <font>
      <sz val="8"/>
      <color rgb="FF002B54"/>
      <name val="Calibri"/>
      <family val="2"/>
      <scheme val="minor"/>
    </font>
    <font>
      <sz val="8"/>
      <color rgb="FF3CB371"/>
      <name val="Calibri"/>
      <family val="2"/>
      <scheme val="minor"/>
    </font>
    <font>
      <sz val="8"/>
      <color rgb="FFDAA520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1"/>
        <bgColor indexed="64"/>
      </patternFill>
    </fill>
    <fill>
      <patternFill patternType="lightGray">
        <fgColor indexed="22"/>
      </patternFill>
    </fill>
    <fill>
      <patternFill patternType="solid">
        <fgColor indexed="41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0"/>
      </patternFill>
    </fill>
    <fill>
      <patternFill patternType="solid">
        <fgColor indexed="11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1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</patternFill>
    </fill>
    <fill>
      <patternFill patternType="solid">
        <fgColor indexed="57"/>
      </patternFill>
    </fill>
    <fill>
      <patternFill patternType="solid">
        <fgColor indexed="65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11"/>
        <bgColor indexed="11"/>
      </patternFill>
    </fill>
    <fill>
      <patternFill patternType="solid">
        <fgColor indexed="22"/>
      </patternFill>
    </fill>
    <fill>
      <patternFill patternType="lightGray">
        <fgColor indexed="15"/>
      </patternFill>
    </fill>
    <fill>
      <patternFill patternType="solid">
        <fgColor indexed="23"/>
      </patternFill>
    </fill>
    <fill>
      <patternFill patternType="mediumGray">
        <f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33"/>
        <bgColor indexed="33"/>
      </patternFill>
    </fill>
    <fill>
      <patternFill patternType="solid">
        <fgColor indexed="14"/>
      </patternFill>
    </fill>
    <fill>
      <patternFill patternType="solid">
        <fgColor indexed="13"/>
        <bgColor indexed="8"/>
      </patternFill>
    </fill>
    <fill>
      <patternFill patternType="solid">
        <fgColor indexed="13"/>
      </patternFill>
    </fill>
    <fill>
      <patternFill patternType="solid">
        <fgColor indexed="43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22"/>
        <bgColor indexed="8"/>
      </patternFill>
    </fill>
    <fill>
      <patternFill patternType="solid">
        <fgColor indexed="23"/>
        <bgColor indexed="64"/>
      </patternFill>
    </fill>
    <fill>
      <patternFill patternType="solid">
        <fgColor indexed="41"/>
      </patternFill>
    </fill>
    <fill>
      <patternFill patternType="gray0625">
        <f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  <bgColor indexed="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4"/>
        <bgColor indexed="64"/>
      </patternFill>
    </fill>
    <fill>
      <patternFill patternType="solid">
        <fgColor indexed="15"/>
      </patternFill>
    </fill>
    <fill>
      <patternFill patternType="lightGray">
        <fgColor indexed="12"/>
      </patternFill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0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63"/>
        <bgColor indexed="9"/>
      </patternFill>
    </fill>
    <fill>
      <patternFill patternType="solid">
        <fgColor indexed="52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indexed="46"/>
        <bgColor indexed="9"/>
      </patternFill>
    </fill>
    <fill>
      <patternFill patternType="solid">
        <fgColor indexed="51"/>
        <bgColor indexed="9"/>
      </patternFill>
    </fill>
    <fill>
      <patternFill patternType="solid">
        <fgColor indexed="23"/>
        <bgColor indexed="9"/>
      </patternFill>
    </fill>
    <fill>
      <patternFill patternType="solid">
        <fgColor indexed="10"/>
        <bgColor indexed="9"/>
      </patternFill>
    </fill>
    <fill>
      <patternFill patternType="solid">
        <fgColor indexed="60"/>
        <bgColor indexed="64"/>
      </patternFill>
    </fill>
    <fill>
      <patternFill patternType="solid">
        <fgColor indexed="47"/>
        <bgColor indexed="9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</patternFill>
    </fill>
    <fill>
      <patternFill patternType="solid">
        <fgColor indexed="43"/>
        <bgColor indexed="8"/>
      </patternFill>
    </fill>
    <fill>
      <patternFill patternType="solid">
        <fgColor indexed="62"/>
      </patternFill>
    </fill>
    <fill>
      <patternFill patternType="solid">
        <fgColor indexed="11"/>
        <bgColor indexed="4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12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1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15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thin">
        <color indexed="32"/>
      </top>
      <bottom style="thin">
        <color indexed="3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37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15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thick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4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15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22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/>
      <diagonal/>
    </border>
    <border>
      <left style="thin">
        <color rgb="FF000000"/>
      </left>
      <right/>
      <top style="thin">
        <color rgb="FF002B54"/>
      </top>
      <bottom style="thin">
        <color rgb="FF000000"/>
      </bottom>
      <diagonal/>
    </border>
    <border>
      <left/>
      <right style="thin">
        <color rgb="FF000000"/>
      </right>
      <top style="thin">
        <color rgb="FF002B54"/>
      </top>
      <bottom style="thin">
        <color rgb="FF000000"/>
      </bottom>
      <diagonal/>
    </border>
    <border>
      <left/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/>
      <right/>
      <top/>
      <bottom style="thin">
        <color rgb="FF002B5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auto="1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5590">
    <xf numFmtId="0" fontId="0" fillId="0" borderId="0"/>
    <xf numFmtId="165" fontId="8" fillId="8" borderId="1" applyNumberFormat="0" applyFont="0" applyFill="0" applyBorder="0" applyAlignment="0" applyProtection="0">
      <alignment horizontal="center"/>
    </xf>
    <xf numFmtId="0" fontId="9" fillId="0" borderId="0"/>
    <xf numFmtId="0" fontId="10" fillId="0" borderId="0"/>
    <xf numFmtId="0" fontId="11" fillId="0" borderId="0">
      <alignment vertical="top"/>
    </xf>
    <xf numFmtId="0" fontId="12" fillId="0" borderId="0"/>
    <xf numFmtId="0" fontId="13" fillId="0" borderId="0"/>
    <xf numFmtId="0" fontId="14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16" fillId="0" borderId="0"/>
    <xf numFmtId="9" fontId="7" fillId="0" borderId="0" applyFont="0" applyFill="0" applyBorder="0" applyAlignment="0" applyProtection="0"/>
    <xf numFmtId="9" fontId="17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8" fillId="0" borderId="0"/>
    <xf numFmtId="9" fontId="19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1" fontId="20" fillId="0" borderId="10">
      <alignment horizontal="right" vertical="center"/>
    </xf>
    <xf numFmtId="166" fontId="21" fillId="0" borderId="0" applyFont="0" applyFill="0" applyBorder="0" applyAlignment="0" applyProtection="0"/>
    <xf numFmtId="165" fontId="8" fillId="8" borderId="1" applyNumberFormat="0" applyFont="0" applyFill="0" applyBorder="0" applyAlignment="0" applyProtection="0">
      <alignment horizontal="center"/>
    </xf>
    <xf numFmtId="9" fontId="24" fillId="0" borderId="0">
      <alignment horizontal="right"/>
    </xf>
    <xf numFmtId="0" fontId="12" fillId="0" borderId="0"/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65" fontId="8" fillId="8" borderId="1" applyNumberFormat="0" applyFont="0" applyFill="0" applyBorder="0" applyAlignment="0" applyProtection="0">
      <alignment horizontal="center"/>
    </xf>
    <xf numFmtId="172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9" fillId="0" borderId="0"/>
    <xf numFmtId="172" fontId="28" fillId="0" borderId="0"/>
    <xf numFmtId="3" fontId="15" fillId="0" borderId="0" applyFont="0" applyFill="0" applyBorder="0" applyAlignment="0" applyProtection="0"/>
    <xf numFmtId="167" fontId="29" fillId="0" borderId="0" applyFont="0" applyFill="0" applyBorder="0" applyAlignment="0" applyProtection="0">
      <alignment horizontal="center"/>
    </xf>
    <xf numFmtId="0" fontId="28" fillId="0" borderId="0"/>
    <xf numFmtId="173" fontId="9" fillId="0" borderId="0"/>
    <xf numFmtId="172" fontId="9" fillId="0" borderId="0" applyFont="0" applyFill="0" applyBorder="0" applyProtection="0">
      <alignment horizontal="right"/>
    </xf>
    <xf numFmtId="0" fontId="9" fillId="0" borderId="0" applyFont="0" applyFill="0" applyBorder="0" applyProtection="0">
      <alignment horizontal="right"/>
    </xf>
    <xf numFmtId="17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9" fillId="0" borderId="0"/>
    <xf numFmtId="172" fontId="9" fillId="0" borderId="0" applyFill="0"/>
    <xf numFmtId="0" fontId="9" fillId="0" borderId="0" applyFill="0"/>
    <xf numFmtId="172" fontId="9" fillId="0" borderId="0" applyFill="0"/>
    <xf numFmtId="0" fontId="9" fillId="0" borderId="0" applyFill="0"/>
    <xf numFmtId="10" fontId="30" fillId="0" borderId="0"/>
    <xf numFmtId="17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9" fontId="31" fillId="0" borderId="0"/>
    <xf numFmtId="172" fontId="31" fillId="0" borderId="0"/>
    <xf numFmtId="0" fontId="31" fillId="0" borderId="0"/>
    <xf numFmtId="10" fontId="31" fillId="0" borderId="0"/>
    <xf numFmtId="172" fontId="32" fillId="0" borderId="0" applyNumberFormat="0" applyFont="0" applyFill="0" applyBorder="0" applyAlignment="0" applyProtection="0"/>
    <xf numFmtId="0" fontId="32" fillId="0" borderId="0" applyNumberFormat="0" applyFont="0" applyFill="0" applyBorder="0" applyAlignment="0" applyProtection="0"/>
    <xf numFmtId="0" fontId="33" fillId="0" borderId="0" applyFont="0" applyFill="0" applyBorder="0" applyAlignment="0"/>
    <xf numFmtId="0" fontId="33" fillId="0" borderId="0" applyFont="0" applyFill="0" applyBorder="0" applyAlignment="0"/>
    <xf numFmtId="172" fontId="34" fillId="0" borderId="0"/>
    <xf numFmtId="0" fontId="34" fillId="0" borderId="0"/>
    <xf numFmtId="0" fontId="35" fillId="0" borderId="2" applyFill="0">
      <alignment vertical="center" wrapText="1"/>
    </xf>
    <xf numFmtId="174" fontId="36" fillId="0" borderId="0" applyFont="0" applyFill="0" applyBorder="0" applyAlignment="0" applyProtection="0"/>
    <xf numFmtId="175" fontId="37" fillId="0" borderId="0">
      <protection locked="0"/>
    </xf>
    <xf numFmtId="175" fontId="37" fillId="0" borderId="0">
      <protection locked="0"/>
    </xf>
    <xf numFmtId="175" fontId="37" fillId="0" borderId="0">
      <protection locked="0"/>
    </xf>
    <xf numFmtId="175" fontId="37" fillId="0" borderId="0">
      <protection locked="0"/>
    </xf>
    <xf numFmtId="175" fontId="37" fillId="0" borderId="0">
      <protection locked="0"/>
    </xf>
    <xf numFmtId="3" fontId="38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31" fillId="0" borderId="6">
      <protection locked="0"/>
    </xf>
    <xf numFmtId="0" fontId="37" fillId="0" borderId="11">
      <protection locked="0"/>
    </xf>
    <xf numFmtId="0" fontId="37" fillId="0" borderId="11">
      <protection locked="0"/>
    </xf>
    <xf numFmtId="0" fontId="37" fillId="0" borderId="11">
      <protection locked="0"/>
    </xf>
    <xf numFmtId="0" fontId="37" fillId="0" borderId="11">
      <protection locked="0"/>
    </xf>
    <xf numFmtId="0" fontId="37" fillId="0" borderId="11">
      <protection locked="0"/>
    </xf>
    <xf numFmtId="172" fontId="12" fillId="0" borderId="0"/>
    <xf numFmtId="0" fontId="12" fillId="0" borderId="0"/>
    <xf numFmtId="0" fontId="39" fillId="0" borderId="0"/>
    <xf numFmtId="0" fontId="39" fillId="0" borderId="0"/>
    <xf numFmtId="172" fontId="12" fillId="0" borderId="0"/>
    <xf numFmtId="0" fontId="12" fillId="0" borderId="0"/>
    <xf numFmtId="0" fontId="40" fillId="0" borderId="0"/>
    <xf numFmtId="0" fontId="39" fillId="0" borderId="0"/>
    <xf numFmtId="0" fontId="41" fillId="0" borderId="0"/>
    <xf numFmtId="172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2" fontId="9" fillId="0" borderId="0"/>
    <xf numFmtId="0" fontId="9" fillId="0" borderId="0"/>
    <xf numFmtId="172" fontId="42" fillId="0" borderId="0"/>
    <xf numFmtId="0" fontId="42" fillId="0" borderId="0"/>
    <xf numFmtId="172" fontId="40" fillId="0" borderId="0"/>
    <xf numFmtId="0" fontId="40" fillId="0" borderId="0"/>
    <xf numFmtId="172" fontId="42" fillId="0" borderId="0"/>
    <xf numFmtId="0" fontId="4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12" fillId="0" borderId="0"/>
    <xf numFmtId="0" fontId="1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72" fontId="27" fillId="0" borderId="0"/>
    <xf numFmtId="0" fontId="27" fillId="0" borderId="0"/>
    <xf numFmtId="0" fontId="12" fillId="0" borderId="0"/>
    <xf numFmtId="0" fontId="12" fillId="0" borderId="0"/>
    <xf numFmtId="172" fontId="27" fillId="0" borderId="0"/>
    <xf numFmtId="0" fontId="27" fillId="0" borderId="0"/>
    <xf numFmtId="0" fontId="12" fillId="0" borderId="0"/>
    <xf numFmtId="172" fontId="12" fillId="0" borderId="0"/>
    <xf numFmtId="0" fontId="1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12" fillId="0" borderId="0"/>
    <xf numFmtId="0" fontId="12" fillId="0" borderId="0"/>
    <xf numFmtId="0" fontId="12" fillId="0" borderId="0"/>
    <xf numFmtId="172" fontId="40" fillId="0" borderId="0"/>
    <xf numFmtId="0" fontId="4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2" fontId="40" fillId="0" borderId="0"/>
    <xf numFmtId="0" fontId="40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9" fillId="0" borderId="0"/>
    <xf numFmtId="0" fontId="9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0" fontId="40" fillId="0" borderId="0"/>
    <xf numFmtId="0" fontId="12" fillId="0" borderId="0"/>
    <xf numFmtId="172" fontId="12" fillId="0" borderId="0"/>
    <xf numFmtId="0" fontId="12" fillId="0" borderId="0"/>
    <xf numFmtId="172" fontId="9" fillId="0" borderId="0"/>
    <xf numFmtId="0" fontId="9" fillId="0" borderId="0"/>
    <xf numFmtId="172" fontId="12" fillId="0" borderId="0"/>
    <xf numFmtId="0" fontId="12" fillId="0" borderId="0"/>
    <xf numFmtId="0" fontId="40" fillId="0" borderId="0"/>
    <xf numFmtId="0" fontId="12" fillId="0" borderId="0"/>
    <xf numFmtId="0" fontId="12" fillId="0" borderId="0"/>
    <xf numFmtId="172" fontId="9" fillId="0" borderId="0"/>
    <xf numFmtId="0" fontId="9" fillId="0" borderId="0"/>
    <xf numFmtId="172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2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2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/>
    <xf numFmtId="0" fontId="12" fillId="0" borderId="0"/>
    <xf numFmtId="172" fontId="9" fillId="0" borderId="0"/>
    <xf numFmtId="0" fontId="9" fillId="0" borderId="0"/>
    <xf numFmtId="0" fontId="43" fillId="0" borderId="0"/>
    <xf numFmtId="0" fontId="12" fillId="0" borderId="0"/>
    <xf numFmtId="0" fontId="40" fillId="0" borderId="0"/>
    <xf numFmtId="0" fontId="12" fillId="0" borderId="0"/>
    <xf numFmtId="0" fontId="40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3" fontId="9" fillId="0" borderId="0">
      <alignment horizont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172" fontId="40" fillId="0" borderId="0"/>
    <xf numFmtId="0" fontId="40" fillId="0" borderId="0"/>
    <xf numFmtId="172" fontId="12" fillId="0" borderId="0"/>
    <xf numFmtId="0" fontId="12" fillId="0" borderId="0"/>
    <xf numFmtId="172" fontId="9" fillId="0" borderId="0"/>
    <xf numFmtId="0" fontId="9" fillId="0" borderId="0"/>
    <xf numFmtId="172" fontId="12" fillId="0" borderId="0"/>
    <xf numFmtId="0" fontId="12" fillId="0" borderId="0"/>
    <xf numFmtId="3" fontId="9" fillId="0" borderId="0">
      <alignment horizontal="center"/>
    </xf>
    <xf numFmtId="172" fontId="12" fillId="0" borderId="0"/>
    <xf numFmtId="0" fontId="12" fillId="0" borderId="0"/>
    <xf numFmtId="0" fontId="39" fillId="0" borderId="0"/>
    <xf numFmtId="3" fontId="9" fillId="0" borderId="0">
      <alignment horizontal="center"/>
    </xf>
    <xf numFmtId="0" fontId="12" fillId="0" borderId="0"/>
    <xf numFmtId="172" fontId="42" fillId="0" borderId="0"/>
    <xf numFmtId="0" fontId="42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78" fontId="9" fillId="0" borderId="0" applyFill="0" applyBorder="0" applyAlignment="0" applyProtection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72" fontId="12" fillId="0" borderId="0"/>
    <xf numFmtId="0" fontId="12" fillId="0" borderId="0"/>
    <xf numFmtId="3" fontId="9" fillId="0" borderId="0">
      <alignment horizontal="center"/>
    </xf>
    <xf numFmtId="172" fontId="12" fillId="0" borderId="0"/>
    <xf numFmtId="0" fontId="12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4" fillId="8" borderId="0"/>
    <xf numFmtId="0" fontId="44" fillId="8" borderId="0"/>
    <xf numFmtId="177" fontId="9" fillId="0" borderId="0" applyFont="0" applyFill="0" applyBorder="0" applyAlignment="0" applyProtection="0"/>
    <xf numFmtId="172" fontId="40" fillId="0" borderId="0"/>
    <xf numFmtId="0" fontId="40" fillId="0" borderId="0"/>
    <xf numFmtId="0" fontId="12" fillId="0" borderId="0"/>
    <xf numFmtId="172" fontId="9" fillId="0" borderId="0"/>
    <xf numFmtId="0" fontId="9" fillId="0" borderId="0"/>
    <xf numFmtId="172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39" fillId="0" borderId="0"/>
    <xf numFmtId="0" fontId="39" fillId="0" borderId="0"/>
    <xf numFmtId="0" fontId="39" fillId="0" borderId="0"/>
    <xf numFmtId="0" fontId="45" fillId="0" borderId="0">
      <alignment vertical="center"/>
    </xf>
    <xf numFmtId="172" fontId="40" fillId="0" borderId="0"/>
    <xf numFmtId="0" fontId="40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2" fillId="0" borderId="0"/>
    <xf numFmtId="0" fontId="42" fillId="0" borderId="0"/>
    <xf numFmtId="172" fontId="12" fillId="0" borderId="0"/>
    <xf numFmtId="0" fontId="12" fillId="0" borderId="0"/>
    <xf numFmtId="172" fontId="46" fillId="0" borderId="0">
      <alignment horizontal="left"/>
    </xf>
    <xf numFmtId="0" fontId="46" fillId="0" borderId="0">
      <alignment horizontal="left"/>
    </xf>
    <xf numFmtId="172" fontId="46" fillId="0" borderId="0">
      <alignment horizontal="left"/>
    </xf>
    <xf numFmtId="0" fontId="46" fillId="0" borderId="0">
      <alignment horizontal="left"/>
    </xf>
    <xf numFmtId="0" fontId="11" fillId="0" borderId="0">
      <alignment vertical="top"/>
    </xf>
    <xf numFmtId="3" fontId="9" fillId="0" borderId="0">
      <alignment horizontal="center"/>
    </xf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9" fontId="9" fillId="0" borderId="0" applyFont="0" applyFill="0" applyBorder="0" applyAlignment="0" applyProtection="0"/>
    <xf numFmtId="0" fontId="12" fillId="0" borderId="0"/>
    <xf numFmtId="3" fontId="9" fillId="0" borderId="0">
      <alignment horizontal="center"/>
    </xf>
    <xf numFmtId="172" fontId="40" fillId="0" borderId="0"/>
    <xf numFmtId="0" fontId="40" fillId="0" borderId="0"/>
    <xf numFmtId="172" fontId="42" fillId="0" borderId="0"/>
    <xf numFmtId="0" fontId="42" fillId="0" borderId="0"/>
    <xf numFmtId="0" fontId="40" fillId="0" borderId="0"/>
    <xf numFmtId="0" fontId="45" fillId="0" borderId="0">
      <alignment vertical="center"/>
    </xf>
    <xf numFmtId="0" fontId="1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" fillId="0" borderId="0"/>
    <xf numFmtId="0" fontId="9" fillId="0" borderId="0"/>
    <xf numFmtId="0" fontId="12" fillId="0" borderId="0"/>
    <xf numFmtId="172" fontId="9" fillId="0" borderId="0"/>
    <xf numFmtId="0" fontId="9" fillId="0" borderId="0"/>
    <xf numFmtId="0" fontId="12" fillId="0" borderId="0"/>
    <xf numFmtId="0" fontId="40" fillId="0" borderId="0"/>
    <xf numFmtId="0" fontId="12" fillId="0" borderId="0"/>
    <xf numFmtId="0" fontId="12" fillId="0" borderId="0"/>
    <xf numFmtId="0" fontId="40" fillId="0" borderId="0"/>
    <xf numFmtId="0" fontId="40" fillId="0" borderId="0"/>
    <xf numFmtId="0" fontId="12" fillId="0" borderId="0"/>
    <xf numFmtId="0" fontId="12" fillId="0" borderId="0"/>
    <xf numFmtId="0" fontId="12" fillId="0" borderId="0"/>
    <xf numFmtId="0" fontId="40" fillId="0" borderId="0"/>
    <xf numFmtId="0" fontId="12" fillId="0" borderId="0"/>
    <xf numFmtId="0" fontId="9" fillId="0" borderId="0"/>
    <xf numFmtId="0" fontId="12" fillId="0" borderId="0"/>
    <xf numFmtId="0" fontId="40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12" fillId="0" borderId="0"/>
    <xf numFmtId="0" fontId="40" fillId="0" borderId="0"/>
    <xf numFmtId="0" fontId="12" fillId="0" borderId="0"/>
    <xf numFmtId="0" fontId="40" fillId="0" borderId="0"/>
    <xf numFmtId="0" fontId="12" fillId="0" borderId="0"/>
    <xf numFmtId="0" fontId="12" fillId="0" borderId="0"/>
    <xf numFmtId="0" fontId="45" fillId="0" borderId="0">
      <alignment vertical="center"/>
    </xf>
    <xf numFmtId="172" fontId="9" fillId="0" borderId="0"/>
    <xf numFmtId="0" fontId="9" fillId="0" borderId="0"/>
    <xf numFmtId="172" fontId="9" fillId="0" borderId="0"/>
    <xf numFmtId="0" fontId="9" fillId="0" borderId="0"/>
    <xf numFmtId="172" fontId="9" fillId="0" borderId="0"/>
    <xf numFmtId="0" fontId="9" fillId="0" borderId="0"/>
    <xf numFmtId="172" fontId="40" fillId="0" borderId="0"/>
    <xf numFmtId="172" fontId="32" fillId="0" borderId="0" applyNumberFormat="0" applyFont="0" applyFill="0" applyBorder="0" applyAlignment="0" applyProtection="0"/>
    <xf numFmtId="0" fontId="32" fillId="0" borderId="0" applyNumberFormat="0" applyFont="0" applyFill="0" applyBorder="0" applyAlignment="0" applyProtection="0"/>
    <xf numFmtId="172" fontId="12" fillId="0" borderId="0"/>
    <xf numFmtId="0" fontId="12" fillId="0" borderId="0"/>
    <xf numFmtId="172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2" fontId="40" fillId="0" borderId="0"/>
    <xf numFmtId="0" fontId="40" fillId="0" borderId="0"/>
    <xf numFmtId="172" fontId="9" fillId="0" borderId="0"/>
    <xf numFmtId="0" fontId="9" fillId="0" borderId="0"/>
    <xf numFmtId="172" fontId="9" fillId="0" borderId="0"/>
    <xf numFmtId="0" fontId="9" fillId="0" borderId="0"/>
    <xf numFmtId="172" fontId="9" fillId="0" borderId="0"/>
    <xf numFmtId="0" fontId="9" fillId="0" borderId="0"/>
    <xf numFmtId="172" fontId="9" fillId="0" borderId="0"/>
    <xf numFmtId="0" fontId="9" fillId="0" borderId="0"/>
    <xf numFmtId="172" fontId="9" fillId="0" borderId="0"/>
    <xf numFmtId="0" fontId="9" fillId="0" borderId="0"/>
    <xf numFmtId="0" fontId="40" fillId="0" borderId="0"/>
    <xf numFmtId="0" fontId="40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172" fontId="46" fillId="0" borderId="0">
      <alignment horizontal="left"/>
    </xf>
    <xf numFmtId="0" fontId="46" fillId="0" borderId="0">
      <alignment horizontal="left"/>
    </xf>
    <xf numFmtId="172" fontId="46" fillId="0" borderId="0">
      <alignment horizontal="left"/>
    </xf>
    <xf numFmtId="0" fontId="46" fillId="0" borderId="0">
      <alignment horizontal="left"/>
    </xf>
    <xf numFmtId="172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2" fontId="32" fillId="0" borderId="0" applyNumberFormat="0" applyFont="0" applyFill="0" applyBorder="0" applyAlignment="0" applyProtection="0"/>
    <xf numFmtId="0" fontId="32" fillId="0" borderId="0" applyNumberFormat="0" applyFont="0" applyFill="0" applyBorder="0" applyAlignment="0" applyProtection="0"/>
    <xf numFmtId="172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2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2" fontId="9" fillId="0" borderId="0"/>
    <xf numFmtId="0" fontId="9" fillId="0" borderId="0"/>
    <xf numFmtId="0" fontId="40" fillId="0" borderId="0"/>
    <xf numFmtId="172" fontId="42" fillId="0" borderId="0"/>
    <xf numFmtId="0" fontId="42" fillId="0" borderId="0"/>
    <xf numFmtId="172" fontId="42" fillId="0" borderId="0"/>
    <xf numFmtId="0" fontId="42" fillId="0" borderId="0"/>
    <xf numFmtId="172" fontId="42" fillId="0" borderId="0"/>
    <xf numFmtId="0" fontId="4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39" fillId="0" borderId="0"/>
    <xf numFmtId="0" fontId="39" fillId="0" borderId="0"/>
    <xf numFmtId="172" fontId="48" fillId="0" borderId="0"/>
    <xf numFmtId="0" fontId="48" fillId="0" borderId="0"/>
    <xf numFmtId="0" fontId="43" fillId="0" borderId="0"/>
    <xf numFmtId="0" fontId="39" fillId="0" borderId="0"/>
    <xf numFmtId="0" fontId="43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39" fillId="0" borderId="0"/>
    <xf numFmtId="172" fontId="42" fillId="0" borderId="0"/>
    <xf numFmtId="0" fontId="42" fillId="0" borderId="0"/>
    <xf numFmtId="172" fontId="9" fillId="0" borderId="0"/>
    <xf numFmtId="0" fontId="9" fillId="0" borderId="0"/>
    <xf numFmtId="172" fontId="12" fillId="0" borderId="0"/>
    <xf numFmtId="0" fontId="12" fillId="0" borderId="0"/>
    <xf numFmtId="172" fontId="9" fillId="0" borderId="0"/>
    <xf numFmtId="0" fontId="9" fillId="0" borderId="0"/>
    <xf numFmtId="172" fontId="40" fillId="0" borderId="0"/>
    <xf numFmtId="0" fontId="40" fillId="0" borderId="0"/>
    <xf numFmtId="0" fontId="39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9" fillId="0" borderId="0">
      <alignment vertical="top"/>
    </xf>
    <xf numFmtId="0" fontId="49" fillId="0" borderId="0">
      <alignment vertical="top"/>
    </xf>
    <xf numFmtId="172" fontId="50" fillId="0" borderId="0">
      <alignment vertical="top"/>
    </xf>
    <xf numFmtId="0" fontId="50" fillId="0" borderId="0">
      <alignment vertical="top"/>
    </xf>
    <xf numFmtId="172" fontId="50" fillId="0" borderId="0">
      <alignment vertical="top"/>
    </xf>
    <xf numFmtId="0" fontId="50" fillId="0" borderId="0">
      <alignment vertical="top"/>
    </xf>
    <xf numFmtId="172" fontId="50" fillId="0" borderId="0">
      <alignment vertical="top"/>
    </xf>
    <xf numFmtId="0" fontId="50" fillId="0" borderId="0">
      <alignment vertical="top"/>
    </xf>
    <xf numFmtId="172" fontId="49" fillId="0" borderId="0">
      <alignment vertical="top"/>
    </xf>
    <xf numFmtId="0" fontId="49" fillId="0" borderId="0">
      <alignment vertical="top"/>
    </xf>
    <xf numFmtId="172" fontId="50" fillId="0" borderId="0">
      <alignment vertical="top"/>
    </xf>
    <xf numFmtId="0" fontId="50" fillId="0" borderId="0">
      <alignment vertical="top"/>
    </xf>
    <xf numFmtId="49" fontId="8" fillId="8" borderId="12" applyBorder="0">
      <alignment horizontal="center" wrapText="1"/>
    </xf>
    <xf numFmtId="49" fontId="8" fillId="8" borderId="12" applyBorder="0">
      <alignment horizontal="center" wrapText="1"/>
    </xf>
    <xf numFmtId="0" fontId="51" fillId="8" borderId="12" applyBorder="0">
      <alignment horizontal="left" wrapText="1"/>
    </xf>
    <xf numFmtId="0" fontId="51" fillId="8" borderId="12" applyBorder="0">
      <alignment horizontal="left" wrapText="1"/>
    </xf>
    <xf numFmtId="0" fontId="8" fillId="8" borderId="13" applyBorder="0">
      <alignment horizontal="center" textRotation="90" wrapText="1"/>
    </xf>
    <xf numFmtId="0" fontId="52" fillId="0" borderId="0" applyNumberFormat="0" applyFill="0" applyBorder="0" applyAlignment="0" applyProtection="0"/>
    <xf numFmtId="172" fontId="9" fillId="10" borderId="0" applyNumberFormat="0" applyFont="0" applyAlignment="0" applyProtection="0"/>
    <xf numFmtId="0" fontId="9" fillId="10" borderId="0" applyNumberFormat="0" applyFont="0" applyAlignment="0" applyProtection="0"/>
    <xf numFmtId="172" fontId="32" fillId="0" borderId="0" applyNumberFormat="0" applyFont="0" applyFill="0" applyBorder="0" applyAlignment="0" applyProtection="0"/>
    <xf numFmtId="0" fontId="32" fillId="0" borderId="0" applyNumberFormat="0" applyFont="0" applyFill="0" applyBorder="0" applyAlignment="0" applyProtection="0"/>
    <xf numFmtId="172" fontId="40" fillId="0" borderId="0"/>
    <xf numFmtId="0" fontId="40" fillId="0" borderId="0"/>
    <xf numFmtId="0" fontId="39" fillId="0" borderId="0"/>
    <xf numFmtId="0" fontId="9" fillId="0" borderId="0" applyNumberFormat="0" applyFill="0" applyBorder="0" applyAlignment="0" applyProtection="0"/>
    <xf numFmtId="0" fontId="39" fillId="0" borderId="0"/>
    <xf numFmtId="0" fontId="39" fillId="0" borderId="0"/>
    <xf numFmtId="0" fontId="40" fillId="0" borderId="0"/>
    <xf numFmtId="172" fontId="46" fillId="0" borderId="0">
      <alignment horizontal="left"/>
    </xf>
    <xf numFmtId="172" fontId="12" fillId="0" borderId="0"/>
    <xf numFmtId="0" fontId="12" fillId="0" borderId="0"/>
    <xf numFmtId="172" fontId="9" fillId="0" borderId="0"/>
    <xf numFmtId="0" fontId="9" fillId="0" borderId="0"/>
    <xf numFmtId="0" fontId="46" fillId="0" borderId="0">
      <alignment horizontal="left"/>
    </xf>
    <xf numFmtId="0" fontId="46" fillId="0" borderId="0">
      <alignment horizontal="left"/>
    </xf>
    <xf numFmtId="172" fontId="9" fillId="0" borderId="0"/>
    <xf numFmtId="0" fontId="9" fillId="0" borderId="0"/>
    <xf numFmtId="172" fontId="9" fillId="0" borderId="0"/>
    <xf numFmtId="172" fontId="9" fillId="0" borderId="0"/>
    <xf numFmtId="0" fontId="9" fillId="0" borderId="0"/>
    <xf numFmtId="172" fontId="40" fillId="0" borderId="0"/>
    <xf numFmtId="0" fontId="40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12" fillId="0" borderId="0"/>
    <xf numFmtId="0" fontId="12" fillId="0" borderId="0"/>
    <xf numFmtId="172" fontId="39" fillId="0" borderId="0"/>
    <xf numFmtId="0" fontId="39" fillId="0" borderId="0"/>
    <xf numFmtId="172" fontId="12" fillId="0" borderId="0"/>
    <xf numFmtId="0" fontId="12" fillId="0" borderId="0"/>
    <xf numFmtId="0" fontId="12" fillId="0" borderId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78" fontId="9" fillId="0" borderId="0" applyFill="0" applyBorder="0" applyAlignment="0" applyProtection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72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2" fillId="0" borderId="0"/>
    <xf numFmtId="172" fontId="9" fillId="0" borderId="0"/>
    <xf numFmtId="0" fontId="9" fillId="0" borderId="0"/>
    <xf numFmtId="172" fontId="9" fillId="0" borderId="0"/>
    <xf numFmtId="0" fontId="9" fillId="0" borderId="0"/>
    <xf numFmtId="172" fontId="9" fillId="0" borderId="0"/>
    <xf numFmtId="0" fontId="9" fillId="0" borderId="0"/>
    <xf numFmtId="172" fontId="9" fillId="0" borderId="0"/>
    <xf numFmtId="0" fontId="9" fillId="0" borderId="0"/>
    <xf numFmtId="172" fontId="9" fillId="0" borderId="0"/>
    <xf numFmtId="0" fontId="9" fillId="0" borderId="0"/>
    <xf numFmtId="172" fontId="9" fillId="0" borderId="0"/>
    <xf numFmtId="0" fontId="9" fillId="0" borderId="0"/>
    <xf numFmtId="172" fontId="12" fillId="0" borderId="0"/>
    <xf numFmtId="0" fontId="12" fillId="0" borderId="0"/>
    <xf numFmtId="3" fontId="9" fillId="0" borderId="0">
      <alignment horizontal="center"/>
    </xf>
    <xf numFmtId="172" fontId="12" fillId="0" borderId="0"/>
    <xf numFmtId="0" fontId="12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7" fillId="0" borderId="0"/>
    <xf numFmtId="0" fontId="47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7" fillId="0" borderId="0"/>
    <xf numFmtId="0" fontId="47" fillId="0" borderId="0"/>
    <xf numFmtId="172" fontId="40" fillId="0" borderId="0"/>
    <xf numFmtId="0" fontId="40" fillId="0" borderId="0"/>
    <xf numFmtId="0" fontId="39" fillId="0" borderId="0"/>
    <xf numFmtId="3" fontId="9" fillId="0" borderId="0">
      <alignment horizontal="center"/>
    </xf>
    <xf numFmtId="172" fontId="26" fillId="0" borderId="0"/>
    <xf numFmtId="0" fontId="26" fillId="0" borderId="0"/>
    <xf numFmtId="0" fontId="40" fillId="0" borderId="0"/>
    <xf numFmtId="0" fontId="12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72" fontId="53" fillId="0" borderId="0">
      <alignment vertical="center"/>
    </xf>
    <xf numFmtId="0" fontId="53" fillId="0" borderId="0">
      <alignment vertical="center"/>
    </xf>
    <xf numFmtId="0" fontId="40" fillId="0" borderId="0"/>
    <xf numFmtId="0" fontId="12" fillId="0" borderId="0"/>
    <xf numFmtId="0" fontId="40" fillId="0" borderId="0"/>
    <xf numFmtId="172" fontId="40" fillId="0" borderId="0"/>
    <xf numFmtId="0" fontId="40" fillId="0" borderId="0"/>
    <xf numFmtId="180" fontId="36" fillId="0" borderId="0" applyFill="0" applyBorder="0" applyAlignment="0" applyProtection="0"/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36" fillId="0" borderId="0" applyFill="0" applyBorder="0" applyAlignment="0" applyProtection="0"/>
    <xf numFmtId="182" fontId="9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72" fontId="40" fillId="0" borderId="0"/>
    <xf numFmtId="0" fontId="40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78" fontId="9" fillId="0" borderId="0" applyFill="0" applyBorder="0" applyAlignment="0" applyProtection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72" fontId="32" fillId="0" borderId="0" applyNumberFormat="0" applyFont="0" applyFill="0" applyBorder="0" applyAlignment="0" applyProtection="0"/>
    <xf numFmtId="0" fontId="32" fillId="0" borderId="0" applyNumberFormat="0" applyFont="0" applyFill="0" applyBorder="0" applyAlignment="0" applyProtection="0"/>
    <xf numFmtId="172" fontId="12" fillId="0" borderId="0"/>
    <xf numFmtId="0" fontId="39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32" fillId="0" borderId="0" applyNumberFormat="0" applyFont="0" applyFill="0" applyBorder="0" applyAlignment="0" applyProtection="0"/>
    <xf numFmtId="0" fontId="32" fillId="0" borderId="0" applyNumberFormat="0" applyFont="0" applyFill="0" applyBorder="0" applyAlignment="0" applyProtection="0"/>
    <xf numFmtId="172" fontId="32" fillId="0" borderId="0" applyNumberFormat="0" applyFont="0" applyFill="0" applyBorder="0" applyAlignment="0" applyProtection="0"/>
    <xf numFmtId="0" fontId="32" fillId="0" borderId="0" applyNumberFormat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0" fontId="39" fillId="0" borderId="0"/>
    <xf numFmtId="172" fontId="42" fillId="0" borderId="0"/>
    <xf numFmtId="0" fontId="4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9" fillId="0" borderId="0"/>
    <xf numFmtId="0" fontId="9" fillId="0" borderId="0"/>
    <xf numFmtId="172" fontId="40" fillId="0" borderId="0"/>
    <xf numFmtId="0" fontId="40" fillId="0" borderId="0"/>
    <xf numFmtId="0" fontId="39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49" fillId="0" borderId="0">
      <alignment vertical="top"/>
    </xf>
    <xf numFmtId="0" fontId="49" fillId="0" borderId="0">
      <alignment vertical="top"/>
    </xf>
    <xf numFmtId="172" fontId="50" fillId="0" borderId="0">
      <alignment vertical="top"/>
    </xf>
    <xf numFmtId="0" fontId="50" fillId="0" borderId="0">
      <alignment vertical="top"/>
    </xf>
    <xf numFmtId="172" fontId="50" fillId="0" borderId="0">
      <alignment vertical="top"/>
    </xf>
    <xf numFmtId="0" fontId="50" fillId="0" borderId="0">
      <alignment vertical="top"/>
    </xf>
    <xf numFmtId="172" fontId="50" fillId="0" borderId="0">
      <alignment vertical="top"/>
    </xf>
    <xf numFmtId="0" fontId="50" fillId="0" borderId="0">
      <alignment vertical="top"/>
    </xf>
    <xf numFmtId="172" fontId="49" fillId="0" borderId="0">
      <alignment vertical="top"/>
    </xf>
    <xf numFmtId="0" fontId="49" fillId="0" borderId="0">
      <alignment vertical="top"/>
    </xf>
    <xf numFmtId="172" fontId="50" fillId="0" borderId="0">
      <alignment vertical="top"/>
    </xf>
    <xf numFmtId="0" fontId="50" fillId="0" borderId="0">
      <alignment vertical="top"/>
    </xf>
    <xf numFmtId="172" fontId="26" fillId="0" borderId="0"/>
    <xf numFmtId="0" fontId="26" fillId="0" borderId="0"/>
    <xf numFmtId="172" fontId="26" fillId="0" borderId="0"/>
    <xf numFmtId="0" fontId="26" fillId="0" borderId="0"/>
    <xf numFmtId="172" fontId="9" fillId="0" borderId="0"/>
    <xf numFmtId="0" fontId="9" fillId="0" borderId="0"/>
    <xf numFmtId="172" fontId="40" fillId="0" borderId="0"/>
    <xf numFmtId="0" fontId="40" fillId="0" borderId="0"/>
    <xf numFmtId="172" fontId="12" fillId="0" borderId="0"/>
    <xf numFmtId="0" fontId="12" fillId="0" borderId="0"/>
    <xf numFmtId="172" fontId="27" fillId="0" borderId="0"/>
    <xf numFmtId="0" fontId="27" fillId="0" borderId="0"/>
    <xf numFmtId="172" fontId="39" fillId="0" borderId="0"/>
    <xf numFmtId="0" fontId="39" fillId="0" borderId="0"/>
    <xf numFmtId="0" fontId="12" fillId="0" borderId="0"/>
    <xf numFmtId="172" fontId="12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172" fontId="9" fillId="0" borderId="0"/>
    <xf numFmtId="0" fontId="9" fillId="0" borderId="0"/>
    <xf numFmtId="172" fontId="40" fillId="0" borderId="0"/>
    <xf numFmtId="0" fontId="40" fillId="0" borderId="0"/>
    <xf numFmtId="172" fontId="12" fillId="0" borderId="0"/>
    <xf numFmtId="0" fontId="12" fillId="0" borderId="0"/>
    <xf numFmtId="172" fontId="26" fillId="0" borderId="0"/>
    <xf numFmtId="0" fontId="26" fillId="0" borderId="0"/>
    <xf numFmtId="172" fontId="26" fillId="0" borderId="0"/>
    <xf numFmtId="0" fontId="26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26" fillId="0" borderId="0"/>
    <xf numFmtId="0" fontId="26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85" fontId="9" fillId="0" borderId="0" applyFont="0" applyFill="0" applyBorder="0" applyAlignment="0" applyProtection="0"/>
    <xf numFmtId="186" fontId="9" fillId="0" borderId="0" applyFont="0" applyFill="0" applyBorder="0" applyAlignment="0" applyProtection="0"/>
    <xf numFmtId="186" fontId="9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3" fontId="9" fillId="0" borderId="0">
      <alignment horizontal="center"/>
    </xf>
    <xf numFmtId="172" fontId="12" fillId="0" borderId="0"/>
    <xf numFmtId="0" fontId="12" fillId="0" borderId="0"/>
    <xf numFmtId="172" fontId="40" fillId="0" borderId="0"/>
    <xf numFmtId="172" fontId="9" fillId="0" borderId="0"/>
    <xf numFmtId="0" fontId="39" fillId="0" borderId="0"/>
    <xf numFmtId="172" fontId="46" fillId="0" borderId="0">
      <alignment horizontal="left"/>
    </xf>
    <xf numFmtId="0" fontId="46" fillId="0" borderId="0">
      <alignment horizontal="left"/>
    </xf>
    <xf numFmtId="0" fontId="12" fillId="0" borderId="0"/>
    <xf numFmtId="0" fontId="12" fillId="0" borderId="0"/>
    <xf numFmtId="172" fontId="40" fillId="0" borderId="0"/>
    <xf numFmtId="0" fontId="40" fillId="0" borderId="0"/>
    <xf numFmtId="172" fontId="9" fillId="0" borderId="0"/>
    <xf numFmtId="0" fontId="9" fillId="0" borderId="0"/>
    <xf numFmtId="172" fontId="12" fillId="0" borderId="0"/>
    <xf numFmtId="0" fontId="12" fillId="0" borderId="0"/>
    <xf numFmtId="172" fontId="40" fillId="0" borderId="0"/>
    <xf numFmtId="0" fontId="40" fillId="0" borderId="0"/>
    <xf numFmtId="172" fontId="27" fillId="0" borderId="0"/>
    <xf numFmtId="0" fontId="27" fillId="0" borderId="0"/>
    <xf numFmtId="3" fontId="9" fillId="0" borderId="0">
      <alignment horizontal="center"/>
    </xf>
    <xf numFmtId="172" fontId="12" fillId="0" borderId="0"/>
    <xf numFmtId="0" fontId="12" fillId="0" borderId="0"/>
    <xf numFmtId="172" fontId="12" fillId="0" borderId="0"/>
    <xf numFmtId="0" fontId="12" fillId="0" borderId="0"/>
    <xf numFmtId="172" fontId="46" fillId="0" borderId="0">
      <alignment horizontal="left"/>
    </xf>
    <xf numFmtId="0" fontId="46" fillId="0" borderId="0">
      <alignment horizontal="left"/>
    </xf>
    <xf numFmtId="172" fontId="26" fillId="8" borderId="0"/>
    <xf numFmtId="0" fontId="26" fillId="8" borderId="0"/>
    <xf numFmtId="0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0" fontId="39" fillId="0" borderId="0"/>
    <xf numFmtId="172" fontId="12" fillId="0" borderId="0"/>
    <xf numFmtId="0" fontId="12" fillId="0" borderId="0"/>
    <xf numFmtId="172" fontId="42" fillId="0" borderId="0"/>
    <xf numFmtId="0" fontId="42" fillId="0" borderId="0"/>
    <xf numFmtId="172" fontId="9" fillId="0" borderId="0"/>
    <xf numFmtId="0" fontId="9" fillId="0" borderId="0"/>
    <xf numFmtId="172" fontId="42" fillId="0" borderId="0"/>
    <xf numFmtId="0" fontId="42" fillId="0" borderId="0"/>
    <xf numFmtId="172" fontId="12" fillId="0" borderId="0"/>
    <xf numFmtId="0" fontId="12" fillId="0" borderId="0"/>
    <xf numFmtId="172" fontId="46" fillId="0" borderId="0">
      <alignment horizontal="left"/>
    </xf>
    <xf numFmtId="0" fontId="46" fillId="0" borderId="0">
      <alignment horizontal="left"/>
    </xf>
    <xf numFmtId="172" fontId="46" fillId="0" borderId="0">
      <alignment horizontal="left"/>
    </xf>
    <xf numFmtId="0" fontId="46" fillId="0" borderId="0">
      <alignment horizontal="left"/>
    </xf>
    <xf numFmtId="172" fontId="46" fillId="0" borderId="0">
      <alignment horizontal="left"/>
    </xf>
    <xf numFmtId="0" fontId="46" fillId="0" borderId="0">
      <alignment horizontal="left"/>
    </xf>
    <xf numFmtId="172" fontId="9" fillId="0" borderId="0"/>
    <xf numFmtId="0" fontId="9" fillId="0" borderId="0"/>
    <xf numFmtId="172" fontId="9" fillId="0" borderId="0"/>
    <xf numFmtId="0" fontId="9" fillId="0" borderId="0"/>
    <xf numFmtId="0" fontId="55" fillId="0" borderId="0" applyNumberFormat="0" applyFill="0" applyBorder="0" applyProtection="0">
      <alignment vertical="top"/>
    </xf>
    <xf numFmtId="172" fontId="12" fillId="0" borderId="0"/>
    <xf numFmtId="0" fontId="12" fillId="0" borderId="0"/>
    <xf numFmtId="172" fontId="56" fillId="0" borderId="0">
      <alignment vertical="center"/>
    </xf>
    <xf numFmtId="0" fontId="56" fillId="0" borderId="0">
      <alignment vertical="center"/>
    </xf>
    <xf numFmtId="172" fontId="53" fillId="0" borderId="0">
      <alignment vertical="center"/>
    </xf>
    <xf numFmtId="0" fontId="53" fillId="0" borderId="0">
      <alignment vertical="center"/>
    </xf>
    <xf numFmtId="172" fontId="53" fillId="0" borderId="0">
      <alignment vertical="center"/>
    </xf>
    <xf numFmtId="0" fontId="53" fillId="0" borderId="0">
      <alignment vertical="center"/>
    </xf>
    <xf numFmtId="172" fontId="53" fillId="0" borderId="0">
      <alignment vertical="center"/>
    </xf>
    <xf numFmtId="0" fontId="53" fillId="0" borderId="0">
      <alignment vertical="center"/>
    </xf>
    <xf numFmtId="172" fontId="56" fillId="0" borderId="0">
      <alignment vertical="center"/>
    </xf>
    <xf numFmtId="0" fontId="56" fillId="0" borderId="0">
      <alignment vertical="center"/>
    </xf>
    <xf numFmtId="172" fontId="53" fillId="0" borderId="0">
      <alignment vertical="center"/>
    </xf>
    <xf numFmtId="0" fontId="53" fillId="0" borderId="0">
      <alignment vertical="center"/>
    </xf>
    <xf numFmtId="172" fontId="42" fillId="0" borderId="0"/>
    <xf numFmtId="0" fontId="4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2" fontId="57" fillId="0" borderId="14" applyNumberFormat="0" applyFill="0" applyProtection="0">
      <alignment horizontal="center"/>
    </xf>
    <xf numFmtId="0" fontId="57" fillId="0" borderId="14" applyNumberFormat="0" applyFill="0" applyProtection="0">
      <alignment horizontal="center"/>
    </xf>
    <xf numFmtId="0" fontId="57" fillId="0" borderId="14" applyNumberFormat="0" applyFill="0" applyProtection="0">
      <alignment horizontal="center"/>
    </xf>
    <xf numFmtId="172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172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172" fontId="47" fillId="0" borderId="0"/>
    <xf numFmtId="0" fontId="47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172" fontId="42" fillId="0" borderId="0"/>
    <xf numFmtId="0" fontId="42" fillId="0" borderId="0"/>
    <xf numFmtId="172" fontId="9" fillId="0" borderId="0"/>
    <xf numFmtId="0" fontId="9" fillId="0" borderId="0"/>
    <xf numFmtId="172" fontId="9" fillId="0" borderId="0"/>
    <xf numFmtId="0" fontId="9" fillId="0" borderId="0"/>
    <xf numFmtId="0" fontId="39" fillId="0" borderId="0"/>
    <xf numFmtId="172" fontId="9" fillId="0" borderId="0"/>
    <xf numFmtId="0" fontId="9" fillId="0" borderId="0"/>
    <xf numFmtId="172" fontId="42" fillId="0" borderId="0"/>
    <xf numFmtId="0" fontId="42" fillId="0" borderId="0"/>
    <xf numFmtId="172" fontId="40" fillId="0" borderId="0"/>
    <xf numFmtId="0" fontId="40" fillId="0" borderId="0"/>
    <xf numFmtId="0" fontId="39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0" fontId="39" fillId="0" borderId="0"/>
    <xf numFmtId="172" fontId="9" fillId="0" borderId="0"/>
    <xf numFmtId="0" fontId="9" fillId="0" borderId="0"/>
    <xf numFmtId="0" fontId="40" fillId="0" borderId="0"/>
    <xf numFmtId="172" fontId="12" fillId="0" borderId="0"/>
    <xf numFmtId="0" fontId="12" fillId="0" borderId="0"/>
    <xf numFmtId="172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9" fillId="0" borderId="0"/>
    <xf numFmtId="0" fontId="9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78" fontId="9" fillId="0" borderId="0" applyFill="0" applyBorder="0" applyAlignment="0" applyProtection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0" fontId="12" fillId="0" borderId="0"/>
    <xf numFmtId="0" fontId="40" fillId="0" borderId="0"/>
    <xf numFmtId="0" fontId="40" fillId="0" borderId="0"/>
    <xf numFmtId="172" fontId="9" fillId="0" borderId="0"/>
    <xf numFmtId="0" fontId="9" fillId="0" borderId="0"/>
    <xf numFmtId="0" fontId="12" fillId="0" borderId="0"/>
    <xf numFmtId="172" fontId="12" fillId="0" borderId="0"/>
    <xf numFmtId="0" fontId="12" fillId="0" borderId="0"/>
    <xf numFmtId="0" fontId="39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12" fillId="0" borderId="0"/>
    <xf numFmtId="0" fontId="12" fillId="0" borderId="0"/>
    <xf numFmtId="0" fontId="40" fillId="0" borderId="0"/>
    <xf numFmtId="0" fontId="12" fillId="0" borderId="0"/>
    <xf numFmtId="172" fontId="12" fillId="0" borderId="0"/>
    <xf numFmtId="0" fontId="12" fillId="0" borderId="0"/>
    <xf numFmtId="0" fontId="43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2" fontId="27" fillId="0" borderId="0"/>
    <xf numFmtId="0" fontId="27" fillId="0" borderId="0"/>
    <xf numFmtId="0" fontId="12" fillId="0" borderId="0"/>
    <xf numFmtId="172" fontId="40" fillId="0" borderId="0"/>
    <xf numFmtId="0" fontId="40" fillId="0" borderId="0"/>
    <xf numFmtId="0" fontId="12" fillId="0" borderId="0"/>
    <xf numFmtId="0" fontId="12" fillId="0" borderId="0"/>
    <xf numFmtId="0" fontId="12" fillId="0" borderId="0"/>
    <xf numFmtId="0" fontId="40" fillId="0" borderId="0"/>
    <xf numFmtId="0" fontId="40" fillId="0" borderId="0"/>
    <xf numFmtId="0" fontId="40" fillId="0" borderId="0"/>
    <xf numFmtId="0" fontId="39" fillId="0" borderId="0"/>
    <xf numFmtId="0" fontId="12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0" fontId="40" fillId="0" borderId="0"/>
    <xf numFmtId="172" fontId="12" fillId="0" borderId="0"/>
    <xf numFmtId="0" fontId="12" fillId="0" borderId="0"/>
    <xf numFmtId="187" fontId="59" fillId="9" borderId="15" applyFont="0">
      <alignment shrinkToFit="1"/>
    </xf>
    <xf numFmtId="187" fontId="59" fillId="9" borderId="15" applyFont="0">
      <alignment shrinkToFit="1"/>
    </xf>
    <xf numFmtId="187" fontId="59" fillId="9" borderId="15" applyFont="0">
      <alignment shrinkToFit="1"/>
    </xf>
    <xf numFmtId="187" fontId="59" fillId="9" borderId="15" applyFont="0">
      <alignment shrinkToFit="1"/>
    </xf>
    <xf numFmtId="187" fontId="59" fillId="9" borderId="15" applyFont="0">
      <alignment shrinkToFit="1"/>
    </xf>
    <xf numFmtId="187" fontId="59" fillId="9" borderId="15" applyFont="0">
      <alignment shrinkToFit="1"/>
    </xf>
    <xf numFmtId="187" fontId="59" fillId="9" borderId="15" applyFont="0">
      <alignment shrinkToFit="1"/>
    </xf>
    <xf numFmtId="187" fontId="59" fillId="9" borderId="15" applyFont="0">
      <alignment shrinkToFit="1"/>
    </xf>
    <xf numFmtId="187" fontId="59" fillId="9" borderId="15" applyFont="0">
      <alignment shrinkToFit="1"/>
    </xf>
    <xf numFmtId="187" fontId="59" fillId="9" borderId="15" applyFont="0">
      <alignment shrinkToFit="1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72" fontId="40" fillId="0" borderId="0"/>
    <xf numFmtId="0" fontId="40" fillId="0" borderId="0"/>
    <xf numFmtId="0" fontId="12" fillId="0" borderId="0"/>
    <xf numFmtId="0" fontId="40" fillId="0" borderId="0"/>
    <xf numFmtId="0" fontId="12" fillId="0" borderId="0"/>
    <xf numFmtId="172" fontId="46" fillId="0" borderId="0">
      <alignment horizontal="left"/>
    </xf>
    <xf numFmtId="0" fontId="46" fillId="0" borderId="0">
      <alignment horizontal="left"/>
    </xf>
    <xf numFmtId="0" fontId="12" fillId="0" borderId="0"/>
    <xf numFmtId="0" fontId="40" fillId="0" borderId="0"/>
    <xf numFmtId="0" fontId="39" fillId="0" borderId="0"/>
    <xf numFmtId="172" fontId="39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2" fontId="40" fillId="0" borderId="0"/>
    <xf numFmtId="0" fontId="40" fillId="0" borderId="0"/>
    <xf numFmtId="172" fontId="53" fillId="0" borderId="0">
      <alignment vertical="center"/>
    </xf>
    <xf numFmtId="0" fontId="53" fillId="0" borderId="0">
      <alignment vertical="center"/>
    </xf>
    <xf numFmtId="0" fontId="12" fillId="0" borderId="0"/>
    <xf numFmtId="0" fontId="12" fillId="0" borderId="0"/>
    <xf numFmtId="0" fontId="40" fillId="0" borderId="0"/>
    <xf numFmtId="0" fontId="12" fillId="0" borderId="0"/>
    <xf numFmtId="0" fontId="40" fillId="0" borderId="0"/>
    <xf numFmtId="0" fontId="12" fillId="0" borderId="0"/>
    <xf numFmtId="0" fontId="39" fillId="0" borderId="0"/>
    <xf numFmtId="172" fontId="40" fillId="0" borderId="0"/>
    <xf numFmtId="0" fontId="40" fillId="0" borderId="0"/>
    <xf numFmtId="0" fontId="9" fillId="0" borderId="0"/>
    <xf numFmtId="0" fontId="40" fillId="0" borderId="0"/>
    <xf numFmtId="0" fontId="40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0" fillId="0" borderId="0"/>
    <xf numFmtId="172" fontId="12" fillId="0" borderId="0"/>
    <xf numFmtId="0" fontId="12" fillId="0" borderId="0"/>
    <xf numFmtId="0" fontId="1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172" fontId="40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72" fontId="40" fillId="0" borderId="0"/>
    <xf numFmtId="0" fontId="4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0" fillId="0" borderId="0"/>
    <xf numFmtId="0" fontId="40" fillId="0" borderId="0"/>
    <xf numFmtId="0" fontId="12" fillId="0" borderId="0"/>
    <xf numFmtId="0" fontId="12" fillId="0" borderId="0"/>
    <xf numFmtId="0" fontId="40" fillId="0" borderId="0"/>
    <xf numFmtId="0" fontId="12" fillId="0" borderId="0"/>
    <xf numFmtId="0" fontId="12" fillId="0" borderId="0"/>
    <xf numFmtId="0" fontId="40" fillId="0" borderId="0"/>
    <xf numFmtId="0" fontId="40" fillId="0" borderId="0"/>
    <xf numFmtId="0" fontId="1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5" fillId="0" borderId="0">
      <alignment vertical="center"/>
    </xf>
    <xf numFmtId="0" fontId="40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47" fillId="0" borderId="0"/>
    <xf numFmtId="0" fontId="47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172" fontId="12" fillId="0" borderId="0"/>
    <xf numFmtId="0" fontId="12" fillId="0" borderId="0"/>
    <xf numFmtId="0" fontId="40" fillId="0" borderId="0"/>
    <xf numFmtId="0" fontId="11" fillId="0" borderId="0">
      <alignment vertical="top"/>
    </xf>
    <xf numFmtId="172" fontId="40" fillId="0" borderId="0"/>
    <xf numFmtId="0" fontId="40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0" fontId="40" fillId="0" borderId="0"/>
    <xf numFmtId="0" fontId="12" fillId="0" borderId="0"/>
    <xf numFmtId="0" fontId="43" fillId="0" borderId="0"/>
    <xf numFmtId="172" fontId="40" fillId="0" borderId="0"/>
    <xf numFmtId="0" fontId="40" fillId="0" borderId="0"/>
    <xf numFmtId="172" fontId="9" fillId="0" borderId="0"/>
    <xf numFmtId="0" fontId="9" fillId="0" borderId="0"/>
    <xf numFmtId="0" fontId="40" fillId="0" borderId="0"/>
    <xf numFmtId="172" fontId="40" fillId="0" borderId="0"/>
    <xf numFmtId="0" fontId="40" fillId="0" borderId="0"/>
    <xf numFmtId="0" fontId="40" fillId="0" borderId="0"/>
    <xf numFmtId="0" fontId="40" fillId="0" borderId="0"/>
    <xf numFmtId="0" fontId="3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40" fillId="0" borderId="0"/>
    <xf numFmtId="172" fontId="12" fillId="0" borderId="0"/>
    <xf numFmtId="0" fontId="12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/>
    <xf numFmtId="0" fontId="12" fillId="0" borderId="0"/>
    <xf numFmtId="172" fontId="9" fillId="0" borderId="0"/>
    <xf numFmtId="0" fontId="9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0" fontId="40" fillId="0" borderId="0"/>
    <xf numFmtId="0" fontId="39" fillId="0" borderId="0"/>
    <xf numFmtId="172" fontId="12" fillId="0" borderId="0"/>
    <xf numFmtId="0" fontId="1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0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>
      <alignment vertical="top"/>
    </xf>
    <xf numFmtId="0" fontId="40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3" fillId="0" borderId="0"/>
    <xf numFmtId="0" fontId="12" fillId="0" borderId="0"/>
    <xf numFmtId="0" fontId="39" fillId="0" borderId="0"/>
    <xf numFmtId="0" fontId="12" fillId="0" borderId="0"/>
    <xf numFmtId="187" fontId="9" fillId="11" borderId="15">
      <alignment shrinkToFit="1"/>
    </xf>
    <xf numFmtId="187" fontId="9" fillId="11" borderId="15">
      <alignment shrinkToFit="1"/>
    </xf>
    <xf numFmtId="187" fontId="9" fillId="11" borderId="15">
      <alignment shrinkToFit="1"/>
    </xf>
    <xf numFmtId="187" fontId="9" fillId="11" borderId="15">
      <alignment shrinkToFit="1"/>
    </xf>
    <xf numFmtId="187" fontId="9" fillId="11" borderId="15">
      <alignment shrinkToFit="1"/>
    </xf>
    <xf numFmtId="187" fontId="9" fillId="11" borderId="15">
      <alignment shrinkToFit="1"/>
    </xf>
    <xf numFmtId="187" fontId="9" fillId="11" borderId="15">
      <alignment shrinkToFit="1"/>
    </xf>
    <xf numFmtId="187" fontId="9" fillId="11" borderId="15">
      <alignment shrinkToFit="1"/>
    </xf>
    <xf numFmtId="187" fontId="9" fillId="11" borderId="15">
      <alignment shrinkToFit="1"/>
    </xf>
    <xf numFmtId="187" fontId="9" fillId="11" borderId="15">
      <alignment shrinkToFit="1"/>
    </xf>
    <xf numFmtId="0" fontId="12" fillId="0" borderId="0"/>
    <xf numFmtId="172" fontId="12" fillId="0" borderId="0"/>
    <xf numFmtId="0" fontId="12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/>
    <xf numFmtId="0" fontId="12" fillId="0" borderId="0"/>
    <xf numFmtId="0" fontId="39" fillId="0" borderId="0"/>
    <xf numFmtId="172" fontId="40" fillId="0" borderId="0"/>
    <xf numFmtId="0" fontId="40" fillId="0" borderId="0"/>
    <xf numFmtId="0" fontId="40" fillId="0" borderId="0"/>
    <xf numFmtId="172" fontId="9" fillId="0" borderId="0"/>
    <xf numFmtId="0" fontId="9" fillId="0" borderId="0"/>
    <xf numFmtId="0" fontId="40" fillId="0" borderId="0"/>
    <xf numFmtId="0" fontId="12" fillId="0" borderId="0"/>
    <xf numFmtId="0" fontId="39" fillId="0" borderId="0"/>
    <xf numFmtId="0" fontId="40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0" fillId="0" borderId="0"/>
    <xf numFmtId="172" fontId="40" fillId="0" borderId="0"/>
    <xf numFmtId="0" fontId="40" fillId="0" borderId="0"/>
    <xf numFmtId="9" fontId="7" fillId="0" borderId="0" applyFont="0" applyFill="0" applyBorder="0" applyAlignment="0" applyProtection="0"/>
    <xf numFmtId="172" fontId="27" fillId="0" borderId="0"/>
    <xf numFmtId="0" fontId="27" fillId="0" borderId="0"/>
    <xf numFmtId="172" fontId="40" fillId="0" borderId="0"/>
    <xf numFmtId="0" fontId="40" fillId="0" borderId="0"/>
    <xf numFmtId="172" fontId="12" fillId="0" borderId="0"/>
    <xf numFmtId="0" fontId="12" fillId="0" borderId="0"/>
    <xf numFmtId="172" fontId="40" fillId="0" borderId="0"/>
    <xf numFmtId="0" fontId="40" fillId="0" borderId="0"/>
    <xf numFmtId="0" fontId="9" fillId="0" borderId="0"/>
    <xf numFmtId="0" fontId="39" fillId="0" borderId="0"/>
    <xf numFmtId="172" fontId="40" fillId="0" borderId="0"/>
    <xf numFmtId="0" fontId="4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0" fontId="40" fillId="0" borderId="0"/>
    <xf numFmtId="0" fontId="12" fillId="0" borderId="0"/>
    <xf numFmtId="172" fontId="12" fillId="0" borderId="0"/>
    <xf numFmtId="0" fontId="12" fillId="0" borderId="0"/>
    <xf numFmtId="172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2" fontId="9" fillId="0" borderId="0"/>
    <xf numFmtId="0" fontId="9" fillId="0" borderId="0"/>
    <xf numFmtId="0" fontId="12" fillId="0" borderId="0"/>
    <xf numFmtId="0" fontId="1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0" fillId="0" borderId="0"/>
    <xf numFmtId="0" fontId="12" fillId="0" borderId="0"/>
    <xf numFmtId="0" fontId="43" fillId="0" borderId="0"/>
    <xf numFmtId="0" fontId="12" fillId="0" borderId="0"/>
    <xf numFmtId="0" fontId="43" fillId="0" borderId="0"/>
    <xf numFmtId="0" fontId="12" fillId="0" borderId="0"/>
    <xf numFmtId="0" fontId="43" fillId="0" borderId="0"/>
    <xf numFmtId="0" fontId="43" fillId="0" borderId="0"/>
    <xf numFmtId="0" fontId="12" fillId="0" borderId="0"/>
    <xf numFmtId="0" fontId="4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0" fontId="40" fillId="0" borderId="0"/>
    <xf numFmtId="0" fontId="40" fillId="0" borderId="0"/>
    <xf numFmtId="0" fontId="12" fillId="0" borderId="0"/>
    <xf numFmtId="0" fontId="40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172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2" fontId="12" fillId="0" borderId="0"/>
    <xf numFmtId="0" fontId="12" fillId="0" borderId="0"/>
    <xf numFmtId="172" fontId="40" fillId="0" borderId="0"/>
    <xf numFmtId="0" fontId="40" fillId="0" borderId="0"/>
    <xf numFmtId="0" fontId="40" fillId="0" borderId="0"/>
    <xf numFmtId="0" fontId="40" fillId="0" borderId="0"/>
    <xf numFmtId="0" fontId="43" fillId="0" borderId="0"/>
    <xf numFmtId="0" fontId="12" fillId="0" borderId="0"/>
    <xf numFmtId="172" fontId="40" fillId="0" borderId="0"/>
    <xf numFmtId="0" fontId="40" fillId="0" borderId="0"/>
    <xf numFmtId="0" fontId="12" fillId="0" borderId="0"/>
    <xf numFmtId="0" fontId="12" fillId="0" borderId="0"/>
    <xf numFmtId="0" fontId="12" fillId="0" borderId="0"/>
    <xf numFmtId="187" fontId="9" fillId="0" borderId="15" applyFont="0">
      <alignment shrinkToFit="1"/>
    </xf>
    <xf numFmtId="187" fontId="9" fillId="0" borderId="15" applyFont="0">
      <alignment shrinkToFit="1"/>
    </xf>
    <xf numFmtId="187" fontId="9" fillId="0" borderId="15" applyFont="0">
      <alignment shrinkToFit="1"/>
    </xf>
    <xf numFmtId="187" fontId="9" fillId="0" borderId="15" applyFont="0">
      <alignment shrinkToFit="1"/>
    </xf>
    <xf numFmtId="187" fontId="9" fillId="0" borderId="15" applyFont="0">
      <alignment shrinkToFit="1"/>
    </xf>
    <xf numFmtId="187" fontId="9" fillId="0" borderId="15" applyFont="0">
      <alignment shrinkToFit="1"/>
    </xf>
    <xf numFmtId="187" fontId="9" fillId="0" borderId="15" applyFont="0">
      <alignment shrinkToFit="1"/>
    </xf>
    <xf numFmtId="187" fontId="9" fillId="0" borderId="15" applyFont="0">
      <alignment shrinkToFit="1"/>
    </xf>
    <xf numFmtId="187" fontId="9" fillId="0" borderId="15" applyFont="0">
      <alignment shrinkToFit="1"/>
    </xf>
    <xf numFmtId="187" fontId="9" fillId="0" borderId="15" applyFont="0">
      <alignment shrinkToFit="1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72" fontId="40" fillId="0" borderId="0"/>
    <xf numFmtId="0" fontId="40" fillId="0" borderId="0"/>
    <xf numFmtId="0" fontId="40" fillId="0" borderId="0"/>
    <xf numFmtId="0" fontId="40" fillId="0" borderId="0"/>
    <xf numFmtId="0" fontId="12" fillId="0" borderId="0"/>
    <xf numFmtId="172" fontId="9" fillId="0" borderId="0"/>
    <xf numFmtId="0" fontId="9" fillId="0" borderId="0"/>
    <xf numFmtId="172" fontId="40" fillId="0" borderId="0"/>
    <xf numFmtId="0" fontId="40" fillId="0" borderId="0"/>
    <xf numFmtId="0" fontId="12" fillId="0" borderId="0"/>
    <xf numFmtId="172" fontId="27" fillId="0" borderId="0"/>
    <xf numFmtId="0" fontId="27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172" fontId="40" fillId="0" borderId="0"/>
    <xf numFmtId="0" fontId="40" fillId="0" borderId="0"/>
    <xf numFmtId="0" fontId="40" fillId="0" borderId="0"/>
    <xf numFmtId="0" fontId="4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2" fontId="40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188" fontId="9" fillId="12" borderId="0" applyFont="0" applyBorder="0">
      <alignment horizontal="center" vertical="center" shrinkToFit="1"/>
    </xf>
    <xf numFmtId="0" fontId="40" fillId="0" borderId="0"/>
    <xf numFmtId="189" fontId="60" fillId="0" borderId="0" applyFill="0" applyBorder="0">
      <alignment horizontal="right"/>
    </xf>
    <xf numFmtId="190" fontId="60" fillId="0" borderId="0" applyFill="0" applyBorder="0" applyProtection="0">
      <alignment horizontal="right"/>
    </xf>
    <xf numFmtId="185" fontId="61" fillId="0" borderId="0" applyFill="0" applyBorder="0" applyProtection="0">
      <alignment horizontal="center"/>
    </xf>
    <xf numFmtId="191" fontId="61" fillId="0" borderId="0" applyFill="0" applyBorder="0" applyProtection="0">
      <alignment horizontal="center"/>
    </xf>
    <xf numFmtId="192" fontId="62" fillId="0" borderId="0" applyFill="0" applyBorder="0" applyProtection="0">
      <alignment horizontal="right"/>
    </xf>
    <xf numFmtId="193" fontId="60" fillId="0" borderId="0" applyFill="0" applyBorder="0" applyProtection="0">
      <alignment horizontal="right"/>
    </xf>
    <xf numFmtId="194" fontId="60" fillId="0" borderId="0" applyFill="0" applyBorder="0" applyProtection="0">
      <alignment horizontal="right"/>
    </xf>
    <xf numFmtId="195" fontId="60" fillId="0" borderId="0" applyFill="0" applyBorder="0" applyProtection="0">
      <alignment horizontal="right"/>
    </xf>
    <xf numFmtId="196" fontId="60" fillId="0" borderId="0" applyFill="0" applyBorder="0" applyProtection="0">
      <alignment horizontal="right"/>
    </xf>
    <xf numFmtId="197" fontId="31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4" fontId="63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198" fontId="37" fillId="0" borderId="0">
      <protection locked="0"/>
    </xf>
    <xf numFmtId="198" fontId="37" fillId="0" borderId="0">
      <protection locked="0"/>
    </xf>
    <xf numFmtId="198" fontId="37" fillId="0" borderId="0">
      <protection locked="0"/>
    </xf>
    <xf numFmtId="198" fontId="37" fillId="0" borderId="0">
      <protection locked="0"/>
    </xf>
    <xf numFmtId="198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197" fontId="31" fillId="0" borderId="0">
      <protection locked="0"/>
    </xf>
    <xf numFmtId="4" fontId="63" fillId="0" borderId="0">
      <protection locked="0"/>
    </xf>
    <xf numFmtId="172" fontId="63" fillId="0" borderId="0">
      <protection locked="0"/>
    </xf>
    <xf numFmtId="0" fontId="63" fillId="0" borderId="0">
      <protection locked="0"/>
    </xf>
    <xf numFmtId="172" fontId="63" fillId="0" borderId="0">
      <protection locked="0"/>
    </xf>
    <xf numFmtId="0" fontId="63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199" fontId="37" fillId="0" borderId="0">
      <protection locked="0"/>
    </xf>
    <xf numFmtId="199" fontId="37" fillId="0" borderId="0">
      <protection locked="0"/>
    </xf>
    <xf numFmtId="199" fontId="37" fillId="0" borderId="0">
      <protection locked="0"/>
    </xf>
    <xf numFmtId="199" fontId="37" fillId="0" borderId="0">
      <protection locked="0"/>
    </xf>
    <xf numFmtId="199" fontId="37" fillId="0" borderId="0">
      <protection locked="0"/>
    </xf>
    <xf numFmtId="200" fontId="31" fillId="0" borderId="0">
      <protection locked="0"/>
    </xf>
    <xf numFmtId="200" fontId="31" fillId="0" borderId="0">
      <protection locked="0"/>
    </xf>
    <xf numFmtId="200" fontId="31" fillId="0" borderId="0">
      <protection locked="0"/>
    </xf>
    <xf numFmtId="200" fontId="31" fillId="0" borderId="0">
      <protection locked="0"/>
    </xf>
    <xf numFmtId="200" fontId="31" fillId="0" borderId="0">
      <protection locked="0"/>
    </xf>
    <xf numFmtId="200" fontId="31" fillId="0" borderId="0">
      <protection locked="0"/>
    </xf>
    <xf numFmtId="200" fontId="31" fillId="0" borderId="0">
      <protection locked="0"/>
    </xf>
    <xf numFmtId="200" fontId="31" fillId="0" borderId="0">
      <protection locked="0"/>
    </xf>
    <xf numFmtId="200" fontId="31" fillId="0" borderId="0">
      <protection locked="0"/>
    </xf>
    <xf numFmtId="200" fontId="31" fillId="0" borderId="0">
      <protection locked="0"/>
    </xf>
    <xf numFmtId="200" fontId="31" fillId="0" borderId="0">
      <protection locked="0"/>
    </xf>
    <xf numFmtId="200" fontId="31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201" fontId="31" fillId="0" borderId="0" applyFont="0" applyFill="0" applyBorder="0" applyAlignment="0" applyProtection="0"/>
    <xf numFmtId="174" fontId="64" fillId="0" borderId="0"/>
    <xf numFmtId="202" fontId="31" fillId="0" borderId="0" applyFont="0" applyFill="0" applyBorder="0" applyAlignment="0" applyProtection="0"/>
    <xf numFmtId="172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203" fontId="37" fillId="0" borderId="6">
      <protection locked="0"/>
    </xf>
    <xf numFmtId="203" fontId="37" fillId="0" borderId="6">
      <protection locked="0"/>
    </xf>
    <xf numFmtId="203" fontId="37" fillId="0" borderId="6">
      <protection locked="0"/>
    </xf>
    <xf numFmtId="203" fontId="37" fillId="0" borderId="6">
      <protection locked="0"/>
    </xf>
    <xf numFmtId="203" fontId="37" fillId="0" borderId="6">
      <protection locked="0"/>
    </xf>
    <xf numFmtId="0" fontId="37" fillId="0" borderId="11">
      <protection locked="0"/>
    </xf>
    <xf numFmtId="0" fontId="37" fillId="0" borderId="11">
      <protection locked="0"/>
    </xf>
    <xf numFmtId="0" fontId="37" fillId="0" borderId="11">
      <protection locked="0"/>
    </xf>
    <xf numFmtId="0" fontId="37" fillId="0" borderId="11">
      <protection locked="0"/>
    </xf>
    <xf numFmtId="0" fontId="37" fillId="0" borderId="11">
      <protection locked="0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5" fontId="67" fillId="0" borderId="0"/>
    <xf numFmtId="205" fontId="67" fillId="0" borderId="0"/>
    <xf numFmtId="206" fontId="66" fillId="0" borderId="16">
      <alignment horizontal="left" vertical="center"/>
    </xf>
    <xf numFmtId="206" fontId="66" fillId="0" borderId="16">
      <alignment horizontal="left" vertical="center"/>
    </xf>
    <xf numFmtId="206" fontId="66" fillId="0" borderId="16">
      <alignment horizontal="left" vertical="center"/>
    </xf>
    <xf numFmtId="205" fontId="67" fillId="0" borderId="0"/>
    <xf numFmtId="207" fontId="67" fillId="0" borderId="0"/>
    <xf numFmtId="207" fontId="67" fillId="0" borderId="0"/>
    <xf numFmtId="205" fontId="67" fillId="0" borderId="0"/>
    <xf numFmtId="205" fontId="67" fillId="0" borderId="0"/>
    <xf numFmtId="204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6" fontId="66" fillId="0" borderId="16">
      <alignment horizontal="left" vertical="center"/>
    </xf>
    <xf numFmtId="206" fontId="66" fillId="0" borderId="16">
      <alignment horizontal="left" vertical="center"/>
    </xf>
    <xf numFmtId="206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5" fontId="67" fillId="0" borderId="0"/>
    <xf numFmtId="205" fontId="67" fillId="0" borderId="0"/>
    <xf numFmtId="207" fontId="67" fillId="0" borderId="0"/>
    <xf numFmtId="204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6" fontId="66" fillId="0" borderId="16">
      <alignment horizontal="left" vertical="center"/>
    </xf>
    <xf numFmtId="206" fontId="66" fillId="0" borderId="16">
      <alignment horizontal="left" vertical="center"/>
    </xf>
    <xf numFmtId="206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204" fontId="66" fillId="0" borderId="16">
      <alignment horizontal="left" vertical="center"/>
    </xf>
    <xf numFmtId="172" fontId="9" fillId="0" borderId="0"/>
    <xf numFmtId="0" fontId="9" fillId="0" borderId="0"/>
    <xf numFmtId="172" fontId="9" fillId="0" borderId="0"/>
    <xf numFmtId="0" fontId="9" fillId="0" borderId="0"/>
    <xf numFmtId="172" fontId="12" fillId="0" borderId="0"/>
    <xf numFmtId="208" fontId="28" fillId="0" borderId="0"/>
    <xf numFmtId="0" fontId="12" fillId="0" borderId="0"/>
    <xf numFmtId="172" fontId="12" fillId="0" borderId="0"/>
    <xf numFmtId="172" fontId="53" fillId="0" borderId="0">
      <alignment vertical="center"/>
    </xf>
    <xf numFmtId="0" fontId="53" fillId="0" borderId="0">
      <alignment vertical="center"/>
    </xf>
    <xf numFmtId="172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203" fontId="69" fillId="0" borderId="0">
      <protection locked="0"/>
    </xf>
    <xf numFmtId="203" fontId="69" fillId="0" borderId="0">
      <protection locked="0"/>
    </xf>
    <xf numFmtId="203" fontId="69" fillId="0" borderId="0">
      <protection locked="0"/>
    </xf>
    <xf numFmtId="203" fontId="69" fillId="0" borderId="0">
      <protection locked="0"/>
    </xf>
    <xf numFmtId="203" fontId="69" fillId="0" borderId="0">
      <protection locked="0"/>
    </xf>
    <xf numFmtId="203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176" fontId="31" fillId="0" borderId="0">
      <protection locked="0"/>
    </xf>
    <xf numFmtId="176" fontId="31" fillId="0" borderId="0">
      <protection locked="0"/>
    </xf>
    <xf numFmtId="176" fontId="31" fillId="0" borderId="0">
      <protection locked="0"/>
    </xf>
    <xf numFmtId="176" fontId="31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172" fontId="60" fillId="0" borderId="0"/>
    <xf numFmtId="172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176" fontId="31" fillId="0" borderId="17">
      <protection locked="0"/>
    </xf>
    <xf numFmtId="172" fontId="63" fillId="0" borderId="17">
      <protection locked="0"/>
    </xf>
    <xf numFmtId="0" fontId="63" fillId="0" borderId="17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172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209" fontId="72" fillId="0" borderId="0"/>
    <xf numFmtId="0" fontId="9" fillId="0" borderId="0" applyFont="0" applyFill="0" applyBorder="0" applyAlignment="0" applyProtection="0"/>
    <xf numFmtId="9" fontId="9" fillId="0" borderId="0"/>
    <xf numFmtId="0" fontId="73" fillId="0" borderId="0"/>
    <xf numFmtId="0" fontId="12" fillId="0" borderId="0"/>
    <xf numFmtId="0" fontId="36" fillId="0" borderId="0"/>
    <xf numFmtId="210" fontId="74" fillId="0" borderId="0" applyFont="0" applyFill="0" applyBorder="0" applyAlignment="0" applyProtection="0">
      <alignment horizontal="center"/>
    </xf>
    <xf numFmtId="2" fontId="10" fillId="0" borderId="0"/>
    <xf numFmtId="211" fontId="21" fillId="0" borderId="0">
      <alignment horizontal="center"/>
    </xf>
    <xf numFmtId="212" fontId="54" fillId="0" borderId="0">
      <alignment horizontal="center"/>
    </xf>
    <xf numFmtId="212" fontId="54" fillId="0" borderId="0">
      <alignment horizontal="center"/>
    </xf>
    <xf numFmtId="212" fontId="54" fillId="0" borderId="0">
      <alignment horizontal="center"/>
    </xf>
    <xf numFmtId="213" fontId="27" fillId="0" borderId="0">
      <alignment horizontal="center"/>
    </xf>
    <xf numFmtId="214" fontId="15" fillId="0" borderId="0" applyFont="0" applyFill="0" applyBorder="0" applyAlignment="0" applyProtection="0"/>
    <xf numFmtId="215" fontId="75" fillId="0" borderId="0" applyFont="0" applyFill="0" applyBorder="0" applyAlignment="0" applyProtection="0"/>
    <xf numFmtId="216" fontId="76" fillId="0" borderId="0" applyFont="0" applyFill="0" applyBorder="0" applyAlignment="0" applyProtection="0"/>
    <xf numFmtId="169" fontId="72" fillId="0" borderId="0"/>
    <xf numFmtId="169" fontId="77" fillId="0" borderId="18" applyFont="0" applyFill="0" applyBorder="0" applyAlignment="0" applyProtection="0">
      <alignment horizontal="right"/>
    </xf>
    <xf numFmtId="170" fontId="72" fillId="0" borderId="0"/>
    <xf numFmtId="172" fontId="78" fillId="0" borderId="0"/>
    <xf numFmtId="2" fontId="72" fillId="0" borderId="0"/>
    <xf numFmtId="10" fontId="72" fillId="0" borderId="0"/>
    <xf numFmtId="172" fontId="79" fillId="0" borderId="19" applyFont="0" applyFill="0" applyBorder="0" applyAlignment="0" applyProtection="0"/>
    <xf numFmtId="0" fontId="79" fillId="0" borderId="19" applyFont="0" applyFill="0" applyBorder="0" applyAlignment="0" applyProtection="0"/>
    <xf numFmtId="172" fontId="78" fillId="0" borderId="0"/>
    <xf numFmtId="0" fontId="78" fillId="0" borderId="0"/>
    <xf numFmtId="172" fontId="72" fillId="0" borderId="0"/>
    <xf numFmtId="0" fontId="72" fillId="0" borderId="0"/>
    <xf numFmtId="172" fontId="72" fillId="0" borderId="0"/>
    <xf numFmtId="0" fontId="72" fillId="0" borderId="0"/>
    <xf numFmtId="172" fontId="72" fillId="0" borderId="0"/>
    <xf numFmtId="0" fontId="72" fillId="0" borderId="0"/>
    <xf numFmtId="172" fontId="78" fillId="0" borderId="0"/>
    <xf numFmtId="0" fontId="78" fillId="0" borderId="0"/>
    <xf numFmtId="172" fontId="72" fillId="0" borderId="0"/>
    <xf numFmtId="0" fontId="72" fillId="0" borderId="0"/>
    <xf numFmtId="1" fontId="73" fillId="0" borderId="0"/>
    <xf numFmtId="1" fontId="80" fillId="0" borderId="0"/>
    <xf numFmtId="1" fontId="80" fillId="0" borderId="0"/>
    <xf numFmtId="1" fontId="80" fillId="0" borderId="0"/>
    <xf numFmtId="1" fontId="80" fillId="0" borderId="0"/>
    <xf numFmtId="1" fontId="80" fillId="0" borderId="0"/>
    <xf numFmtId="1" fontId="80" fillId="0" borderId="0"/>
    <xf numFmtId="1" fontId="80" fillId="0" borderId="0"/>
    <xf numFmtId="1" fontId="81" fillId="0" borderId="0"/>
    <xf numFmtId="1" fontId="81" fillId="0" borderId="0"/>
    <xf numFmtId="1" fontId="81" fillId="0" borderId="0"/>
    <xf numFmtId="1" fontId="81" fillId="0" borderId="0"/>
    <xf numFmtId="1" fontId="81" fillId="0" borderId="0"/>
    <xf numFmtId="1" fontId="81" fillId="0" borderId="0"/>
    <xf numFmtId="1" fontId="81" fillId="0" borderId="0"/>
    <xf numFmtId="1" fontId="81" fillId="0" borderId="0"/>
    <xf numFmtId="1" fontId="81" fillId="0" borderId="0"/>
    <xf numFmtId="1" fontId="81" fillId="0" borderId="0"/>
    <xf numFmtId="1" fontId="81" fillId="0" borderId="0"/>
    <xf numFmtId="1" fontId="81" fillId="0" borderId="0"/>
    <xf numFmtId="1" fontId="81" fillId="0" borderId="0"/>
    <xf numFmtId="1" fontId="81" fillId="0" borderId="0"/>
    <xf numFmtId="1" fontId="80" fillId="0" borderId="0"/>
    <xf numFmtId="1" fontId="80" fillId="0" borderId="0"/>
    <xf numFmtId="1" fontId="80" fillId="0" borderId="0"/>
    <xf numFmtId="1" fontId="80" fillId="0" borderId="0"/>
    <xf numFmtId="1" fontId="80" fillId="0" borderId="0"/>
    <xf numFmtId="1" fontId="80" fillId="0" borderId="0"/>
    <xf numFmtId="1" fontId="80" fillId="0" borderId="0"/>
    <xf numFmtId="209" fontId="72" fillId="0" borderId="0"/>
    <xf numFmtId="209" fontId="72" fillId="0" borderId="0"/>
    <xf numFmtId="209" fontId="72" fillId="0" borderId="0"/>
    <xf numFmtId="209" fontId="72" fillId="0" borderId="0"/>
    <xf numFmtId="209" fontId="72" fillId="0" borderId="0"/>
    <xf numFmtId="217" fontId="72" fillId="0" borderId="0"/>
    <xf numFmtId="209" fontId="72" fillId="0" borderId="0"/>
    <xf numFmtId="209" fontId="78" fillId="0" borderId="0"/>
    <xf numFmtId="209" fontId="72" fillId="0" borderId="0"/>
    <xf numFmtId="209" fontId="72" fillId="0" borderId="0"/>
    <xf numFmtId="17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8" fontId="36" fillId="0" borderId="0"/>
    <xf numFmtId="209" fontId="72" fillId="0" borderId="0"/>
    <xf numFmtId="0" fontId="72" fillId="0" borderId="0"/>
    <xf numFmtId="209" fontId="78" fillId="0" borderId="0"/>
    <xf numFmtId="209" fontId="78" fillId="0" borderId="0"/>
    <xf numFmtId="209" fontId="72" fillId="0" borderId="0"/>
    <xf numFmtId="209" fontId="72" fillId="0" borderId="0"/>
    <xf numFmtId="209" fontId="72" fillId="0" borderId="0"/>
    <xf numFmtId="217" fontId="72" fillId="0" borderId="0"/>
    <xf numFmtId="209" fontId="72" fillId="0" borderId="0"/>
    <xf numFmtId="209" fontId="78" fillId="0" borderId="0"/>
    <xf numFmtId="209" fontId="72" fillId="0" borderId="0"/>
    <xf numFmtId="209" fontId="72" fillId="0" borderId="0"/>
    <xf numFmtId="217" fontId="72" fillId="0" borderId="0"/>
    <xf numFmtId="209" fontId="72" fillId="0" borderId="0"/>
    <xf numFmtId="209" fontId="72" fillId="0" borderId="0"/>
    <xf numFmtId="218" fontId="36" fillId="0" borderId="0"/>
    <xf numFmtId="218" fontId="36" fillId="0" borderId="0"/>
    <xf numFmtId="17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9" fontId="36" fillId="0" borderId="20" applyBorder="0">
      <alignment horizontal="right"/>
    </xf>
    <xf numFmtId="209" fontId="36" fillId="0" borderId="20" applyBorder="0">
      <alignment horizontal="right"/>
    </xf>
    <xf numFmtId="0" fontId="82" fillId="13" borderId="21">
      <alignment horizontal="center"/>
    </xf>
    <xf numFmtId="219" fontId="39" fillId="14" borderId="12">
      <alignment horizontal="center"/>
    </xf>
    <xf numFmtId="3" fontId="83" fillId="0" borderId="22" applyNumberFormat="0" applyFill="0" applyBorder="0" applyAlignment="0" applyProtection="0"/>
    <xf numFmtId="3" fontId="83" fillId="0" borderId="22" applyNumberFormat="0" applyFill="0" applyBorder="0" applyAlignment="0" applyProtection="0"/>
    <xf numFmtId="3" fontId="84" fillId="0" borderId="22" applyNumberFormat="0" applyFill="0" applyBorder="0" applyAlignment="0" applyProtection="0"/>
    <xf numFmtId="3" fontId="84" fillId="0" borderId="22" applyNumberFormat="0" applyFill="0" applyBorder="0" applyAlignment="0" applyProtection="0"/>
    <xf numFmtId="3" fontId="85" fillId="0" borderId="22" applyNumberFormat="0" applyFill="0" applyBorder="0" applyAlignment="0" applyProtection="0"/>
    <xf numFmtId="3" fontId="85" fillId="0" borderId="22" applyNumberFormat="0" applyFill="0" applyBorder="0" applyAlignment="0" applyProtection="0"/>
    <xf numFmtId="3" fontId="86" fillId="0" borderId="22" applyNumberFormat="0" applyFill="0" applyBorder="0" applyAlignment="0" applyProtection="0"/>
    <xf numFmtId="3" fontId="86" fillId="0" borderId="22" applyNumberFormat="0" applyFill="0" applyBorder="0" applyAlignment="0" applyProtection="0"/>
    <xf numFmtId="3" fontId="22" fillId="0" borderId="23" applyNumberFormat="0" applyFill="0" applyBorder="0" applyProtection="0"/>
    <xf numFmtId="3" fontId="22" fillId="0" borderId="23" applyNumberFormat="0" applyFill="0" applyBorder="0" applyProtection="0"/>
    <xf numFmtId="3" fontId="23" fillId="0" borderId="22" applyNumberFormat="0" applyFill="0" applyBorder="0" applyAlignment="0" applyProtection="0"/>
    <xf numFmtId="3" fontId="23" fillId="0" borderId="22" applyNumberFormat="0" applyFill="0" applyBorder="0" applyAlignment="0" applyProtection="0"/>
    <xf numFmtId="3" fontId="87" fillId="0" borderId="22" applyNumberFormat="0" applyFill="0" applyBorder="0" applyAlignment="0" applyProtection="0"/>
    <xf numFmtId="3" fontId="87" fillId="0" borderId="22" applyNumberFormat="0" applyFill="0" applyBorder="0" applyAlignment="0" applyProtection="0"/>
    <xf numFmtId="172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3" fontId="89" fillId="0" borderId="22" applyNumberFormat="0" applyFill="0" applyBorder="0" applyAlignment="0" applyProtection="0"/>
    <xf numFmtId="3" fontId="89" fillId="0" borderId="22" applyNumberFormat="0" applyFill="0" applyBorder="0" applyAlignment="0" applyProtection="0"/>
    <xf numFmtId="3" fontId="90" fillId="0" borderId="22" applyNumberFormat="0" applyFill="0" applyBorder="0" applyAlignment="0" applyProtection="0"/>
    <xf numFmtId="3" fontId="90" fillId="0" borderId="22" applyNumberFormat="0" applyFill="0" applyBorder="0" applyAlignment="0" applyProtection="0"/>
    <xf numFmtId="3" fontId="91" fillId="0" borderId="22" applyNumberFormat="0" applyFill="0" applyBorder="0" applyAlignment="0" applyProtection="0"/>
    <xf numFmtId="3" fontId="91" fillId="0" borderId="22" applyNumberFormat="0" applyFill="0" applyBorder="0" applyAlignment="0" applyProtection="0"/>
    <xf numFmtId="170" fontId="92" fillId="0" borderId="24" applyNumberFormat="0" applyFill="0" applyBorder="0" applyProtection="0">
      <alignment horizontal="center"/>
    </xf>
    <xf numFmtId="3" fontId="93" fillId="0" borderId="22" applyNumberFormat="0" applyFill="0" applyBorder="0" applyAlignment="0" applyProtection="0"/>
    <xf numFmtId="3" fontId="93" fillId="0" borderId="22" applyNumberFormat="0" applyFill="0" applyBorder="0" applyAlignment="0" applyProtection="0"/>
    <xf numFmtId="220" fontId="94" fillId="0" borderId="0">
      <alignment horizontal="right"/>
    </xf>
    <xf numFmtId="209" fontId="36" fillId="15" borderId="15"/>
    <xf numFmtId="221" fontId="95" fillId="0" borderId="0" applyFont="0" applyFill="0" applyBorder="0" applyAlignment="0" applyProtection="0"/>
    <xf numFmtId="209" fontId="36" fillId="15" borderId="15"/>
    <xf numFmtId="209" fontId="36" fillId="15" borderId="15"/>
    <xf numFmtId="209" fontId="36" fillId="15" borderId="15"/>
    <xf numFmtId="209" fontId="36" fillId="15" borderId="15"/>
    <xf numFmtId="209" fontId="36" fillId="15" borderId="15"/>
    <xf numFmtId="209" fontId="36" fillId="15" borderId="15"/>
    <xf numFmtId="172" fontId="47" fillId="0" borderId="0"/>
    <xf numFmtId="0" fontId="47" fillId="0" borderId="0"/>
    <xf numFmtId="177" fontId="9" fillId="0" borderId="0"/>
    <xf numFmtId="204" fontId="9" fillId="0" borderId="0" applyFont="0" applyFill="0" applyBorder="0" applyAlignment="0" applyProtection="0"/>
    <xf numFmtId="222" fontId="94" fillId="0" borderId="0">
      <alignment horizontal="right"/>
    </xf>
    <xf numFmtId="217" fontId="36" fillId="15" borderId="15"/>
    <xf numFmtId="49" fontId="96" fillId="8" borderId="12" applyProtection="0">
      <alignment horizontal="right" vertical="top"/>
    </xf>
    <xf numFmtId="49" fontId="96" fillId="8" borderId="12" applyProtection="0">
      <alignment horizontal="right" vertical="top"/>
    </xf>
    <xf numFmtId="49" fontId="96" fillId="8" borderId="12" applyProtection="0">
      <alignment horizontal="right" vertical="top"/>
    </xf>
    <xf numFmtId="3" fontId="97" fillId="0" borderId="21">
      <alignment wrapText="1"/>
    </xf>
    <xf numFmtId="220" fontId="94" fillId="0" borderId="0">
      <alignment horizontal="right"/>
    </xf>
    <xf numFmtId="220" fontId="94" fillId="0" borderId="0">
      <alignment horizontal="right"/>
    </xf>
    <xf numFmtId="172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2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3" fontId="98" fillId="0" borderId="22" applyNumberFormat="0" applyFill="0" applyBorder="0" applyAlignment="0" applyProtection="0"/>
    <xf numFmtId="3" fontId="98" fillId="0" borderId="22" applyNumberFormat="0" applyFill="0" applyBorder="0" applyAlignment="0" applyProtection="0"/>
    <xf numFmtId="172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223" fontId="28" fillId="0" borderId="20" applyFont="0" applyFill="0" applyBorder="0" applyAlignment="0" applyProtection="0"/>
    <xf numFmtId="223" fontId="28" fillId="0" borderId="20" applyFont="0" applyFill="0" applyBorder="0" applyAlignment="0" applyProtection="0"/>
    <xf numFmtId="3" fontId="100" fillId="0" borderId="22" applyNumberFormat="0" applyFill="0" applyBorder="0" applyAlignment="0" applyProtection="0"/>
    <xf numFmtId="3" fontId="100" fillId="0" borderId="22" applyNumberFormat="0" applyFill="0" applyBorder="0" applyAlignment="0" applyProtection="0"/>
    <xf numFmtId="3" fontId="101" fillId="0" borderId="22" applyNumberFormat="0" applyFill="0" applyBorder="0" applyAlignment="0" applyProtection="0"/>
    <xf numFmtId="3" fontId="101" fillId="0" borderId="22" applyNumberFormat="0" applyFill="0" applyBorder="0" applyAlignment="0" applyProtection="0"/>
    <xf numFmtId="3" fontId="102" fillId="0" borderId="22" applyNumberFormat="0" applyFill="0" applyBorder="0" applyAlignment="0" applyProtection="0"/>
    <xf numFmtId="3" fontId="102" fillId="0" borderId="22" applyNumberFormat="0" applyFill="0" applyBorder="0" applyAlignment="0" applyProtection="0"/>
    <xf numFmtId="3" fontId="103" fillId="0" borderId="22" applyNumberFormat="0" applyFill="0" applyBorder="0" applyAlignment="0" applyProtection="0"/>
    <xf numFmtId="3" fontId="103" fillId="0" borderId="22" applyNumberFormat="0" applyFill="0" applyBorder="0" applyAlignment="0" applyProtection="0"/>
    <xf numFmtId="3" fontId="104" fillId="0" borderId="22" applyNumberFormat="0" applyFill="0" applyBorder="0" applyAlignment="0" applyProtection="0"/>
    <xf numFmtId="3" fontId="104" fillId="0" borderId="22" applyNumberFormat="0" applyFill="0" applyBorder="0" applyAlignment="0" applyProtection="0"/>
    <xf numFmtId="172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3" fontId="106" fillId="0" borderId="22" applyNumberFormat="0" applyFill="0" applyBorder="0" applyAlignment="0" applyProtection="0"/>
    <xf numFmtId="3" fontId="106" fillId="0" borderId="22" applyNumberFormat="0" applyFill="0" applyBorder="0" applyAlignment="0" applyProtection="0"/>
    <xf numFmtId="172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172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3" fontId="109" fillId="0" borderId="22" applyNumberFormat="0" applyFill="0" applyBorder="0" applyAlignment="0" applyProtection="0"/>
    <xf numFmtId="3" fontId="109" fillId="0" borderId="22" applyNumberFormat="0" applyFill="0" applyBorder="0" applyAlignment="0" applyProtection="0"/>
    <xf numFmtId="172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172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3" fontId="112" fillId="0" borderId="22" applyNumberFormat="0" applyFill="0" applyBorder="0" applyAlignment="0" applyProtection="0"/>
    <xf numFmtId="3" fontId="112" fillId="0" borderId="22" applyNumberFormat="0" applyFill="0" applyBorder="0" applyAlignment="0" applyProtection="0"/>
    <xf numFmtId="172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172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3" fontId="115" fillId="0" borderId="22" applyNumberFormat="0" applyFill="0" applyBorder="0" applyAlignment="0" applyProtection="0"/>
    <xf numFmtId="3" fontId="115" fillId="0" borderId="22" applyNumberFormat="0" applyFill="0" applyBorder="0" applyAlignment="0" applyProtection="0"/>
    <xf numFmtId="172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224" fontId="117" fillId="16" borderId="25" applyFont="0" applyFill="0" applyBorder="0" applyAlignment="0" applyProtection="0">
      <alignment horizontal="center"/>
    </xf>
    <xf numFmtId="225" fontId="15" fillId="0" borderId="0" applyFont="0" applyFill="0" applyBorder="0" applyAlignment="0" applyProtection="0">
      <alignment horizontal="center"/>
    </xf>
    <xf numFmtId="226" fontId="15" fillId="0" borderId="0" applyFont="0" applyFill="0" applyBorder="0" applyAlignment="0" applyProtection="0">
      <alignment horizontal="center"/>
    </xf>
    <xf numFmtId="180" fontId="118" fillId="0" borderId="0" applyFont="0" applyAlignment="0" applyProtection="0">
      <protection locked="0"/>
    </xf>
    <xf numFmtId="0" fontId="72" fillId="17" borderId="0"/>
    <xf numFmtId="0" fontId="72" fillId="17" borderId="0"/>
    <xf numFmtId="227" fontId="72" fillId="17" borderId="0"/>
    <xf numFmtId="0" fontId="72" fillId="17" borderId="0"/>
    <xf numFmtId="227" fontId="72" fillId="17" borderId="0"/>
    <xf numFmtId="0" fontId="78" fillId="18" borderId="0"/>
    <xf numFmtId="227" fontId="78" fillId="18" borderId="0"/>
    <xf numFmtId="0" fontId="72" fillId="18" borderId="0"/>
    <xf numFmtId="227" fontId="72" fillId="17" borderId="0"/>
    <xf numFmtId="0" fontId="72" fillId="17" borderId="0"/>
    <xf numFmtId="0" fontId="106" fillId="19" borderId="26" applyNumberFormat="0" applyFill="0" applyBorder="0" applyAlignment="0">
      <alignment horizontal="left"/>
    </xf>
    <xf numFmtId="172" fontId="106" fillId="19" borderId="26" applyNumberFormat="0" applyFill="0" applyBorder="0" applyAlignment="0">
      <alignment horizontal="left"/>
    </xf>
    <xf numFmtId="172" fontId="106" fillId="19" borderId="26" applyNumberFormat="0" applyFill="0" applyBorder="0" applyAlignment="0">
      <alignment horizontal="left"/>
    </xf>
    <xf numFmtId="0" fontId="106" fillId="19" borderId="26" applyNumberFormat="0" applyFill="0" applyBorder="0" applyAlignment="0">
      <alignment horizontal="left"/>
    </xf>
    <xf numFmtId="0" fontId="106" fillId="19" borderId="26" applyNumberFormat="0" applyFill="0" applyBorder="0" applyAlignment="0">
      <alignment horizontal="left"/>
    </xf>
    <xf numFmtId="0" fontId="105" fillId="19" borderId="0" applyNumberFormat="0" applyFill="0" applyBorder="0" applyAlignment="0"/>
    <xf numFmtId="0" fontId="105" fillId="19" borderId="0" applyNumberFormat="0" applyFill="0" applyBorder="0" applyAlignment="0"/>
    <xf numFmtId="0" fontId="119" fillId="20" borderId="26" applyNumberFormat="0" applyFill="0" applyBorder="0" applyAlignment="0">
      <alignment horizontal="left"/>
    </xf>
    <xf numFmtId="172" fontId="119" fillId="20" borderId="26" applyNumberFormat="0" applyFill="0" applyBorder="0" applyAlignment="0">
      <alignment horizontal="left"/>
    </xf>
    <xf numFmtId="172" fontId="119" fillId="20" borderId="26" applyNumberFormat="0" applyFill="0" applyBorder="0" applyAlignment="0">
      <alignment horizontal="left"/>
    </xf>
    <xf numFmtId="0" fontId="119" fillId="20" borderId="26" applyNumberFormat="0" applyFill="0" applyBorder="0" applyAlignment="0">
      <alignment horizontal="left"/>
    </xf>
    <xf numFmtId="0" fontId="119" fillId="20" borderId="26" applyNumberFormat="0" applyFill="0" applyBorder="0" applyAlignment="0">
      <alignment horizontal="left"/>
    </xf>
    <xf numFmtId="0" fontId="120" fillId="15" borderId="0" applyNumberFormat="0" applyFill="0" applyBorder="0" applyAlignment="0"/>
    <xf numFmtId="0" fontId="120" fillId="15" borderId="0" applyNumberFormat="0" applyFill="0" applyBorder="0" applyAlignment="0"/>
    <xf numFmtId="0" fontId="121" fillId="0" borderId="0" applyNumberFormat="0" applyFill="0" applyBorder="0" applyAlignment="0"/>
    <xf numFmtId="0" fontId="121" fillId="0" borderId="0" applyNumberFormat="0" applyFill="0" applyBorder="0" applyAlignment="0"/>
    <xf numFmtId="0" fontId="122" fillId="0" borderId="9" applyNumberFormat="0" applyFill="0" applyBorder="0" applyAlignment="0">
      <alignment horizontal="left"/>
    </xf>
    <xf numFmtId="0" fontId="122" fillId="0" borderId="9" applyNumberFormat="0" applyFill="0" applyBorder="0" applyAlignment="0">
      <alignment horizontal="left"/>
    </xf>
    <xf numFmtId="0" fontId="123" fillId="21" borderId="8" applyNumberFormat="0" applyFill="0" applyBorder="0" applyAlignment="0">
      <alignment horizontal="centerContinuous"/>
    </xf>
    <xf numFmtId="0" fontId="123" fillId="21" borderId="8" applyNumberFormat="0" applyFill="0" applyBorder="0" applyAlignment="0">
      <alignment horizontal="centerContinuous"/>
    </xf>
    <xf numFmtId="0" fontId="124" fillId="0" borderId="0" applyNumberFormat="0" applyFill="0" applyBorder="0" applyAlignment="0"/>
    <xf numFmtId="0" fontId="124" fillId="0" borderId="0" applyNumberFormat="0" applyFill="0" applyBorder="0" applyAlignment="0"/>
    <xf numFmtId="0" fontId="124" fillId="22" borderId="7" applyNumberFormat="0" applyFill="0" applyBorder="0" applyAlignment="0"/>
    <xf numFmtId="0" fontId="124" fillId="22" borderId="7" applyNumberFormat="0" applyFill="0" applyBorder="0" applyAlignment="0"/>
    <xf numFmtId="0" fontId="125" fillId="0" borderId="9" applyNumberFormat="0" applyFill="0" applyBorder="0" applyAlignment="0"/>
    <xf numFmtId="0" fontId="125" fillId="0" borderId="9" applyNumberFormat="0" applyFill="0" applyBorder="0" applyAlignment="0"/>
    <xf numFmtId="0" fontId="124" fillId="0" borderId="0" applyNumberFormat="0" applyFill="0" applyBorder="0" applyAlignment="0"/>
    <xf numFmtId="0" fontId="124" fillId="0" borderId="0" applyNumberFormat="0" applyFill="0" applyBorder="0" applyAlignment="0"/>
    <xf numFmtId="37" fontId="36" fillId="0" borderId="0"/>
    <xf numFmtId="2" fontId="47" fillId="0" borderId="0"/>
    <xf numFmtId="228" fontId="126" fillId="0" borderId="0"/>
    <xf numFmtId="172" fontId="127" fillId="0" borderId="0"/>
    <xf numFmtId="0" fontId="127" fillId="0" borderId="0"/>
    <xf numFmtId="49" fontId="96" fillId="8" borderId="27" applyProtection="0">
      <alignment horizontal="left" vertical="top"/>
    </xf>
    <xf numFmtId="49" fontId="96" fillId="8" borderId="27" applyProtection="0">
      <alignment horizontal="left" vertical="top"/>
    </xf>
    <xf numFmtId="49" fontId="96" fillId="8" borderId="27" applyProtection="0">
      <alignment horizontal="left" vertical="top"/>
    </xf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172" fontId="129" fillId="2" borderId="0" applyNumberFormat="0" applyBorder="0" applyAlignment="0" applyProtection="0"/>
    <xf numFmtId="0" fontId="128" fillId="24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5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172" fontId="129" fillId="3" borderId="0" applyNumberFormat="0" applyBorder="0" applyAlignment="0" applyProtection="0"/>
    <xf numFmtId="0" fontId="128" fillId="27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5" borderId="0" applyNumberFormat="0" applyBorder="0" applyAlignment="0" applyProtection="0"/>
    <xf numFmtId="0" fontId="128" fillId="28" borderId="0" applyNumberFormat="0" applyBorder="0" applyAlignment="0" applyProtection="0"/>
    <xf numFmtId="0" fontId="128" fillId="28" borderId="0" applyNumberFormat="0" applyBorder="0" applyAlignment="0" applyProtection="0"/>
    <xf numFmtId="0" fontId="128" fillId="28" borderId="0" applyNumberFormat="0" applyBorder="0" applyAlignment="0" applyProtection="0"/>
    <xf numFmtId="0" fontId="128" fillId="28" borderId="0" applyNumberFormat="0" applyBorder="0" applyAlignment="0" applyProtection="0"/>
    <xf numFmtId="0" fontId="128" fillId="28" borderId="0" applyNumberFormat="0" applyBorder="0" applyAlignment="0" applyProtection="0"/>
    <xf numFmtId="172" fontId="129" fillId="4" borderId="0" applyNumberFormat="0" applyBorder="0" applyAlignment="0" applyProtection="0"/>
    <xf numFmtId="0" fontId="128" fillId="28" borderId="0" applyNumberFormat="0" applyBorder="0" applyAlignment="0" applyProtection="0"/>
    <xf numFmtId="0" fontId="128" fillId="28" borderId="0" applyNumberFormat="0" applyBorder="0" applyAlignment="0" applyProtection="0"/>
    <xf numFmtId="0" fontId="128" fillId="28" borderId="0" applyNumberFormat="0" applyBorder="0" applyAlignment="0" applyProtection="0"/>
    <xf numFmtId="0" fontId="128" fillId="28" borderId="0" applyNumberFormat="0" applyBorder="0" applyAlignment="0" applyProtection="0"/>
    <xf numFmtId="0" fontId="128" fillId="28" borderId="0" applyNumberFormat="0" applyBorder="0" applyAlignment="0" applyProtection="0"/>
    <xf numFmtId="0" fontId="128" fillId="28" borderId="0" applyNumberFormat="0" applyBorder="0" applyAlignment="0" applyProtection="0"/>
    <xf numFmtId="0" fontId="128" fillId="28" borderId="0" applyNumberFormat="0" applyBorder="0" applyAlignment="0" applyProtection="0"/>
    <xf numFmtId="0" fontId="128" fillId="28" borderId="0" applyNumberFormat="0" applyBorder="0" applyAlignment="0" applyProtection="0"/>
    <xf numFmtId="0" fontId="128" fillId="28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172" fontId="129" fillId="5" borderId="0" applyNumberFormat="0" applyBorder="0" applyAlignment="0" applyProtection="0"/>
    <xf numFmtId="0" fontId="128" fillId="30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172" fontId="129" fillId="6" borderId="0" applyNumberFormat="0" applyBorder="0" applyAlignment="0" applyProtection="0"/>
    <xf numFmtId="0" fontId="128" fillId="31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32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172" fontId="129" fillId="7" borderId="0" applyNumberFormat="0" applyBorder="0" applyAlignment="0" applyProtection="0"/>
    <xf numFmtId="0" fontId="128" fillId="32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32" borderId="0" applyNumberFormat="0" applyBorder="0" applyAlignment="0" applyProtection="0"/>
    <xf numFmtId="0" fontId="128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227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7" fillId="24" borderId="0" applyNumberFormat="0" applyBorder="0" applyAlignment="0" applyProtection="0"/>
    <xf numFmtId="227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1" fillId="24" borderId="0" applyNumberFormat="0" applyBorder="0" applyAlignment="0" applyProtection="0"/>
    <xf numFmtId="0" fontId="128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227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7" fillId="27" borderId="0" applyNumberFormat="0" applyBorder="0" applyAlignment="0" applyProtection="0"/>
    <xf numFmtId="227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1" fillId="27" borderId="0" applyNumberFormat="0" applyBorder="0" applyAlignment="0" applyProtection="0"/>
    <xf numFmtId="0" fontId="128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227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7" fillId="28" borderId="0" applyNumberFormat="0" applyBorder="0" applyAlignment="0" applyProtection="0"/>
    <xf numFmtId="227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1" fillId="28" borderId="0" applyNumberFormat="0" applyBorder="0" applyAlignment="0" applyProtection="0"/>
    <xf numFmtId="0" fontId="128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227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7" fillId="30" borderId="0" applyNumberFormat="0" applyBorder="0" applyAlignment="0" applyProtection="0"/>
    <xf numFmtId="227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1" fillId="30" borderId="0" applyNumberFormat="0" applyBorder="0" applyAlignment="0" applyProtection="0"/>
    <xf numFmtId="0" fontId="128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227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7" fillId="31" borderId="0" applyNumberFormat="0" applyBorder="0" applyAlignment="0" applyProtection="0"/>
    <xf numFmtId="227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1" fillId="31" borderId="0" applyNumberFormat="0" applyBorder="0" applyAlignment="0" applyProtection="0"/>
    <xf numFmtId="0" fontId="128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227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7" fillId="32" borderId="0" applyNumberFormat="0" applyBorder="0" applyAlignment="0" applyProtection="0"/>
    <xf numFmtId="227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1" fillId="32" borderId="0" applyNumberFormat="0" applyBorder="0" applyAlignment="0" applyProtection="0"/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217" fontId="131" fillId="8" borderId="0"/>
    <xf numFmtId="172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3" fontId="133" fillId="0" borderId="22" applyNumberFormat="0" applyFill="0" applyBorder="0" applyAlignment="0" applyProtection="0"/>
    <xf numFmtId="3" fontId="133" fillId="0" borderId="22" applyNumberFormat="0" applyFill="0" applyBorder="0" applyAlignment="0" applyProtection="0"/>
    <xf numFmtId="172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229" fontId="118" fillId="0" borderId="0" applyFill="0" applyBorder="0" applyProtection="0">
      <alignment horizontal="right"/>
    </xf>
    <xf numFmtId="0" fontId="27" fillId="0" borderId="7">
      <alignment horizontal="left" wrapText="1" indent="2"/>
    </xf>
    <xf numFmtId="0" fontId="27" fillId="0" borderId="7">
      <alignment horizontal="left" wrapText="1" indent="2"/>
    </xf>
    <xf numFmtId="0" fontId="27" fillId="0" borderId="7">
      <alignment horizontal="left" wrapText="1" indent="2"/>
    </xf>
    <xf numFmtId="222" fontId="36" fillId="0" borderId="28" applyBorder="0">
      <alignment horizontal="right"/>
    </xf>
    <xf numFmtId="222" fontId="36" fillId="0" borderId="28" applyBorder="0">
      <alignment horizontal="right"/>
    </xf>
    <xf numFmtId="222" fontId="36" fillId="0" borderId="28" applyBorder="0">
      <alignment horizontal="right"/>
    </xf>
    <xf numFmtId="222" fontId="36" fillId="0" borderId="28" applyBorder="0">
      <alignment horizontal="right"/>
    </xf>
    <xf numFmtId="222" fontId="36" fillId="0" borderId="28" applyBorder="0">
      <alignment horizontal="right"/>
    </xf>
    <xf numFmtId="222" fontId="36" fillId="0" borderId="28" applyBorder="0">
      <alignment horizontal="right"/>
    </xf>
    <xf numFmtId="204" fontId="66" fillId="0" borderId="29">
      <alignment horizontal="left" vertical="center"/>
    </xf>
    <xf numFmtId="204" fontId="66" fillId="0" borderId="29">
      <alignment horizontal="left" vertical="center"/>
    </xf>
    <xf numFmtId="204" fontId="66" fillId="0" borderId="29">
      <alignment horizontal="left" vertical="center"/>
    </xf>
    <xf numFmtId="214" fontId="135" fillId="0" borderId="0"/>
    <xf numFmtId="206" fontId="66" fillId="0" borderId="29">
      <alignment horizontal="left" vertical="center"/>
    </xf>
    <xf numFmtId="206" fontId="66" fillId="0" borderId="29">
      <alignment horizontal="left" vertical="center"/>
    </xf>
    <xf numFmtId="206" fontId="66" fillId="0" borderId="29">
      <alignment horizontal="left" vertical="center"/>
    </xf>
    <xf numFmtId="49" fontId="96" fillId="8" borderId="30" applyProtection="0">
      <alignment horizontal="left" vertical="top" wrapText="1"/>
    </xf>
    <xf numFmtId="49" fontId="96" fillId="8" borderId="30" applyProtection="0">
      <alignment horizontal="left" vertical="top" wrapText="1"/>
    </xf>
    <xf numFmtId="49" fontId="96" fillId="8" borderId="30" applyProtection="0">
      <alignment horizontal="left" vertical="top" wrapText="1"/>
    </xf>
    <xf numFmtId="204" fontId="66" fillId="0" borderId="29">
      <alignment horizontal="left" vertical="center"/>
    </xf>
    <xf numFmtId="204" fontId="66" fillId="0" borderId="29">
      <alignment horizontal="left" vertical="center"/>
    </xf>
    <xf numFmtId="204" fontId="66" fillId="0" borderId="29">
      <alignment horizontal="left" vertical="center"/>
    </xf>
    <xf numFmtId="204" fontId="66" fillId="0" borderId="29">
      <alignment horizontal="left" vertical="center"/>
    </xf>
    <xf numFmtId="204" fontId="66" fillId="0" borderId="29">
      <alignment horizontal="left" vertical="center"/>
    </xf>
    <xf numFmtId="204" fontId="66" fillId="0" borderId="29">
      <alignment horizontal="left" vertical="center"/>
    </xf>
    <xf numFmtId="172" fontId="136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172" fontId="137" fillId="0" borderId="31">
      <alignment horizontal="left"/>
    </xf>
    <xf numFmtId="172" fontId="137" fillId="0" borderId="31">
      <alignment horizontal="left"/>
    </xf>
    <xf numFmtId="172" fontId="137" fillId="0" borderId="31">
      <alignment horizontal="left"/>
    </xf>
    <xf numFmtId="172" fontId="138" fillId="0" borderId="0" applyFont="0" applyFill="0" applyBorder="0" applyAlignment="0" applyProtection="0"/>
    <xf numFmtId="0" fontId="138" fillId="0" borderId="0" applyFont="0" applyFill="0" applyBorder="0" applyAlignment="0" applyProtection="0"/>
    <xf numFmtId="172" fontId="138" fillId="0" borderId="0" applyFont="0" applyFill="0" applyBorder="0" applyAlignment="0" applyProtection="0"/>
    <xf numFmtId="0" fontId="138" fillId="0" borderId="0" applyFont="0" applyFill="0" applyBorder="0" applyAlignment="0" applyProtection="0"/>
    <xf numFmtId="49" fontId="96" fillId="8" borderId="12" applyProtection="0">
      <alignment horizontal="left" vertical="top"/>
    </xf>
    <xf numFmtId="49" fontId="96" fillId="8" borderId="12" applyProtection="0">
      <alignment horizontal="left" vertical="top"/>
    </xf>
    <xf numFmtId="49" fontId="96" fillId="8" borderId="12" applyProtection="0">
      <alignment horizontal="left" vertical="top"/>
    </xf>
    <xf numFmtId="49" fontId="13" fillId="0" borderId="0">
      <alignment vertical="top"/>
    </xf>
    <xf numFmtId="49" fontId="13" fillId="0" borderId="0">
      <alignment horizontal="center" vertical="top" wrapText="1"/>
    </xf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25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5" borderId="0" applyNumberFormat="0" applyBorder="0" applyAlignment="0" applyProtection="0"/>
    <xf numFmtId="0" fontId="128" fillId="34" borderId="0" applyNumberFormat="0" applyBorder="0" applyAlignment="0" applyProtection="0"/>
    <xf numFmtId="0" fontId="128" fillId="34" borderId="0" applyNumberFormat="0" applyBorder="0" applyAlignment="0" applyProtection="0"/>
    <xf numFmtId="0" fontId="128" fillId="34" borderId="0" applyNumberFormat="0" applyBorder="0" applyAlignment="0" applyProtection="0"/>
    <xf numFmtId="0" fontId="128" fillId="34" borderId="0" applyNumberFormat="0" applyBorder="0" applyAlignment="0" applyProtection="0"/>
    <xf numFmtId="0" fontId="128" fillId="34" borderId="0" applyNumberFormat="0" applyBorder="0" applyAlignment="0" applyProtection="0"/>
    <xf numFmtId="0" fontId="128" fillId="34" borderId="0" applyNumberFormat="0" applyBorder="0" applyAlignment="0" applyProtection="0"/>
    <xf numFmtId="0" fontId="128" fillId="34" borderId="0" applyNumberFormat="0" applyBorder="0" applyAlignment="0" applyProtection="0"/>
    <xf numFmtId="0" fontId="128" fillId="34" borderId="0" applyNumberFormat="0" applyBorder="0" applyAlignment="0" applyProtection="0"/>
    <xf numFmtId="0" fontId="128" fillId="34" borderId="0" applyNumberFormat="0" applyBorder="0" applyAlignment="0" applyProtection="0"/>
    <xf numFmtId="0" fontId="128" fillId="34" borderId="0" applyNumberFormat="0" applyBorder="0" applyAlignment="0" applyProtection="0"/>
    <xf numFmtId="0" fontId="128" fillId="34" borderId="0" applyNumberFormat="0" applyBorder="0" applyAlignment="0" applyProtection="0"/>
    <xf numFmtId="0" fontId="128" fillId="34" borderId="0" applyNumberFormat="0" applyBorder="0" applyAlignment="0" applyProtection="0"/>
    <xf numFmtId="0" fontId="128" fillId="34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3" borderId="0" applyNumberFormat="0" applyBorder="0" applyAlignment="0" applyProtection="0"/>
    <xf numFmtId="0" fontId="128" fillId="32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26" borderId="0" applyNumberFormat="0" applyBorder="0" applyAlignment="0" applyProtection="0"/>
    <xf numFmtId="0" fontId="128" fillId="32" borderId="0" applyNumberFormat="0" applyBorder="0" applyAlignment="0" applyProtection="0"/>
    <xf numFmtId="0" fontId="128" fillId="23" borderId="0" applyNumberFormat="0" applyBorder="0" applyAlignment="0" applyProtection="0"/>
    <xf numFmtId="0" fontId="17" fillId="23" borderId="0" applyNumberFormat="0" applyBorder="0" applyAlignment="0" applyProtection="0"/>
    <xf numFmtId="0" fontId="128" fillId="35" borderId="0" applyNumberFormat="0" applyBorder="0" applyAlignment="0" applyProtection="0"/>
    <xf numFmtId="0" fontId="17" fillId="35" borderId="0" applyNumberFormat="0" applyBorder="0" applyAlignment="0" applyProtection="0"/>
    <xf numFmtId="0" fontId="128" fillId="34" borderId="0" applyNumberFormat="0" applyBorder="0" applyAlignment="0" applyProtection="0"/>
    <xf numFmtId="0" fontId="17" fillId="34" borderId="0" applyNumberFormat="0" applyBorder="0" applyAlignment="0" applyProtection="0"/>
    <xf numFmtId="0" fontId="128" fillId="30" borderId="0" applyNumberFormat="0" applyBorder="0" applyAlignment="0" applyProtection="0"/>
    <xf numFmtId="0" fontId="17" fillId="30" borderId="0" applyNumberFormat="0" applyBorder="0" applyAlignment="0" applyProtection="0"/>
    <xf numFmtId="0" fontId="128" fillId="23" borderId="0" applyNumberFormat="0" applyBorder="0" applyAlignment="0" applyProtection="0"/>
    <xf numFmtId="0" fontId="17" fillId="23" borderId="0" applyNumberFormat="0" applyBorder="0" applyAlignment="0" applyProtection="0"/>
    <xf numFmtId="0" fontId="128" fillId="36" borderId="0" applyNumberFormat="0" applyBorder="0" applyAlignment="0" applyProtection="0"/>
    <xf numFmtId="0" fontId="17" fillId="36" borderId="0" applyNumberFormat="0" applyBorder="0" applyAlignment="0" applyProtection="0"/>
    <xf numFmtId="0" fontId="130" fillId="23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4" borderId="0" applyNumberFormat="0" applyBorder="0" applyAlignment="0" applyProtection="0">
      <alignment vertical="center"/>
    </xf>
    <xf numFmtId="0" fontId="130" fillId="3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4" fontId="139" fillId="0" borderId="12">
      <alignment horizontal="right" vertical="top"/>
    </xf>
    <xf numFmtId="4" fontId="139" fillId="0" borderId="12">
      <alignment horizontal="right" vertical="top"/>
    </xf>
    <xf numFmtId="4" fontId="139" fillId="0" borderId="12">
      <alignment horizontal="right" vertical="top"/>
    </xf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25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25" borderId="0" applyNumberFormat="0" applyBorder="0" applyAlignment="0" applyProtection="0"/>
    <xf numFmtId="0" fontId="140" fillId="39" borderId="0" applyNumberFormat="0" applyBorder="0" applyAlignment="0" applyProtection="0"/>
    <xf numFmtId="0" fontId="141" fillId="39" borderId="0" applyNumberFormat="0" applyBorder="0" applyAlignment="0" applyProtection="0"/>
    <xf numFmtId="0" fontId="140" fillId="35" borderId="0" applyNumberFormat="0" applyBorder="0" applyAlignment="0" applyProtection="0"/>
    <xf numFmtId="0" fontId="141" fillId="35" borderId="0" applyNumberFormat="0" applyBorder="0" applyAlignment="0" applyProtection="0"/>
    <xf numFmtId="0" fontId="140" fillId="34" borderId="0" applyNumberFormat="0" applyBorder="0" applyAlignment="0" applyProtection="0"/>
    <xf numFmtId="0" fontId="141" fillId="34" borderId="0" applyNumberFormat="0" applyBorder="0" applyAlignment="0" applyProtection="0"/>
    <xf numFmtId="0" fontId="140" fillId="40" borderId="0" applyNumberFormat="0" applyBorder="0" applyAlignment="0" applyProtection="0"/>
    <xf numFmtId="0" fontId="141" fillId="40" borderId="0" applyNumberFormat="0" applyBorder="0" applyAlignment="0" applyProtection="0"/>
    <xf numFmtId="0" fontId="140" fillId="41" borderId="0" applyNumberFormat="0" applyBorder="0" applyAlignment="0" applyProtection="0"/>
    <xf numFmtId="0" fontId="141" fillId="41" borderId="0" applyNumberFormat="0" applyBorder="0" applyAlignment="0" applyProtection="0"/>
    <xf numFmtId="0" fontId="140" fillId="25" borderId="0" applyNumberFormat="0" applyBorder="0" applyAlignment="0" applyProtection="0"/>
    <xf numFmtId="0" fontId="141" fillId="25" borderId="0" applyNumberFormat="0" applyBorder="0" applyAlignment="0" applyProtection="0"/>
    <xf numFmtId="0" fontId="142" fillId="39" borderId="0" applyNumberFormat="0" applyBorder="0" applyAlignment="0" applyProtection="0">
      <alignment vertical="center"/>
    </xf>
    <xf numFmtId="0" fontId="142" fillId="35" borderId="0" applyNumberFormat="0" applyBorder="0" applyAlignment="0" applyProtection="0">
      <alignment vertical="center"/>
    </xf>
    <xf numFmtId="0" fontId="142" fillId="34" borderId="0" applyNumberFormat="0" applyBorder="0" applyAlignment="0" applyProtection="0">
      <alignment vertical="center"/>
    </xf>
    <xf numFmtId="0" fontId="142" fillId="40" borderId="0" applyNumberFormat="0" applyBorder="0" applyAlignment="0" applyProtection="0">
      <alignment vertical="center"/>
    </xf>
    <xf numFmtId="0" fontId="142" fillId="41" borderId="0" applyNumberFormat="0" applyBorder="0" applyAlignment="0" applyProtection="0">
      <alignment vertical="center"/>
    </xf>
    <xf numFmtId="0" fontId="142" fillId="25" borderId="0" applyNumberFormat="0" applyBorder="0" applyAlignment="0" applyProtection="0">
      <alignment vertical="center"/>
    </xf>
    <xf numFmtId="230" fontId="143" fillId="0" borderId="0" applyFont="0" applyFill="0" applyBorder="0">
      <alignment horizontal="center"/>
    </xf>
    <xf numFmtId="4" fontId="139" fillId="0" borderId="12">
      <alignment horizontal="right" vertical="top"/>
    </xf>
    <xf numFmtId="4" fontId="139" fillId="0" borderId="12">
      <alignment horizontal="right" vertical="top"/>
    </xf>
    <xf numFmtId="4" fontId="139" fillId="0" borderId="12">
      <alignment horizontal="right" vertical="top"/>
    </xf>
    <xf numFmtId="37" fontId="144" fillId="0" borderId="0">
      <alignment horizontal="center"/>
    </xf>
    <xf numFmtId="0" fontId="145" fillId="0" borderId="0">
      <alignment horizontal="right"/>
    </xf>
    <xf numFmtId="0" fontId="146" fillId="0" borderId="0">
      <alignment vertical="center"/>
    </xf>
    <xf numFmtId="0" fontId="147" fillId="8" borderId="32">
      <alignment vertical="center"/>
    </xf>
    <xf numFmtId="177" fontId="148" fillId="8" borderId="0" applyFont="0" applyBorder="0"/>
    <xf numFmtId="0" fontId="149" fillId="42" borderId="0"/>
    <xf numFmtId="177" fontId="148" fillId="43" borderId="0" applyNumberFormat="0" applyFont="0" applyBorder="0" applyAlignment="0" applyProtection="0"/>
    <xf numFmtId="177" fontId="53" fillId="44" borderId="0" applyNumberFormat="0" applyFont="0" applyBorder="0" applyAlignment="0" applyProtection="0"/>
    <xf numFmtId="218" fontId="150" fillId="45" borderId="33"/>
    <xf numFmtId="177" fontId="15" fillId="46" borderId="0" applyBorder="0"/>
    <xf numFmtId="177" fontId="26" fillId="0" borderId="34" applyNumberFormat="0" applyBorder="0" applyAlignment="0" applyProtection="0"/>
    <xf numFmtId="167" fontId="24" fillId="0" borderId="0" applyBorder="0">
      <alignment horizontal="right"/>
    </xf>
    <xf numFmtId="167" fontId="15" fillId="0" borderId="34" applyBorder="0">
      <alignment horizontal="right"/>
    </xf>
    <xf numFmtId="170" fontId="151" fillId="0" borderId="0" applyBorder="0">
      <alignment horizontal="right"/>
    </xf>
    <xf numFmtId="170" fontId="152" fillId="0" borderId="34" applyBorder="0">
      <alignment horizontal="right"/>
    </xf>
    <xf numFmtId="177" fontId="153" fillId="0" borderId="0">
      <alignment horizontal="left" indent="1"/>
    </xf>
    <xf numFmtId="177" fontId="154" fillId="0" borderId="35" applyBorder="0"/>
    <xf numFmtId="177" fontId="148" fillId="9" borderId="34" applyNumberFormat="0" applyFont="0" applyBorder="0" applyAlignment="0" applyProtection="0"/>
    <xf numFmtId="167" fontId="155" fillId="47" borderId="35" applyBorder="0">
      <alignment horizontal="right"/>
    </xf>
    <xf numFmtId="167" fontId="155" fillId="0" borderId="35" applyBorder="0">
      <alignment horizontal="right"/>
    </xf>
    <xf numFmtId="177" fontId="156" fillId="0" borderId="34" applyNumberFormat="0" applyBorder="0" applyAlignment="0" applyProtection="0"/>
    <xf numFmtId="0" fontId="155" fillId="8" borderId="36" applyBorder="0">
      <alignment horizontal="center"/>
    </xf>
    <xf numFmtId="231" fontId="9" fillId="0" borderId="0" applyFont="0" applyFill="0" applyBorder="0" applyAlignment="0" applyProtection="0"/>
    <xf numFmtId="232" fontId="9" fillId="0" borderId="0" applyFont="0" applyFill="0" applyBorder="0" applyAlignment="0" applyProtection="0"/>
    <xf numFmtId="233" fontId="9" fillId="0" borderId="0" applyFont="0" applyFill="0" applyBorder="0" applyAlignment="0" applyProtection="0"/>
    <xf numFmtId="234" fontId="9" fillId="0" borderId="0" applyFont="0" applyFill="0" applyBorder="0" applyAlignment="0" applyProtection="0"/>
    <xf numFmtId="0" fontId="140" fillId="48" borderId="0" applyNumberFormat="0" applyBorder="0" applyAlignment="0" applyProtection="0"/>
    <xf numFmtId="0" fontId="140" fillId="48" borderId="0" applyNumberFormat="0" applyBorder="0" applyAlignment="0" applyProtection="0"/>
    <xf numFmtId="0" fontId="140" fillId="48" borderId="0" applyNumberFormat="0" applyBorder="0" applyAlignment="0" applyProtection="0"/>
    <xf numFmtId="0" fontId="140" fillId="48" borderId="0" applyNumberFormat="0" applyBorder="0" applyAlignment="0" applyProtection="0"/>
    <xf numFmtId="0" fontId="140" fillId="48" borderId="0" applyNumberFormat="0" applyBorder="0" applyAlignment="0" applyProtection="0"/>
    <xf numFmtId="0" fontId="140" fillId="48" borderId="0" applyNumberFormat="0" applyBorder="0" applyAlignment="0" applyProtection="0"/>
    <xf numFmtId="0" fontId="140" fillId="48" borderId="0" applyNumberFormat="0" applyBorder="0" applyAlignment="0" applyProtection="0"/>
    <xf numFmtId="0" fontId="140" fillId="48" borderId="0" applyNumberFormat="0" applyBorder="0" applyAlignment="0" applyProtection="0"/>
    <xf numFmtId="0" fontId="140" fillId="48" borderId="0" applyNumberFormat="0" applyBorder="0" applyAlignment="0" applyProtection="0"/>
    <xf numFmtId="0" fontId="140" fillId="48" borderId="0" applyNumberFormat="0" applyBorder="0" applyAlignment="0" applyProtection="0"/>
    <xf numFmtId="0" fontId="140" fillId="48" borderId="0" applyNumberFormat="0" applyBorder="0" applyAlignment="0" applyProtection="0"/>
    <xf numFmtId="0" fontId="140" fillId="48" borderId="0" applyNumberFormat="0" applyBorder="0" applyAlignment="0" applyProtection="0"/>
    <xf numFmtId="0" fontId="140" fillId="48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49" borderId="0" applyNumberFormat="0" applyBorder="0" applyAlignment="0" applyProtection="0"/>
    <xf numFmtId="0" fontId="140" fillId="38" borderId="0" applyNumberFormat="0" applyBorder="0" applyAlignment="0" applyProtection="0"/>
    <xf numFmtId="0" fontId="140" fillId="41" borderId="0" applyNumberFormat="0" applyBorder="0" applyAlignment="0" applyProtection="0"/>
    <xf numFmtId="0" fontId="140" fillId="25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25" borderId="0" applyNumberFormat="0" applyBorder="0" applyAlignment="0" applyProtection="0"/>
    <xf numFmtId="235" fontId="157" fillId="50" borderId="0">
      <alignment horizontal="center" vertical="center"/>
    </xf>
    <xf numFmtId="236" fontId="100" fillId="0" borderId="37" applyFont="0" applyFill="0">
      <alignment horizontal="right" vertical="center"/>
      <protection locked="0"/>
    </xf>
    <xf numFmtId="219" fontId="9" fillId="0" borderId="0" applyFont="0" applyFill="0" applyBorder="0" applyProtection="0"/>
    <xf numFmtId="237" fontId="158" fillId="0" borderId="0" applyFont="0" applyFill="0" applyBorder="0" applyAlignment="0" applyProtection="0"/>
    <xf numFmtId="238" fontId="31" fillId="0" borderId="0" applyFont="0" applyFill="0" applyBorder="0" applyAlignment="0" applyProtection="0"/>
    <xf numFmtId="239" fontId="31" fillId="0" borderId="0" applyFont="0" applyFill="0" applyBorder="0" applyAlignment="0" applyProtection="0"/>
    <xf numFmtId="0" fontId="159" fillId="0" borderId="0" applyNumberFormat="0" applyFill="0" applyBorder="0" applyAlignment="0" applyProtection="0">
      <alignment vertical="top"/>
      <protection locked="0"/>
    </xf>
    <xf numFmtId="0" fontId="26" fillId="0" borderId="0"/>
    <xf numFmtId="240" fontId="160" fillId="0" borderId="0">
      <alignment horizontal="left"/>
    </xf>
    <xf numFmtId="39" fontId="161" fillId="0" borderId="0" applyFont="0" applyFill="0">
      <alignment vertical="center"/>
    </xf>
    <xf numFmtId="219" fontId="39" fillId="51" borderId="12">
      <alignment vertical="center"/>
    </xf>
    <xf numFmtId="0" fontId="162" fillId="0" borderId="0">
      <alignment horizontal="right"/>
    </xf>
    <xf numFmtId="236" fontId="100" fillId="0" borderId="0" applyFont="0" applyBorder="0" applyProtection="0">
      <alignment vertical="center"/>
    </xf>
    <xf numFmtId="235" fontId="9" fillId="0" borderId="0" applyNumberFormat="0" applyFont="0" applyAlignment="0">
      <alignment horizontal="center" vertical="center"/>
    </xf>
    <xf numFmtId="0" fontId="26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49" fillId="0" borderId="0"/>
    <xf numFmtId="241" fontId="164" fillId="0" borderId="0"/>
    <xf numFmtId="39" fontId="165" fillId="8" borderId="0" applyNumberFormat="0" applyBorder="0">
      <alignment vertical="center"/>
    </xf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53" fillId="52" borderId="0"/>
    <xf numFmtId="0" fontId="45" fillId="52" borderId="0"/>
    <xf numFmtId="0" fontId="45" fillId="52" borderId="0"/>
    <xf numFmtId="0" fontId="45" fillId="52" borderId="0"/>
    <xf numFmtId="0" fontId="45" fillId="52" borderId="0"/>
    <xf numFmtId="0" fontId="167" fillId="52" borderId="0"/>
    <xf numFmtId="0" fontId="75" fillId="0" borderId="38" applyNumberFormat="0" applyFont="0" applyFill="0" applyAlignment="0"/>
    <xf numFmtId="3" fontId="26" fillId="0" borderId="0" applyBorder="0" applyAlignment="0" applyProtection="0"/>
    <xf numFmtId="0" fontId="168" fillId="0" borderId="0"/>
    <xf numFmtId="0" fontId="169" fillId="0" borderId="0" applyNumberFormat="0" applyFill="0" applyBorder="0" applyAlignment="0" applyProtection="0"/>
    <xf numFmtId="0" fontId="39" fillId="0" borderId="0">
      <alignment horizontal="left"/>
    </xf>
    <xf numFmtId="0" fontId="170" fillId="0" borderId="0" applyNumberFormat="0" applyFill="0" applyBorder="0" applyAlignment="0" applyProtection="0"/>
    <xf numFmtId="177" fontId="164" fillId="0" borderId="0"/>
    <xf numFmtId="0" fontId="171" fillId="0" borderId="0" applyNumberFormat="0" applyFill="0" applyBorder="0" applyAlignment="0" applyProtection="0"/>
    <xf numFmtId="0" fontId="172" fillId="0" borderId="9" applyNumberFormat="0" applyFont="0" applyFill="0" applyAlignment="0" applyProtection="0"/>
    <xf numFmtId="0" fontId="172" fillId="0" borderId="39" applyNumberFormat="0" applyFont="0" applyFill="0" applyAlignment="0" applyProtection="0"/>
    <xf numFmtId="0" fontId="173" fillId="0" borderId="40" applyFill="0" applyProtection="0">
      <alignment horizontal="right"/>
    </xf>
    <xf numFmtId="242" fontId="174" fillId="0" borderId="0" applyFont="0" applyFill="0" applyBorder="0" applyAlignment="0" applyProtection="0"/>
    <xf numFmtId="174" fontId="15" fillId="0" borderId="0"/>
    <xf numFmtId="0" fontId="175" fillId="0" borderId="0"/>
    <xf numFmtId="243" fontId="176" fillId="0" borderId="0"/>
    <xf numFmtId="244" fontId="176" fillId="0" borderId="0"/>
    <xf numFmtId="245" fontId="176" fillId="0" borderId="0"/>
    <xf numFmtId="246" fontId="176" fillId="0" borderId="5"/>
    <xf numFmtId="244" fontId="176" fillId="0" borderId="5"/>
    <xf numFmtId="244" fontId="176" fillId="0" borderId="5"/>
    <xf numFmtId="245" fontId="176" fillId="0" borderId="5"/>
    <xf numFmtId="245" fontId="176" fillId="0" borderId="5"/>
    <xf numFmtId="246" fontId="176" fillId="0" borderId="5"/>
    <xf numFmtId="246" fontId="176" fillId="0" borderId="5"/>
    <xf numFmtId="246" fontId="176" fillId="0" borderId="5"/>
    <xf numFmtId="246" fontId="176" fillId="0" borderId="0"/>
    <xf numFmtId="247" fontId="176" fillId="0" borderId="0"/>
    <xf numFmtId="0" fontId="32" fillId="0" borderId="0" applyFill="0" applyBorder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9" fontId="177" fillId="0" borderId="0" applyFill="0" applyAlignment="0"/>
    <xf numFmtId="250" fontId="176" fillId="0" borderId="0"/>
    <xf numFmtId="251" fontId="176" fillId="0" borderId="0"/>
    <xf numFmtId="247" fontId="176" fillId="0" borderId="5"/>
    <xf numFmtId="250" fontId="176" fillId="0" borderId="5"/>
    <xf numFmtId="250" fontId="176" fillId="0" borderId="5"/>
    <xf numFmtId="251" fontId="176" fillId="0" borderId="5"/>
    <xf numFmtId="251" fontId="176" fillId="0" borderId="5"/>
    <xf numFmtId="247" fontId="176" fillId="0" borderId="5"/>
    <xf numFmtId="247" fontId="176" fillId="0" borderId="5"/>
    <xf numFmtId="247" fontId="176" fillId="0" borderId="5"/>
    <xf numFmtId="252" fontId="176" fillId="0" borderId="0">
      <alignment horizontal="right"/>
      <protection locked="0"/>
    </xf>
    <xf numFmtId="253" fontId="176" fillId="0" borderId="0">
      <alignment horizontal="right"/>
      <protection locked="0"/>
    </xf>
    <xf numFmtId="254" fontId="176" fillId="0" borderId="0"/>
    <xf numFmtId="214" fontId="177" fillId="0" borderId="0" applyFill="0" applyAlignment="0"/>
    <xf numFmtId="255" fontId="27" fillId="0" borderId="0" applyFill="0" applyAlignment="0"/>
    <xf numFmtId="255" fontId="27" fillId="0" borderId="0" applyFill="0" applyAlignment="0"/>
    <xf numFmtId="255" fontId="27" fillId="0" borderId="0" applyFill="0" applyAlignment="0"/>
    <xf numFmtId="255" fontId="27" fillId="0" borderId="0" applyFill="0" applyAlignment="0"/>
    <xf numFmtId="255" fontId="27" fillId="0" borderId="0" applyFill="0" applyAlignment="0"/>
    <xf numFmtId="256" fontId="27" fillId="0" borderId="0" applyFill="0" applyAlignment="0"/>
    <xf numFmtId="256" fontId="27" fillId="0" borderId="0" applyFill="0" applyAlignment="0"/>
    <xf numFmtId="256" fontId="27" fillId="0" borderId="0" applyFill="0" applyAlignment="0"/>
    <xf numFmtId="256" fontId="27" fillId="0" borderId="0" applyFill="0" applyAlignment="0"/>
    <xf numFmtId="256" fontId="27" fillId="0" borderId="0" applyFill="0" applyAlignment="0"/>
    <xf numFmtId="257" fontId="176" fillId="0" borderId="0"/>
    <xf numFmtId="258" fontId="9" fillId="0" borderId="0"/>
    <xf numFmtId="254" fontId="176" fillId="0" borderId="5"/>
    <xf numFmtId="257" fontId="176" fillId="0" borderId="5"/>
    <xf numFmtId="257" fontId="176" fillId="0" borderId="5"/>
    <xf numFmtId="258" fontId="9" fillId="0" borderId="5"/>
    <xf numFmtId="258" fontId="9" fillId="0" borderId="5"/>
    <xf numFmtId="254" fontId="176" fillId="0" borderId="5"/>
    <xf numFmtId="254" fontId="176" fillId="0" borderId="5"/>
    <xf numFmtId="254" fontId="176" fillId="0" borderId="5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49" fontId="177" fillId="0" borderId="0" applyFill="0" applyAlignment="0"/>
    <xf numFmtId="0" fontId="178" fillId="53" borderId="41" applyNumberFormat="0" applyAlignment="0" applyProtection="0"/>
    <xf numFmtId="0" fontId="178" fillId="53" borderId="41" applyNumberFormat="0" applyAlignment="0" applyProtection="0"/>
    <xf numFmtId="0" fontId="178" fillId="53" borderId="41" applyNumberFormat="0" applyAlignment="0" applyProtection="0"/>
    <xf numFmtId="0" fontId="178" fillId="53" borderId="41" applyNumberFormat="0" applyAlignment="0" applyProtection="0"/>
    <xf numFmtId="0" fontId="178" fillId="53" borderId="41" applyNumberFormat="0" applyAlignment="0" applyProtection="0"/>
    <xf numFmtId="0" fontId="179" fillId="28" borderId="41" applyNumberFormat="0" applyAlignment="0" applyProtection="0"/>
    <xf numFmtId="219" fontId="59" fillId="16" borderId="12">
      <alignment vertical="center"/>
    </xf>
    <xf numFmtId="219" fontId="59" fillId="16" borderId="12">
      <alignment vertical="center"/>
    </xf>
    <xf numFmtId="0" fontId="178" fillId="53" borderId="41" applyNumberFormat="0" applyAlignment="0" applyProtection="0"/>
    <xf numFmtId="219" fontId="59" fillId="16" borderId="12">
      <alignment vertical="center"/>
    </xf>
    <xf numFmtId="219" fontId="59" fillId="16" borderId="12">
      <alignment vertical="center"/>
    </xf>
    <xf numFmtId="0" fontId="178" fillId="53" borderId="41" applyNumberFormat="0" applyAlignment="0" applyProtection="0"/>
    <xf numFmtId="219" fontId="59" fillId="16" borderId="12">
      <alignment vertical="center"/>
    </xf>
    <xf numFmtId="219" fontId="59" fillId="16" borderId="12">
      <alignment vertical="center"/>
    </xf>
    <xf numFmtId="0" fontId="178" fillId="53" borderId="41" applyNumberFormat="0" applyAlignment="0" applyProtection="0"/>
    <xf numFmtId="0" fontId="178" fillId="53" borderId="41" applyNumberFormat="0" applyAlignment="0" applyProtection="0"/>
    <xf numFmtId="0" fontId="178" fillId="53" borderId="41" applyNumberFormat="0" applyAlignment="0" applyProtection="0"/>
    <xf numFmtId="0" fontId="178" fillId="53" borderId="41" applyNumberFormat="0" applyAlignment="0" applyProtection="0"/>
    <xf numFmtId="0" fontId="178" fillId="53" borderId="41" applyNumberFormat="0" applyAlignment="0" applyProtection="0"/>
    <xf numFmtId="0" fontId="178" fillId="53" borderId="41" applyNumberFormat="0" applyAlignment="0" applyProtection="0"/>
    <xf numFmtId="0" fontId="9" fillId="54" borderId="0" applyNumberFormat="0" applyFont="0" applyBorder="0" applyAlignment="0"/>
    <xf numFmtId="177" fontId="180" fillId="54" borderId="0" applyNumberFormat="0" applyFont="0" applyBorder="0" applyAlignment="0">
      <alignment horizontal="left"/>
    </xf>
    <xf numFmtId="177" fontId="180" fillId="54" borderId="0" applyNumberFormat="0" applyFont="0" applyBorder="0" applyAlignment="0">
      <alignment horizontal="left"/>
    </xf>
    <xf numFmtId="177" fontId="180" fillId="54" borderId="0" applyNumberFormat="0" applyFont="0" applyBorder="0" applyAlignment="0">
      <alignment horizontal="left"/>
    </xf>
    <xf numFmtId="0" fontId="181" fillId="0" borderId="7" applyNumberFormat="0" applyFont="0" applyFill="0" applyProtection="0">
      <alignment horizontal="centerContinuous" vertical="center"/>
    </xf>
    <xf numFmtId="0" fontId="73" fillId="0" borderId="0">
      <alignment horizontal="right"/>
    </xf>
    <xf numFmtId="1" fontId="182" fillId="0" borderId="0"/>
    <xf numFmtId="0" fontId="54" fillId="9" borderId="0" applyNumberFormat="0" applyFont="0" applyBorder="0" applyAlignment="0" applyProtection="0"/>
    <xf numFmtId="174" fontId="39" fillId="16" borderId="2">
      <alignment vertical="center"/>
    </xf>
    <xf numFmtId="174" fontId="39" fillId="16" borderId="2">
      <alignment vertical="center"/>
    </xf>
    <xf numFmtId="0" fontId="183" fillId="55" borderId="42" applyNumberFormat="0" applyAlignment="0" applyProtection="0"/>
    <xf numFmtId="0" fontId="183" fillId="55" borderId="42" applyNumberFormat="0" applyAlignment="0" applyProtection="0"/>
    <xf numFmtId="0" fontId="183" fillId="55" borderId="42" applyNumberFormat="0" applyAlignment="0" applyProtection="0"/>
    <xf numFmtId="0" fontId="183" fillId="55" borderId="42" applyNumberFormat="0" applyAlignment="0" applyProtection="0"/>
    <xf numFmtId="0" fontId="183" fillId="55" borderId="42" applyNumberFormat="0" applyAlignment="0" applyProtection="0"/>
    <xf numFmtId="0" fontId="183" fillId="55" borderId="42" applyNumberFormat="0" applyAlignment="0" applyProtection="0"/>
    <xf numFmtId="0" fontId="183" fillId="55" borderId="42" applyNumberFormat="0" applyAlignment="0" applyProtection="0"/>
    <xf numFmtId="0" fontId="183" fillId="55" borderId="42" applyNumberFormat="0" applyAlignment="0" applyProtection="0"/>
    <xf numFmtId="0" fontId="183" fillId="55" borderId="42" applyNumberFormat="0" applyAlignment="0" applyProtection="0"/>
    <xf numFmtId="0" fontId="183" fillId="55" borderId="42" applyNumberFormat="0" applyAlignment="0" applyProtection="0"/>
    <xf numFmtId="0" fontId="183" fillId="55" borderId="42" applyNumberFormat="0" applyAlignment="0" applyProtection="0"/>
    <xf numFmtId="0" fontId="183" fillId="55" borderId="42" applyNumberFormat="0" applyAlignment="0" applyProtection="0"/>
    <xf numFmtId="0" fontId="183" fillId="55" borderId="42" applyNumberFormat="0" applyAlignment="0" applyProtection="0"/>
    <xf numFmtId="49" fontId="27" fillId="44" borderId="0">
      <alignment horizontal="center"/>
      <protection locked="0"/>
    </xf>
    <xf numFmtId="49" fontId="27" fillId="44" borderId="0">
      <alignment horizontal="center"/>
      <protection locked="0"/>
    </xf>
    <xf numFmtId="49" fontId="27" fillId="44" borderId="0">
      <alignment horizontal="center"/>
      <protection locked="0"/>
    </xf>
    <xf numFmtId="49" fontId="27" fillId="44" borderId="0">
      <alignment horizontal="center"/>
      <protection locked="0"/>
    </xf>
    <xf numFmtId="49" fontId="27" fillId="44" borderId="0">
      <alignment horizontal="center"/>
      <protection locked="0"/>
    </xf>
    <xf numFmtId="0" fontId="23" fillId="56" borderId="3" applyFont="0" applyFill="0" applyBorder="0"/>
    <xf numFmtId="0" fontId="23" fillId="56" borderId="3" applyFont="0" applyFill="0" applyBorder="0"/>
    <xf numFmtId="0" fontId="22" fillId="0" borderId="22"/>
    <xf numFmtId="0" fontId="22" fillId="0" borderId="22"/>
    <xf numFmtId="0" fontId="22" fillId="0" borderId="22"/>
    <xf numFmtId="0" fontId="22" fillId="0" borderId="22"/>
    <xf numFmtId="260" fontId="26" fillId="0" borderId="43" applyFill="0" applyBorder="0" applyProtection="0">
      <alignment horizontal="center"/>
      <protection locked="0"/>
    </xf>
    <xf numFmtId="0" fontId="72" fillId="0" borderId="0">
      <alignment horizontal="center" wrapText="1"/>
    </xf>
    <xf numFmtId="0" fontId="181" fillId="0" borderId="0" applyNumberFormat="0" applyFill="0" applyBorder="0" applyProtection="0">
      <alignment horizontal="center" vertical="center"/>
    </xf>
    <xf numFmtId="0" fontId="184" fillId="0" borderId="0">
      <alignment horizontal="right"/>
    </xf>
    <xf numFmtId="0" fontId="185" fillId="0" borderId="0" applyFont="0" applyBorder="0">
      <alignment horizontal="right"/>
    </xf>
    <xf numFmtId="261" fontId="104" fillId="0" borderId="0" applyFont="0" applyFill="0" applyBorder="0" applyAlignment="0" applyProtection="0"/>
    <xf numFmtId="248" fontId="12" fillId="0" borderId="0" applyFont="0" applyFill="0" applyAlignment="0" applyProtection="0"/>
    <xf numFmtId="0" fontId="186" fillId="0" borderId="0" applyFont="0" applyFill="0" applyBorder="0" applyAlignment="0" applyProtection="0"/>
    <xf numFmtId="262" fontId="187" fillId="0" borderId="0" applyFont="0" applyFill="0" applyBorder="0" applyProtection="0">
      <alignment horizontal="right"/>
    </xf>
    <xf numFmtId="263" fontId="187" fillId="0" borderId="0" applyFont="0" applyFill="0" applyBorder="0" applyProtection="0">
      <alignment horizontal="right"/>
    </xf>
    <xf numFmtId="0" fontId="188" fillId="0" borderId="0" applyFont="0" applyFill="0" applyBorder="0" applyAlignment="0" applyProtection="0">
      <alignment horizontal="right"/>
    </xf>
    <xf numFmtId="0" fontId="188" fillId="0" borderId="0" applyFont="0" applyFill="0" applyBorder="0" applyAlignment="0" applyProtection="0"/>
    <xf numFmtId="0" fontId="188" fillId="0" borderId="0" applyFont="0" applyFill="0" applyBorder="0" applyAlignment="0" applyProtection="0">
      <alignment horizontal="right"/>
    </xf>
    <xf numFmtId="40" fontId="9" fillId="0" borderId="0" applyFont="0" applyFill="0" applyBorder="0" applyProtection="0">
      <alignment horizontal="right"/>
    </xf>
    <xf numFmtId="183" fontId="189" fillId="0" borderId="0" applyFont="0" applyFill="0" applyBorder="0" applyAlignment="0" applyProtection="0"/>
    <xf numFmtId="3" fontId="190" fillId="0" borderId="0" applyFont="0" applyFill="0" applyBorder="0" applyAlignment="0" applyProtection="0"/>
    <xf numFmtId="0" fontId="40" fillId="0" borderId="0"/>
    <xf numFmtId="0" fontId="191" fillId="0" borderId="0"/>
    <xf numFmtId="0" fontId="192" fillId="0" borderId="0" applyFill="0" applyBorder="0">
      <alignment horizontal="left"/>
    </xf>
    <xf numFmtId="236" fontId="154" fillId="0" borderId="44" applyNumberFormat="0" applyFill="0" applyBorder="0" applyAlignment="0" applyProtection="0"/>
    <xf numFmtId="264" fontId="60" fillId="0" borderId="0" applyFill="0" applyBorder="0" applyProtection="0"/>
    <xf numFmtId="264" fontId="60" fillId="0" borderId="5" applyFill="0" applyProtection="0"/>
    <xf numFmtId="264" fontId="60" fillId="0" borderId="5" applyFill="0" applyProtection="0"/>
    <xf numFmtId="264" fontId="60" fillId="0" borderId="6" applyFill="0" applyProtection="0"/>
    <xf numFmtId="264" fontId="54" fillId="0" borderId="0" applyFill="0" applyBorder="0" applyProtection="0"/>
    <xf numFmtId="265" fontId="72" fillId="0" borderId="0" applyFill="0" applyBorder="0">
      <alignment horizontal="right"/>
      <protection locked="0"/>
    </xf>
    <xf numFmtId="233" fontId="104" fillId="0" borderId="0" applyFont="0" applyFill="0" applyBorder="0" applyAlignment="0" applyProtection="0"/>
    <xf numFmtId="249" fontId="12" fillId="0" borderId="0" applyFont="0" applyFill="0" applyAlignment="0" applyProtection="0"/>
    <xf numFmtId="266" fontId="33" fillId="0" borderId="0" applyFont="0" applyFill="0" applyBorder="0" applyAlignment="0" applyProtection="0"/>
    <xf numFmtId="267" fontId="187" fillId="0" borderId="0" applyFont="0" applyFill="0" applyBorder="0" applyProtection="0">
      <alignment horizontal="right"/>
    </xf>
    <xf numFmtId="268" fontId="187" fillId="0" borderId="0" applyFont="0" applyFill="0" applyBorder="0" applyProtection="0">
      <alignment horizontal="right"/>
    </xf>
    <xf numFmtId="0" fontId="188" fillId="0" borderId="0" applyFont="0" applyFill="0" applyBorder="0" applyAlignment="0" applyProtection="0">
      <alignment horizontal="right"/>
    </xf>
    <xf numFmtId="0" fontId="188" fillId="0" borderId="0" applyFont="0" applyFill="0" applyBorder="0" applyAlignment="0" applyProtection="0">
      <alignment horizontal="right"/>
    </xf>
    <xf numFmtId="37" fontId="11" fillId="0" borderId="45" applyFont="0" applyFill="0" applyBorder="0"/>
    <xf numFmtId="37" fontId="11" fillId="0" borderId="45" applyFont="0" applyFill="0" applyBorder="0"/>
    <xf numFmtId="37" fontId="11" fillId="0" borderId="45" applyFont="0" applyFill="0" applyBorder="0"/>
    <xf numFmtId="37" fontId="11" fillId="0" borderId="45" applyFont="0" applyFill="0" applyBorder="0"/>
    <xf numFmtId="37" fontId="157" fillId="0" borderId="45" applyFont="0" applyFill="0" applyBorder="0">
      <protection locked="0"/>
    </xf>
    <xf numFmtId="37" fontId="89" fillId="8" borderId="2" applyFill="0" applyBorder="0" applyProtection="0"/>
    <xf numFmtId="37" fontId="89" fillId="8" borderId="2" applyFill="0" applyBorder="0" applyProtection="0"/>
    <xf numFmtId="37" fontId="89" fillId="8" borderId="2" applyFill="0" applyBorder="0" applyProtection="0"/>
    <xf numFmtId="37" fontId="150" fillId="0" borderId="45" applyFill="0" applyBorder="0">
      <protection locked="0"/>
    </xf>
    <xf numFmtId="270" fontId="190" fillId="0" borderId="0" applyFont="0" applyFill="0" applyBorder="0" applyAlignment="0" applyProtection="0"/>
    <xf numFmtId="0" fontId="72" fillId="0" borderId="0" applyFont="0" applyFill="0" applyBorder="0" applyAlignment="0">
      <protection locked="0"/>
    </xf>
    <xf numFmtId="0" fontId="193" fillId="0" borderId="0"/>
    <xf numFmtId="0" fontId="53" fillId="57" borderId="0"/>
    <xf numFmtId="0" fontId="193" fillId="0" borderId="46"/>
    <xf numFmtId="0" fontId="193" fillId="0" borderId="46"/>
    <xf numFmtId="0" fontId="45" fillId="57" borderId="0"/>
    <xf numFmtId="0" fontId="45" fillId="57" borderId="0"/>
    <xf numFmtId="0" fontId="45" fillId="57" borderId="0"/>
    <xf numFmtId="0" fontId="45" fillId="57" borderId="0"/>
    <xf numFmtId="246" fontId="176" fillId="9" borderId="31">
      <protection locked="0"/>
    </xf>
    <xf numFmtId="244" fontId="176" fillId="9" borderId="31">
      <protection locked="0"/>
    </xf>
    <xf numFmtId="245" fontId="176" fillId="9" borderId="31">
      <protection locked="0"/>
    </xf>
    <xf numFmtId="241" fontId="9" fillId="9" borderId="31">
      <protection locked="0"/>
    </xf>
    <xf numFmtId="177" fontId="9" fillId="9" borderId="31">
      <protection locked="0"/>
    </xf>
    <xf numFmtId="248" fontId="9" fillId="9" borderId="31">
      <protection locked="0"/>
    </xf>
    <xf numFmtId="252" fontId="176" fillId="11" borderId="31">
      <alignment horizontal="right"/>
      <protection locked="0"/>
    </xf>
    <xf numFmtId="253" fontId="176" fillId="11" borderId="31">
      <alignment horizontal="right"/>
      <protection locked="0"/>
    </xf>
    <xf numFmtId="0" fontId="176" fillId="46" borderId="31">
      <alignment horizontal="left"/>
      <protection locked="0"/>
    </xf>
    <xf numFmtId="49" fontId="176" fillId="44" borderId="31">
      <alignment horizontal="left" vertical="top" wrapText="1"/>
      <protection locked="0"/>
    </xf>
    <xf numFmtId="254" fontId="176" fillId="9" borderId="31">
      <protection locked="0"/>
    </xf>
    <xf numFmtId="257" fontId="176" fillId="9" borderId="31">
      <protection locked="0"/>
    </xf>
    <xf numFmtId="258" fontId="9" fillId="9" borderId="31">
      <protection locked="0"/>
    </xf>
    <xf numFmtId="49" fontId="176" fillId="44" borderId="31">
      <alignment horizontal="left"/>
      <protection locked="0"/>
    </xf>
    <xf numFmtId="271" fontId="176" fillId="9" borderId="31">
      <alignment horizontal="left" indent="1"/>
      <protection locked="0"/>
    </xf>
    <xf numFmtId="0" fontId="45" fillId="57" borderId="0"/>
    <xf numFmtId="0" fontId="167" fillId="58" borderId="0"/>
    <xf numFmtId="14" fontId="165" fillId="0" borderId="4" applyFont="0">
      <alignment horizontal="right"/>
    </xf>
    <xf numFmtId="17" fontId="194" fillId="0" borderId="0" applyFill="0" applyBorder="0">
      <alignment horizontal="right"/>
    </xf>
    <xf numFmtId="0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188" fillId="0" borderId="0" applyFont="0" applyFill="0" applyBorder="0" applyAlignment="0" applyProtection="0"/>
    <xf numFmtId="15" fontId="8" fillId="0" borderId="47" applyFont="0" applyFill="0" applyBorder="0" applyAlignment="0">
      <alignment horizontal="centerContinuous"/>
    </xf>
    <xf numFmtId="272" fontId="8" fillId="0" borderId="47" applyFont="0" applyFill="0" applyBorder="0" applyAlignment="0">
      <alignment horizontal="centerContinuous"/>
    </xf>
    <xf numFmtId="14" fontId="11" fillId="0" borderId="0" applyFill="0" applyAlignment="0"/>
    <xf numFmtId="14" fontId="11" fillId="0" borderId="0" applyFill="0" applyAlignment="0"/>
    <xf numFmtId="14" fontId="11" fillId="0" borderId="0" applyFill="0" applyAlignment="0"/>
    <xf numFmtId="14" fontId="11" fillId="0" borderId="0" applyFill="0" applyAlignment="0"/>
    <xf numFmtId="273" fontId="164" fillId="0" borderId="0" applyFill="0" applyBorder="0" applyProtection="0"/>
    <xf numFmtId="14" fontId="164" fillId="0" borderId="0" applyFill="0" applyBorder="0" applyProtection="0"/>
    <xf numFmtId="15" fontId="31" fillId="0" borderId="7">
      <protection locked="0"/>
    </xf>
    <xf numFmtId="0" fontId="180" fillId="0" borderId="0"/>
    <xf numFmtId="17" fontId="9" fillId="8" borderId="9">
      <alignment horizontal="center"/>
    </xf>
    <xf numFmtId="274" fontId="60" fillId="0" borderId="0" applyFill="0" applyBorder="0" applyProtection="0"/>
    <xf numFmtId="274" fontId="60" fillId="0" borderId="5" applyFill="0" applyProtection="0"/>
    <xf numFmtId="274" fontId="60" fillId="0" borderId="6" applyFill="0" applyProtection="0"/>
    <xf numFmtId="274" fontId="54" fillId="0" borderId="0" applyFill="0" applyBorder="0" applyProtection="0"/>
    <xf numFmtId="38" fontId="54" fillId="0" borderId="0" applyFont="0" applyFill="0" applyBorder="0" applyAlignment="0" applyProtection="0"/>
    <xf numFmtId="0" fontId="180" fillId="0" borderId="0"/>
    <xf numFmtId="275" fontId="27" fillId="0" borderId="48">
      <alignment vertical="center"/>
    </xf>
    <xf numFmtId="275" fontId="27" fillId="0" borderId="48">
      <alignment vertical="center"/>
    </xf>
    <xf numFmtId="275" fontId="27" fillId="0" borderId="48">
      <alignment vertical="center"/>
    </xf>
    <xf numFmtId="275" fontId="27" fillId="0" borderId="48">
      <alignment vertical="center"/>
    </xf>
    <xf numFmtId="275" fontId="27" fillId="0" borderId="48">
      <alignment vertical="center"/>
    </xf>
    <xf numFmtId="276" fontId="165" fillId="59" borderId="0" applyNumberFormat="0" applyBorder="0" applyAlignment="0" applyProtection="0"/>
    <xf numFmtId="0" fontId="9" fillId="0" borderId="0" applyFont="0" applyFill="0" applyBorder="0" applyAlignment="0" applyProtection="0"/>
    <xf numFmtId="277" fontId="9" fillId="0" borderId="0" applyFont="0" applyFill="0" applyBorder="0" applyAlignment="0" applyProtection="0"/>
    <xf numFmtId="278" fontId="196" fillId="0" borderId="0">
      <alignment horizontal="left"/>
    </xf>
    <xf numFmtId="0" fontId="73" fillId="0" borderId="0"/>
    <xf numFmtId="0" fontId="197" fillId="0" borderId="0" applyFont="0" applyFill="0" applyBorder="0" applyAlignment="0" applyProtection="0">
      <protection locked="0"/>
    </xf>
    <xf numFmtId="249" fontId="198" fillId="0" borderId="0">
      <alignment horizontal="center"/>
    </xf>
    <xf numFmtId="0" fontId="188" fillId="0" borderId="49" applyNumberFormat="0" applyFont="0" applyFill="0" applyAlignment="0" applyProtection="0"/>
    <xf numFmtId="0" fontId="199" fillId="0" borderId="0" applyFill="0" applyBorder="0" applyAlignment="0" applyProtection="0"/>
    <xf numFmtId="38" fontId="72" fillId="0" borderId="0" applyFont="0" applyFill="0" applyBorder="0" applyAlignment="0" applyProtection="0"/>
    <xf numFmtId="0" fontId="200" fillId="0" borderId="0" applyFont="0" applyFill="0" applyBorder="0" applyAlignment="0" applyProtection="0"/>
    <xf numFmtId="0" fontId="201" fillId="0" borderId="0" applyNumberFormat="0" applyFill="0" applyBorder="0" applyAlignment="0" applyProtection="0"/>
    <xf numFmtId="3" fontId="9" fillId="0" borderId="2"/>
    <xf numFmtId="3" fontId="9" fillId="0" borderId="2"/>
    <xf numFmtId="3" fontId="9" fillId="0" borderId="2"/>
    <xf numFmtId="49" fontId="39" fillId="0" borderId="50">
      <alignment horizontal="left" vertical="center" wrapText="1"/>
    </xf>
    <xf numFmtId="49" fontId="39" fillId="0" borderId="50">
      <alignment horizontal="left" vertical="center" wrapText="1"/>
    </xf>
    <xf numFmtId="0" fontId="75" fillId="0" borderId="0" applyNumberFormat="0" applyFont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9" fontId="17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49" fontId="177" fillId="0" borderId="0" applyFill="0" applyAlignment="0"/>
    <xf numFmtId="227" fontId="9" fillId="0" borderId="0" applyFont="0" applyFill="0" applyBorder="0" applyAlignment="0" applyProtection="0"/>
    <xf numFmtId="0" fontId="17" fillId="0" borderId="0"/>
    <xf numFmtId="0" fontId="17" fillId="0" borderId="0"/>
    <xf numFmtId="4" fontId="202" fillId="0" borderId="0">
      <protection locked="0"/>
    </xf>
    <xf numFmtId="0" fontId="203" fillId="0" borderId="0" applyNumberFormat="0" applyFill="0" applyBorder="0" applyAlignment="0" applyProtection="0"/>
    <xf numFmtId="279" fontId="9" fillId="0" borderId="0" applyFont="0" applyFill="0" applyBorder="0" applyAlignment="0" applyProtection="0"/>
    <xf numFmtId="280" fontId="9" fillId="0" borderId="0" applyFont="0" applyFill="0" applyBorder="0" applyAlignment="0" applyProtection="0"/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204" fillId="0" borderId="0">
      <protection locked="0"/>
    </xf>
    <xf numFmtId="0" fontId="204" fillId="0" borderId="0">
      <protection locked="0"/>
    </xf>
    <xf numFmtId="0" fontId="204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204" fillId="0" borderId="0">
      <protection locked="0"/>
    </xf>
    <xf numFmtId="0" fontId="204" fillId="0" borderId="0">
      <protection locked="0"/>
    </xf>
    <xf numFmtId="0" fontId="204" fillId="0" borderId="0">
      <protection locked="0"/>
    </xf>
    <xf numFmtId="0" fontId="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5" fontId="9" fillId="0" borderId="0">
      <alignment vertical="center"/>
    </xf>
    <xf numFmtId="0" fontId="205" fillId="0" borderId="0" applyFill="0" applyBorder="0" applyProtection="0">
      <alignment horizontal="left"/>
    </xf>
    <xf numFmtId="0" fontId="9" fillId="0" borderId="0" applyNumberFormat="0" applyFont="0">
      <alignment wrapText="1"/>
    </xf>
    <xf numFmtId="0" fontId="9" fillId="0" borderId="0" applyNumberFormat="0" applyFont="0">
      <alignment wrapText="1"/>
    </xf>
    <xf numFmtId="0" fontId="9" fillId="0" borderId="0" applyNumberFormat="0" applyFont="0">
      <alignment wrapText="1"/>
    </xf>
    <xf numFmtId="0" fontId="9" fillId="0" borderId="0" applyNumberFormat="0" applyFont="0">
      <alignment wrapText="1"/>
    </xf>
    <xf numFmtId="276" fontId="150" fillId="0" borderId="0" applyNumberFormat="0" applyAlignment="0" applyProtection="0"/>
    <xf numFmtId="174" fontId="39" fillId="14" borderId="2" applyBorder="0">
      <alignment horizontal="center" vertical="center"/>
    </xf>
    <xf numFmtId="0" fontId="206" fillId="34" borderId="0" applyNumberFormat="0" applyBorder="0" applyAlignment="0" applyProtection="0"/>
    <xf numFmtId="0" fontId="206" fillId="34" borderId="0" applyNumberFormat="0" applyBorder="0" applyAlignment="0" applyProtection="0"/>
    <xf numFmtId="0" fontId="206" fillId="34" borderId="0" applyNumberFormat="0" applyBorder="0" applyAlignment="0" applyProtection="0"/>
    <xf numFmtId="0" fontId="206" fillId="34" borderId="0" applyNumberFormat="0" applyBorder="0" applyAlignment="0" applyProtection="0"/>
    <xf numFmtId="0" fontId="206" fillId="34" borderId="0" applyNumberFormat="0" applyBorder="0" applyAlignment="0" applyProtection="0"/>
    <xf numFmtId="0" fontId="206" fillId="34" borderId="0" applyNumberFormat="0" applyBorder="0" applyAlignment="0" applyProtection="0"/>
    <xf numFmtId="0" fontId="206" fillId="34" borderId="0" applyNumberFormat="0" applyBorder="0" applyAlignment="0" applyProtection="0"/>
    <xf numFmtId="0" fontId="206" fillId="34" borderId="0" applyNumberFormat="0" applyBorder="0" applyAlignment="0" applyProtection="0"/>
    <xf numFmtId="0" fontId="206" fillId="34" borderId="0" applyNumberFormat="0" applyBorder="0" applyAlignment="0" applyProtection="0"/>
    <xf numFmtId="0" fontId="206" fillId="34" borderId="0" applyNumberFormat="0" applyBorder="0" applyAlignment="0" applyProtection="0"/>
    <xf numFmtId="0" fontId="206" fillId="34" borderId="0" applyNumberFormat="0" applyBorder="0" applyAlignment="0" applyProtection="0"/>
    <xf numFmtId="0" fontId="206" fillId="34" borderId="0" applyNumberFormat="0" applyBorder="0" applyAlignment="0" applyProtection="0"/>
    <xf numFmtId="0" fontId="206" fillId="34" borderId="0" applyNumberFormat="0" applyBorder="0" applyAlignment="0" applyProtection="0"/>
    <xf numFmtId="277" fontId="207" fillId="0" borderId="0" applyNumberFormat="0" applyFill="0" applyBorder="0" applyAlignment="0" applyProtection="0">
      <alignment horizontal="center"/>
    </xf>
    <xf numFmtId="38" fontId="15" fillId="8" borderId="0" applyNumberFormat="0" applyBorder="0" applyAlignment="0" applyProtection="0"/>
    <xf numFmtId="0" fontId="80" fillId="0" borderId="0" applyNumberFormat="0">
      <alignment horizontal="right"/>
    </xf>
    <xf numFmtId="0" fontId="80" fillId="0" borderId="0" applyNumberFormat="0">
      <alignment horizontal="right"/>
    </xf>
    <xf numFmtId="0" fontId="80" fillId="0" borderId="0" applyNumberFormat="0">
      <alignment horizontal="right"/>
    </xf>
    <xf numFmtId="0" fontId="80" fillId="0" borderId="0" applyNumberFormat="0">
      <alignment horizontal="right"/>
    </xf>
    <xf numFmtId="0" fontId="208" fillId="0" borderId="0" applyNumberFormat="0">
      <alignment horizontal="right"/>
    </xf>
    <xf numFmtId="0" fontId="208" fillId="0" borderId="0" applyNumberFormat="0">
      <alignment horizontal="left"/>
    </xf>
    <xf numFmtId="0" fontId="80" fillId="0" borderId="0" applyNumberFormat="0">
      <alignment horizontal="left"/>
    </xf>
    <xf numFmtId="0" fontId="80" fillId="0" borderId="0" applyNumberFormat="0">
      <alignment horizontal="left"/>
    </xf>
    <xf numFmtId="0" fontId="80" fillId="0" borderId="0" applyNumberFormat="0">
      <alignment horizontal="left"/>
    </xf>
    <xf numFmtId="0" fontId="80" fillId="0" borderId="0" applyNumberFormat="0">
      <alignment horizontal="left"/>
    </xf>
    <xf numFmtId="0" fontId="209" fillId="0" borderId="0" applyNumberFormat="0">
      <alignment horizontal="left" vertical="top"/>
    </xf>
    <xf numFmtId="170" fontId="26" fillId="44" borderId="2" applyNumberFormat="0" applyFont="0" applyBorder="0" applyAlignment="0" applyProtection="0"/>
    <xf numFmtId="170" fontId="26" fillId="44" borderId="2" applyNumberFormat="0" applyFont="0" applyBorder="0" applyAlignment="0" applyProtection="0"/>
    <xf numFmtId="170" fontId="26" fillId="44" borderId="2" applyNumberFormat="0" applyFont="0" applyBorder="0" applyAlignment="0" applyProtection="0"/>
    <xf numFmtId="177" fontId="210" fillId="0" borderId="0">
      <alignment vertical="center"/>
    </xf>
    <xf numFmtId="0" fontId="188" fillId="0" borderId="0" applyFont="0" applyFill="0" applyBorder="0" applyAlignment="0" applyProtection="0">
      <alignment horizontal="right"/>
    </xf>
    <xf numFmtId="177" fontId="211" fillId="44" borderId="0" applyNumberFormat="0" applyFont="0" applyAlignment="0"/>
    <xf numFmtId="0" fontId="75" fillId="0" borderId="51" applyNumberFormat="0" applyFont="0" applyFill="0" applyAlignment="0">
      <alignment horizontal="center" vertical="center"/>
    </xf>
    <xf numFmtId="0" fontId="212" fillId="0" borderId="0" applyProtection="0">
      <alignment horizontal="right"/>
    </xf>
    <xf numFmtId="0" fontId="213" fillId="0" borderId="52" applyNumberFormat="0" applyAlignment="0" applyProtection="0">
      <alignment horizontal="left" vertical="center"/>
    </xf>
    <xf numFmtId="0" fontId="213" fillId="0" borderId="4">
      <alignment horizontal="left" vertical="center"/>
    </xf>
    <xf numFmtId="0" fontId="213" fillId="0" borderId="4">
      <alignment horizontal="left" vertical="center"/>
    </xf>
    <xf numFmtId="0" fontId="214" fillId="0" borderId="0" applyNumberFormat="0" applyBorder="0" applyProtection="0">
      <alignment horizontal="center"/>
    </xf>
    <xf numFmtId="0" fontId="215" fillId="0" borderId="53" applyNumberFormat="0" applyFill="0" applyAlignment="0" applyProtection="0"/>
    <xf numFmtId="0" fontId="215" fillId="0" borderId="53" applyNumberFormat="0" applyFill="0" applyAlignment="0" applyProtection="0"/>
    <xf numFmtId="0" fontId="215" fillId="0" borderId="53" applyNumberFormat="0" applyFill="0" applyAlignment="0" applyProtection="0"/>
    <xf numFmtId="0" fontId="215" fillId="0" borderId="53" applyNumberFormat="0" applyFill="0" applyAlignment="0" applyProtection="0"/>
    <xf numFmtId="0" fontId="215" fillId="0" borderId="53" applyNumberFormat="0" applyFill="0" applyAlignment="0" applyProtection="0"/>
    <xf numFmtId="0" fontId="215" fillId="0" borderId="53" applyNumberFormat="0" applyFill="0" applyAlignment="0" applyProtection="0"/>
    <xf numFmtId="0" fontId="215" fillId="0" borderId="53" applyNumberFormat="0" applyFill="0" applyAlignment="0" applyProtection="0"/>
    <xf numFmtId="0" fontId="215" fillId="0" borderId="53" applyNumberFormat="0" applyFill="0" applyAlignment="0" applyProtection="0"/>
    <xf numFmtId="0" fontId="215" fillId="0" borderId="53" applyNumberFormat="0" applyFill="0" applyAlignment="0" applyProtection="0"/>
    <xf numFmtId="0" fontId="215" fillId="0" borderId="53" applyNumberFormat="0" applyFill="0" applyAlignment="0" applyProtection="0"/>
    <xf numFmtId="0" fontId="215" fillId="0" borderId="53" applyNumberFormat="0" applyFill="0" applyAlignment="0" applyProtection="0"/>
    <xf numFmtId="0" fontId="215" fillId="0" borderId="53" applyNumberFormat="0" applyFill="0" applyAlignment="0" applyProtection="0"/>
    <xf numFmtId="0" fontId="216" fillId="20" borderId="0">
      <alignment vertical="center"/>
    </xf>
    <xf numFmtId="0" fontId="215" fillId="0" borderId="53" applyNumberFormat="0" applyFill="0" applyAlignment="0" applyProtection="0"/>
    <xf numFmtId="0" fontId="217" fillId="0" borderId="0" applyProtection="0">
      <alignment horizontal="left"/>
    </xf>
    <xf numFmtId="0" fontId="218" fillId="0" borderId="54" applyNumberFormat="0" applyFill="0" applyAlignment="0" applyProtection="0"/>
    <xf numFmtId="0" fontId="218" fillId="0" borderId="54" applyNumberFormat="0" applyFill="0" applyAlignment="0" applyProtection="0"/>
    <xf numFmtId="0" fontId="218" fillId="0" borderId="54" applyNumberFormat="0" applyFill="0" applyAlignment="0" applyProtection="0"/>
    <xf numFmtId="0" fontId="218" fillId="0" borderId="54" applyNumberFormat="0" applyFill="0" applyAlignment="0" applyProtection="0"/>
    <xf numFmtId="0" fontId="218" fillId="0" borderId="54" applyNumberFormat="0" applyFill="0" applyAlignment="0" applyProtection="0"/>
    <xf numFmtId="0" fontId="218" fillId="0" borderId="54" applyNumberFormat="0" applyFill="0" applyAlignment="0" applyProtection="0"/>
    <xf numFmtId="0" fontId="218" fillId="0" borderId="54" applyNumberFormat="0" applyFill="0" applyAlignment="0" applyProtection="0"/>
    <xf numFmtId="0" fontId="218" fillId="0" borderId="54" applyNumberFormat="0" applyFill="0" applyAlignment="0" applyProtection="0"/>
    <xf numFmtId="0" fontId="218" fillId="0" borderId="54" applyNumberFormat="0" applyFill="0" applyAlignment="0" applyProtection="0"/>
    <xf numFmtId="0" fontId="218" fillId="0" borderId="54" applyNumberFormat="0" applyFill="0" applyAlignment="0" applyProtection="0"/>
    <xf numFmtId="0" fontId="218" fillId="0" borderId="54" applyNumberFormat="0" applyFill="0" applyAlignment="0" applyProtection="0"/>
    <xf numFmtId="0" fontId="218" fillId="0" borderId="54" applyNumberFormat="0" applyFill="0" applyAlignment="0" applyProtection="0"/>
    <xf numFmtId="0" fontId="219" fillId="0" borderId="55" applyNumberFormat="0" applyFill="0" applyAlignment="0" applyProtection="0"/>
    <xf numFmtId="0" fontId="219" fillId="0" borderId="55" applyNumberFormat="0" applyFill="0" applyAlignment="0" applyProtection="0"/>
    <xf numFmtId="0" fontId="219" fillId="0" borderId="55" applyNumberFormat="0" applyFill="0" applyAlignment="0" applyProtection="0"/>
    <xf numFmtId="0" fontId="219" fillId="0" borderId="55" applyNumberFormat="0" applyFill="0" applyAlignment="0" applyProtection="0"/>
    <xf numFmtId="0" fontId="219" fillId="0" borderId="55" applyNumberFormat="0" applyFill="0" applyAlignment="0" applyProtection="0"/>
    <xf numFmtId="0" fontId="219" fillId="0" borderId="55" applyNumberFormat="0" applyFill="0" applyAlignment="0" applyProtection="0"/>
    <xf numFmtId="0" fontId="219" fillId="0" borderId="55" applyNumberFormat="0" applyFill="0" applyAlignment="0" applyProtection="0"/>
    <xf numFmtId="0" fontId="219" fillId="0" borderId="55" applyNumberFormat="0" applyFill="0" applyAlignment="0" applyProtection="0"/>
    <xf numFmtId="0" fontId="219" fillId="0" borderId="55" applyNumberFormat="0" applyFill="0" applyAlignment="0" applyProtection="0"/>
    <xf numFmtId="0" fontId="219" fillId="0" borderId="55" applyNumberFormat="0" applyFill="0" applyAlignment="0" applyProtection="0"/>
    <xf numFmtId="0" fontId="219" fillId="0" borderId="55" applyNumberFormat="0" applyFill="0" applyAlignment="0" applyProtection="0"/>
    <xf numFmtId="0" fontId="219" fillId="0" borderId="55" applyNumberFormat="0" applyFill="0" applyAlignment="0" applyProtection="0"/>
    <xf numFmtId="0" fontId="219" fillId="0" borderId="55" applyNumberFormat="0" applyFill="0" applyAlignment="0" applyProtection="0"/>
    <xf numFmtId="0" fontId="219" fillId="0" borderId="0" applyNumberFormat="0" applyFill="0" applyBorder="0" applyAlignment="0" applyProtection="0"/>
    <xf numFmtId="0" fontId="220" fillId="0" borderId="0">
      <alignment horizontal="center"/>
    </xf>
    <xf numFmtId="0" fontId="214" fillId="0" borderId="0" applyNumberFormat="0" applyBorder="0" applyProtection="0">
      <alignment horizontal="center" textRotation="90"/>
    </xf>
    <xf numFmtId="0" fontId="108" fillId="0" borderId="0"/>
    <xf numFmtId="0" fontId="108" fillId="0" borderId="0"/>
    <xf numFmtId="0" fontId="108" fillId="0" borderId="0"/>
    <xf numFmtId="0" fontId="108" fillId="0" borderId="0"/>
    <xf numFmtId="0" fontId="221" fillId="0" borderId="0"/>
    <xf numFmtId="0" fontId="105" fillId="0" borderId="0"/>
    <xf numFmtId="0" fontId="222" fillId="0" borderId="0"/>
    <xf numFmtId="0" fontId="104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223" fillId="0" borderId="56" applyNumberFormat="0" applyFill="0" applyBorder="0" applyAlignment="0" applyProtection="0">
      <alignment horizontal="left"/>
    </xf>
    <xf numFmtId="0" fontId="9" fillId="0" borderId="0"/>
    <xf numFmtId="0" fontId="9" fillId="0" borderId="0"/>
    <xf numFmtId="0" fontId="165" fillId="60" borderId="2">
      <alignment horizontal="center" vertical="center" wrapText="1"/>
      <protection locked="0"/>
    </xf>
    <xf numFmtId="0" fontId="165" fillId="60" borderId="2">
      <alignment horizontal="center" vertical="center" wrapText="1"/>
      <protection locked="0"/>
    </xf>
    <xf numFmtId="0" fontId="165" fillId="60" borderId="2">
      <alignment horizontal="center" vertical="center" wrapText="1"/>
      <protection locked="0"/>
    </xf>
    <xf numFmtId="183" fontId="224" fillId="12" borderId="0" applyNumberFormat="0" applyBorder="0" applyAlignment="0" applyProtection="0">
      <protection locked="0"/>
    </xf>
    <xf numFmtId="0" fontId="9" fillId="0" borderId="0">
      <alignment horizontal="center"/>
    </xf>
    <xf numFmtId="0" fontId="9" fillId="0" borderId="0">
      <alignment horizontal="center"/>
    </xf>
    <xf numFmtId="0" fontId="9" fillId="0" borderId="0">
      <alignment horizontal="center"/>
    </xf>
    <xf numFmtId="0" fontId="9" fillId="0" borderId="0">
      <alignment horizontal="center"/>
    </xf>
    <xf numFmtId="0" fontId="225" fillId="0" borderId="0"/>
    <xf numFmtId="0" fontId="226" fillId="0" borderId="0" applyFont="0" applyFill="0" applyBorder="0" applyAlignment="0" applyProtection="0"/>
    <xf numFmtId="0" fontId="72" fillId="0" borderId="0"/>
    <xf numFmtId="0" fontId="54" fillId="0" borderId="0"/>
    <xf numFmtId="2" fontId="227" fillId="0" borderId="0"/>
    <xf numFmtId="0" fontId="228" fillId="32" borderId="57" applyNumberFormat="0" applyAlignment="0" applyProtection="0"/>
    <xf numFmtId="10" fontId="15" fillId="45" borderId="58" applyNumberFormat="0" applyBorder="0" applyAlignment="0" applyProtection="0"/>
    <xf numFmtId="10" fontId="15" fillId="45" borderId="58" applyNumberFormat="0" applyBorder="0" applyAlignment="0" applyProtection="0"/>
    <xf numFmtId="10" fontId="15" fillId="45" borderId="58" applyNumberFormat="0" applyBorder="0" applyAlignment="0" applyProtection="0"/>
    <xf numFmtId="0" fontId="228" fillId="26" borderId="57" applyNumberFormat="0" applyAlignment="0" applyProtection="0"/>
    <xf numFmtId="0" fontId="228" fillId="26" borderId="57" applyNumberFormat="0" applyAlignment="0" applyProtection="0"/>
    <xf numFmtId="0" fontId="228" fillId="26" borderId="57" applyNumberFormat="0" applyAlignment="0" applyProtection="0"/>
    <xf numFmtId="0" fontId="228" fillId="26" borderId="57" applyNumberFormat="0" applyAlignment="0" applyProtection="0"/>
    <xf numFmtId="0" fontId="229" fillId="35" borderId="57" applyNumberFormat="0" applyAlignment="0" applyProtection="0"/>
    <xf numFmtId="0" fontId="228" fillId="26" borderId="57" applyNumberFormat="0" applyAlignment="0" applyProtection="0"/>
    <xf numFmtId="0" fontId="228" fillId="26" borderId="57" applyNumberFormat="0" applyAlignment="0" applyProtection="0"/>
    <xf numFmtId="0" fontId="228" fillId="26" borderId="57" applyNumberFormat="0" applyAlignment="0" applyProtection="0"/>
    <xf numFmtId="0" fontId="228" fillId="26" borderId="57" applyNumberFormat="0" applyAlignment="0" applyProtection="0"/>
    <xf numFmtId="0" fontId="228" fillId="26" borderId="57" applyNumberFormat="0" applyAlignment="0" applyProtection="0"/>
    <xf numFmtId="0" fontId="228" fillId="26" borderId="57" applyNumberFormat="0" applyAlignment="0" applyProtection="0"/>
    <xf numFmtId="0" fontId="228" fillId="26" borderId="57" applyNumberFormat="0" applyAlignment="0" applyProtection="0"/>
    <xf numFmtId="10" fontId="230" fillId="0" borderId="0">
      <protection locked="0"/>
    </xf>
    <xf numFmtId="281" fontId="231" fillId="0" borderId="0" applyFill="0" applyBorder="0" applyProtection="0"/>
    <xf numFmtId="282" fontId="231" fillId="0" borderId="0" applyFill="0" applyBorder="0" applyProtection="0"/>
    <xf numFmtId="197" fontId="231" fillId="0" borderId="0" applyFill="0" applyBorder="0" applyProtection="0"/>
    <xf numFmtId="0" fontId="228" fillId="26" borderId="57" applyNumberFormat="0" applyAlignment="0" applyProtection="0"/>
    <xf numFmtId="0" fontId="232" fillId="0" borderId="0" applyNumberFormat="0" applyFill="0" applyBorder="0" applyAlignment="0">
      <protection locked="0"/>
    </xf>
    <xf numFmtId="15" fontId="230" fillId="0" borderId="0">
      <protection locked="0"/>
    </xf>
    <xf numFmtId="2" fontId="230" fillId="0" borderId="22">
      <protection locked="0"/>
    </xf>
    <xf numFmtId="283" fontId="233" fillId="45" borderId="0" applyNumberFormat="0" applyFont="0" applyBorder="0" applyAlignment="0">
      <alignment horizontal="right"/>
      <protection locked="0"/>
    </xf>
    <xf numFmtId="0" fontId="230" fillId="0" borderId="0">
      <protection locked="0"/>
    </xf>
    <xf numFmtId="0" fontId="73" fillId="0" borderId="0"/>
    <xf numFmtId="284" fontId="234" fillId="0" borderId="59" applyFont="0" applyFill="0" applyBorder="0" applyAlignment="0" applyProtection="0"/>
    <xf numFmtId="0" fontId="235" fillId="0" borderId="0" applyNumberFormat="0" applyFill="0" applyBorder="0" applyAlignment="0" applyProtection="0">
      <alignment vertical="top"/>
      <protection locked="0"/>
    </xf>
    <xf numFmtId="0" fontId="113" fillId="0" borderId="0">
      <alignment vertical="center"/>
    </xf>
    <xf numFmtId="170" fontId="236" fillId="0" borderId="0" applyFill="0" applyBorder="0" applyProtection="0">
      <alignment vertical="top"/>
    </xf>
    <xf numFmtId="285" fontId="72" fillId="0" borderId="0" applyFill="0" applyBorder="0">
      <alignment horizontal="right"/>
      <protection locked="0"/>
    </xf>
    <xf numFmtId="0" fontId="237" fillId="61" borderId="46">
      <alignment horizontal="left" vertical="center" wrapText="1"/>
    </xf>
    <xf numFmtId="0" fontId="237" fillId="61" borderId="46">
      <alignment horizontal="left" vertical="center" wrapText="1"/>
    </xf>
    <xf numFmtId="3" fontId="238" fillId="62" borderId="46">
      <protection locked="0"/>
    </xf>
    <xf numFmtId="3" fontId="238" fillId="62" borderId="46">
      <protection locked="0"/>
    </xf>
    <xf numFmtId="167" fontId="239" fillId="63" borderId="46">
      <alignment horizontal="left"/>
      <protection locked="0"/>
    </xf>
    <xf numFmtId="167" fontId="239" fillId="63" borderId="46">
      <alignment horizontal="left"/>
      <protection locked="0"/>
    </xf>
    <xf numFmtId="286" fontId="239" fillId="63" borderId="46">
      <protection locked="0"/>
    </xf>
    <xf numFmtId="286" fontId="239" fillId="63" borderId="46">
      <protection locked="0"/>
    </xf>
    <xf numFmtId="0" fontId="239" fillId="63" borderId="46">
      <alignment horizontal="center"/>
      <protection locked="0"/>
    </xf>
    <xf numFmtId="0" fontId="239" fillId="63" borderId="46">
      <alignment horizontal="center"/>
      <protection locked="0"/>
    </xf>
    <xf numFmtId="219" fontId="9" fillId="64" borderId="2">
      <alignment vertical="center"/>
    </xf>
    <xf numFmtId="0" fontId="73" fillId="0" borderId="0"/>
    <xf numFmtId="0" fontId="189" fillId="0" borderId="0"/>
    <xf numFmtId="0" fontId="225" fillId="0" borderId="0"/>
    <xf numFmtId="259" fontId="9" fillId="0" borderId="31" applyFont="0" applyFill="0" applyBorder="0" applyAlignment="0" applyProtection="0"/>
    <xf numFmtId="0" fontId="225" fillId="0" borderId="0"/>
    <xf numFmtId="287" fontId="9" fillId="0" borderId="0" applyFont="0" applyFill="0" applyBorder="0" applyAlignment="0" applyProtection="0"/>
    <xf numFmtId="288" fontId="9" fillId="0" borderId="0" applyFont="0" applyFill="0" applyBorder="0" applyAlignment="0" applyProtection="0"/>
    <xf numFmtId="0" fontId="240" fillId="0" borderId="0" applyProtection="0">
      <alignment vertical="center"/>
      <protection locked="0"/>
    </xf>
    <xf numFmtId="0" fontId="240" fillId="0" borderId="0" applyNumberFormat="0" applyProtection="0">
      <alignment vertical="top"/>
      <protection locked="0"/>
    </xf>
    <xf numFmtId="0" fontId="241" fillId="0" borderId="60" applyAlignment="0"/>
    <xf numFmtId="38" fontId="242" fillId="0" borderId="0"/>
    <xf numFmtId="38" fontId="243" fillId="0" borderId="0"/>
    <xf numFmtId="38" fontId="173" fillId="0" borderId="0"/>
    <xf numFmtId="38" fontId="244" fillId="0" borderId="0"/>
    <xf numFmtId="0" fontId="245" fillId="0" borderId="0"/>
    <xf numFmtId="0" fontId="245" fillId="0" borderId="0"/>
    <xf numFmtId="0" fontId="176" fillId="0" borderId="0"/>
    <xf numFmtId="0" fontId="246" fillId="0" borderId="0"/>
    <xf numFmtId="0" fontId="247" fillId="0" borderId="0">
      <alignment horizontal="center"/>
    </xf>
    <xf numFmtId="0" fontId="248" fillId="0" borderId="0">
      <alignment horizontal="center" vertical="center" wrapText="1"/>
    </xf>
    <xf numFmtId="0" fontId="249" fillId="61" borderId="46"/>
    <xf numFmtId="0" fontId="249" fillId="61" borderId="46"/>
    <xf numFmtId="235" fontId="250" fillId="65" borderId="61" applyBorder="0" applyAlignment="0">
      <alignment horizontal="left" indent="1"/>
    </xf>
    <xf numFmtId="0" fontId="251" fillId="66" borderId="2">
      <alignment wrapText="1"/>
    </xf>
    <xf numFmtId="0" fontId="251" fillId="66" borderId="2">
      <alignment wrapText="1"/>
    </xf>
    <xf numFmtId="0" fontId="251" fillId="66" borderId="2">
      <alignment wrapText="1"/>
    </xf>
    <xf numFmtId="0" fontId="252" fillId="8" borderId="22"/>
    <xf numFmtId="236" fontId="22" fillId="0" borderId="0" applyFill="0" applyBorder="0" applyAlignment="0" applyProtection="0"/>
    <xf numFmtId="236" fontId="22" fillId="0" borderId="0" applyFill="0" applyBorder="0" applyAlignment="0" applyProtection="0"/>
    <xf numFmtId="236" fontId="22" fillId="0" borderId="0" applyFill="0" applyBorder="0" applyAlignment="0" applyProtection="0"/>
    <xf numFmtId="236" fontId="22" fillId="0" borderId="0" applyFill="0" applyBorder="0" applyAlignment="0" applyProtection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9" fontId="17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49" fontId="177" fillId="0" borderId="0" applyFill="0" applyAlignment="0"/>
    <xf numFmtId="0" fontId="253" fillId="0" borderId="62" applyNumberFormat="0" applyFill="0" applyAlignment="0" applyProtection="0"/>
    <xf numFmtId="0" fontId="253" fillId="0" borderId="62" applyNumberFormat="0" applyFill="0" applyAlignment="0" applyProtection="0"/>
    <xf numFmtId="0" fontId="253" fillId="0" borderId="62" applyNumberFormat="0" applyFill="0" applyAlignment="0" applyProtection="0"/>
    <xf numFmtId="0" fontId="253" fillId="0" borderId="62" applyNumberFormat="0" applyFill="0" applyAlignment="0" applyProtection="0"/>
    <xf numFmtId="0" fontId="253" fillId="0" borderId="62" applyNumberFormat="0" applyFill="0" applyAlignment="0" applyProtection="0"/>
    <xf numFmtId="0" fontId="253" fillId="0" borderId="62" applyNumberFormat="0" applyFill="0" applyAlignment="0" applyProtection="0"/>
    <xf numFmtId="0" fontId="253" fillId="0" borderId="62" applyNumberFormat="0" applyFill="0" applyAlignment="0" applyProtection="0"/>
    <xf numFmtId="0" fontId="253" fillId="0" borderId="62" applyNumberFormat="0" applyFill="0" applyAlignment="0" applyProtection="0"/>
    <xf numFmtId="0" fontId="253" fillId="0" borderId="62" applyNumberFormat="0" applyFill="0" applyAlignment="0" applyProtection="0"/>
    <xf numFmtId="0" fontId="253" fillId="0" borderId="62" applyNumberFormat="0" applyFill="0" applyAlignment="0" applyProtection="0"/>
    <xf numFmtId="0" fontId="253" fillId="0" borderId="62" applyNumberFormat="0" applyFill="0" applyAlignment="0" applyProtection="0"/>
    <xf numFmtId="0" fontId="253" fillId="0" borderId="62" applyNumberFormat="0" applyFill="0" applyAlignment="0" applyProtection="0"/>
    <xf numFmtId="0" fontId="253" fillId="0" borderId="62" applyNumberFormat="0" applyFill="0" applyAlignment="0" applyProtection="0"/>
    <xf numFmtId="1" fontId="80" fillId="67" borderId="0"/>
    <xf numFmtId="1" fontId="80" fillId="67" borderId="0"/>
    <xf numFmtId="1" fontId="80" fillId="67" borderId="0"/>
    <xf numFmtId="241" fontId="164" fillId="0" borderId="0"/>
    <xf numFmtId="0" fontId="40" fillId="0" borderId="0"/>
    <xf numFmtId="170" fontId="254" fillId="0" borderId="0"/>
    <xf numFmtId="0" fontId="9" fillId="0" borderId="0">
      <alignment horizontal="center"/>
    </xf>
    <xf numFmtId="0" fontId="9" fillId="0" borderId="0">
      <alignment horizontal="center"/>
    </xf>
    <xf numFmtId="0" fontId="9" fillId="0" borderId="0">
      <alignment horizontal="center"/>
    </xf>
    <xf numFmtId="0" fontId="9" fillId="0" borderId="0">
      <alignment horizontal="center"/>
    </xf>
    <xf numFmtId="289" fontId="12" fillId="0" borderId="0" applyFont="0" applyFill="0" applyAlignment="0" applyProtection="0"/>
    <xf numFmtId="290" fontId="12" fillId="0" borderId="0" applyFont="0" applyFill="0" applyAlignment="0" applyProtection="0"/>
    <xf numFmtId="291" fontId="9" fillId="0" borderId="0" applyFont="0" applyFill="0" applyBorder="0" applyAlignment="0" applyProtection="0"/>
    <xf numFmtId="43" fontId="54" fillId="0" borderId="0" applyFont="0" applyFill="0" applyBorder="0" applyAlignment="0" applyProtection="0"/>
    <xf numFmtId="292" fontId="227" fillId="0" borderId="0"/>
    <xf numFmtId="293" fontId="255" fillId="0" borderId="2">
      <alignment horizontal="right"/>
      <protection locked="0"/>
    </xf>
    <xf numFmtId="293" fontId="255" fillId="0" borderId="2">
      <alignment horizontal="right"/>
      <protection locked="0"/>
    </xf>
    <xf numFmtId="293" fontId="255" fillId="0" borderId="2">
      <alignment horizontal="right"/>
      <protection locked="0"/>
    </xf>
    <xf numFmtId="0" fontId="256" fillId="0" borderId="9"/>
    <xf numFmtId="294" fontId="12" fillId="0" borderId="0" applyFont="0" applyFill="0" applyAlignment="0" applyProtection="0"/>
    <xf numFmtId="231" fontId="12" fillId="0" borderId="0" applyFont="0" applyFill="0" applyAlignment="0" applyProtection="0"/>
    <xf numFmtId="295" fontId="9" fillId="0" borderId="0" applyFont="0" applyFill="0" applyBorder="0" applyAlignment="0" applyProtection="0"/>
    <xf numFmtId="296" fontId="9" fillId="0" borderId="0" applyFont="0" applyFill="0" applyBorder="0" applyAlignment="0" applyProtection="0"/>
    <xf numFmtId="17" fontId="202" fillId="0" borderId="0">
      <protection locked="0"/>
    </xf>
    <xf numFmtId="297" fontId="60" fillId="0" borderId="0" applyFont="0" applyFill="0" applyBorder="0" applyProtection="0"/>
    <xf numFmtId="298" fontId="33" fillId="0" borderId="0" applyFont="0" applyFill="0" applyBorder="0" applyAlignment="0" applyProtection="0"/>
    <xf numFmtId="299" fontId="33" fillId="0" borderId="0" applyFont="0" applyFill="0" applyBorder="0" applyAlignment="0" applyProtection="0"/>
    <xf numFmtId="300" fontId="187" fillId="0" borderId="0" applyFont="0" applyFill="0" applyBorder="0" applyProtection="0">
      <alignment horizontal="right"/>
    </xf>
    <xf numFmtId="301" fontId="187" fillId="0" borderId="0" applyFont="0" applyFill="0" applyBorder="0" applyProtection="0">
      <alignment horizontal="right"/>
    </xf>
    <xf numFmtId="302" fontId="164" fillId="0" borderId="0" applyFill="0" applyBorder="0" applyProtection="0">
      <alignment horizontal="right"/>
    </xf>
    <xf numFmtId="303" fontId="164" fillId="0" borderId="0" applyFill="0" applyBorder="0" applyProtection="0">
      <alignment horizontal="right"/>
    </xf>
    <xf numFmtId="304" fontId="36" fillId="0" borderId="0" applyFont="0" applyFill="0" applyBorder="0" applyAlignment="0" applyProtection="0"/>
    <xf numFmtId="305" fontId="95" fillId="0" borderId="0" applyFont="0" applyFill="0" applyBorder="0" applyAlignment="0" applyProtection="0"/>
    <xf numFmtId="170" fontId="257" fillId="0" borderId="0">
      <alignment vertical="center"/>
    </xf>
    <xf numFmtId="0" fontId="258" fillId="32" borderId="0" applyNumberFormat="0" applyBorder="0" applyAlignment="0" applyProtection="0"/>
    <xf numFmtId="0" fontId="258" fillId="26" borderId="0" applyNumberFormat="0" applyBorder="0" applyAlignment="0" applyProtection="0"/>
    <xf numFmtId="0" fontId="258" fillId="26" borderId="0" applyNumberFormat="0" applyBorder="0" applyAlignment="0" applyProtection="0"/>
    <xf numFmtId="0" fontId="258" fillId="26" borderId="0" applyNumberFormat="0" applyBorder="0" applyAlignment="0" applyProtection="0"/>
    <xf numFmtId="0" fontId="258" fillId="26" borderId="0" applyNumberFormat="0" applyBorder="0" applyAlignment="0" applyProtection="0"/>
    <xf numFmtId="0" fontId="258" fillId="26" borderId="0" applyNumberFormat="0" applyBorder="0" applyAlignment="0" applyProtection="0"/>
    <xf numFmtId="0" fontId="258" fillId="26" borderId="0" applyNumberFormat="0" applyBorder="0" applyAlignment="0" applyProtection="0"/>
    <xf numFmtId="0" fontId="258" fillId="26" borderId="0" applyNumberFormat="0" applyBorder="0" applyAlignment="0" applyProtection="0"/>
    <xf numFmtId="0" fontId="258" fillId="26" borderId="0" applyNumberFormat="0" applyBorder="0" applyAlignment="0" applyProtection="0"/>
    <xf numFmtId="0" fontId="258" fillId="26" borderId="0" applyNumberFormat="0" applyBorder="0" applyAlignment="0" applyProtection="0"/>
    <xf numFmtId="0" fontId="258" fillId="26" borderId="0" applyNumberFormat="0" applyBorder="0" applyAlignment="0" applyProtection="0"/>
    <xf numFmtId="0" fontId="258" fillId="26" borderId="0" applyNumberFormat="0" applyBorder="0" applyAlignment="0" applyProtection="0"/>
    <xf numFmtId="0" fontId="258" fillId="32" borderId="0" applyNumberFormat="0" applyBorder="0" applyAlignment="0" applyProtection="0"/>
    <xf numFmtId="37" fontId="259" fillId="0" borderId="0"/>
    <xf numFmtId="0" fontId="8" fillId="8" borderId="2" applyFont="0" applyBorder="0" applyAlignment="0">
      <alignment horizontal="center" vertical="center"/>
    </xf>
    <xf numFmtId="37" fontId="164" fillId="0" borderId="0">
      <alignment vertical="center"/>
    </xf>
    <xf numFmtId="0" fontId="72" fillId="0" borderId="31"/>
    <xf numFmtId="166" fontId="260" fillId="0" borderId="0">
      <alignment vertical="center"/>
    </xf>
    <xf numFmtId="0" fontId="9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3" fontId="194" fillId="0" borderId="0" applyNumberFormat="0" applyFill="0" applyBorder="0" applyAlignment="0" applyProtection="0"/>
    <xf numFmtId="0" fontId="261" fillId="0" borderId="0">
      <alignment horizontal="right"/>
    </xf>
    <xf numFmtId="0" fontId="262" fillId="0" borderId="0"/>
    <xf numFmtId="0" fontId="145" fillId="0" borderId="0"/>
    <xf numFmtId="1" fontId="54" fillId="0" borderId="0"/>
    <xf numFmtId="0" fontId="263" fillId="0" borderId="0"/>
    <xf numFmtId="0" fontId="264" fillId="0" borderId="0"/>
    <xf numFmtId="0" fontId="265" fillId="0" borderId="0"/>
    <xf numFmtId="0" fontId="12" fillId="0" borderId="0"/>
    <xf numFmtId="0" fontId="95" fillId="0" borderId="0"/>
    <xf numFmtId="0" fontId="9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128" fillId="26" borderId="63" applyNumberFormat="0" applyFont="0" applyAlignment="0" applyProtection="0"/>
    <xf numFmtId="0" fontId="9" fillId="26" borderId="63" applyNumberFormat="0" applyFont="0" applyAlignment="0" applyProtection="0"/>
    <xf numFmtId="306" fontId="164" fillId="0" borderId="0" applyBorder="0" applyProtection="0">
      <alignment horizontal="right"/>
    </xf>
    <xf numFmtId="306" fontId="231" fillId="68" borderId="0" applyBorder="0" applyProtection="0">
      <alignment horizontal="right"/>
    </xf>
    <xf numFmtId="306" fontId="161" fillId="0" borderId="64" applyBorder="0"/>
    <xf numFmtId="306" fontId="161" fillId="0" borderId="64" applyBorder="0"/>
    <xf numFmtId="306" fontId="266" fillId="0" borderId="0" applyBorder="0" applyProtection="0">
      <alignment horizontal="right"/>
    </xf>
    <xf numFmtId="307" fontId="266" fillId="0" borderId="0" applyBorder="0" applyProtection="0">
      <alignment horizontal="right"/>
    </xf>
    <xf numFmtId="307" fontId="267" fillId="68" borderId="0" applyProtection="0">
      <alignment horizontal="right"/>
    </xf>
    <xf numFmtId="37" fontId="257" fillId="0" borderId="0" applyFill="0" applyBorder="0" applyProtection="0">
      <alignment horizontal="right"/>
    </xf>
    <xf numFmtId="308" fontId="24" fillId="0" borderId="0" applyFont="0" applyFill="0" applyBorder="0" applyProtection="0">
      <alignment horizontal="right"/>
    </xf>
    <xf numFmtId="309" fontId="268" fillId="0" borderId="2" applyBorder="0">
      <alignment horizontal="center"/>
    </xf>
    <xf numFmtId="309" fontId="268" fillId="0" borderId="2" applyBorder="0">
      <alignment horizontal="center"/>
    </xf>
    <xf numFmtId="309" fontId="268" fillId="0" borderId="2" applyBorder="0">
      <alignment horizontal="center"/>
    </xf>
    <xf numFmtId="310" fontId="269" fillId="0" borderId="2" applyBorder="0">
      <alignment horizontal="center"/>
    </xf>
    <xf numFmtId="310" fontId="269" fillId="0" borderId="2" applyBorder="0">
      <alignment horizontal="center"/>
    </xf>
    <xf numFmtId="310" fontId="269" fillId="0" borderId="2" applyBorder="0">
      <alignment horizontal="center"/>
    </xf>
    <xf numFmtId="281" fontId="164" fillId="0" borderId="0" applyFill="0" applyBorder="0" applyProtection="0"/>
    <xf numFmtId="282" fontId="164" fillId="0" borderId="0" applyFill="0" applyBorder="0" applyProtection="0"/>
    <xf numFmtId="197" fontId="164" fillId="0" borderId="0" applyFill="0" applyBorder="0" applyProtection="0"/>
    <xf numFmtId="9" fontId="270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292" fontId="9" fillId="0" borderId="0" applyFont="0" applyFill="0" applyBorder="0" applyAlignment="0" applyProtection="0"/>
    <xf numFmtId="294" fontId="9" fillId="0" borderId="0" applyFont="0" applyFill="0" applyBorder="0" applyAlignment="0" applyProtection="0"/>
    <xf numFmtId="0" fontId="21" fillId="0" borderId="0"/>
    <xf numFmtId="0" fontId="75" fillId="16" borderId="0" applyNumberFormat="0" applyFont="0" applyBorder="0" applyAlignment="0"/>
    <xf numFmtId="0" fontId="75" fillId="68" borderId="0" applyNumberFormat="0" applyFont="0" applyBorder="0" applyAlignment="0"/>
    <xf numFmtId="0" fontId="9" fillId="0" borderId="0"/>
    <xf numFmtId="0" fontId="9" fillId="0" borderId="0"/>
    <xf numFmtId="0" fontId="9" fillId="0" borderId="0"/>
    <xf numFmtId="0" fontId="9" fillId="0" borderId="0"/>
    <xf numFmtId="0" fontId="98" fillId="0" borderId="0"/>
    <xf numFmtId="311" fontId="180" fillId="0" borderId="2">
      <alignment horizontal="right" vertical="center" wrapText="1"/>
    </xf>
    <xf numFmtId="311" fontId="180" fillId="0" borderId="2">
      <alignment horizontal="right" vertical="center" wrapText="1"/>
    </xf>
    <xf numFmtId="311" fontId="180" fillId="0" borderId="2">
      <alignment horizontal="right" vertical="center" wrapText="1"/>
    </xf>
    <xf numFmtId="292" fontId="9" fillId="0" borderId="0" applyFont="0" applyFill="0" applyBorder="0" applyAlignment="0" applyProtection="0"/>
    <xf numFmtId="294" fontId="9" fillId="0" borderId="0" applyFont="0" applyFill="0" applyBorder="0" applyAlignment="0" applyProtection="0"/>
    <xf numFmtId="0" fontId="271" fillId="0" borderId="0">
      <alignment horizontal="left"/>
    </xf>
    <xf numFmtId="0" fontId="272" fillId="53" borderId="65" applyNumberFormat="0" applyAlignment="0" applyProtection="0"/>
    <xf numFmtId="0" fontId="272" fillId="53" borderId="65" applyNumberFormat="0" applyAlignment="0" applyProtection="0"/>
    <xf numFmtId="0" fontId="272" fillId="53" borderId="65" applyNumberFormat="0" applyAlignment="0" applyProtection="0"/>
    <xf numFmtId="0" fontId="272" fillId="53" borderId="65" applyNumberFormat="0" applyAlignment="0" applyProtection="0"/>
    <xf numFmtId="0" fontId="272" fillId="53" borderId="65" applyNumberFormat="0" applyAlignment="0" applyProtection="0"/>
    <xf numFmtId="0" fontId="273" fillId="28" borderId="65" applyNumberFormat="0" applyAlignment="0" applyProtection="0"/>
    <xf numFmtId="0" fontId="272" fillId="53" borderId="65" applyNumberFormat="0" applyAlignment="0" applyProtection="0"/>
    <xf numFmtId="0" fontId="272" fillId="53" borderId="65" applyNumberFormat="0" applyAlignment="0" applyProtection="0"/>
    <xf numFmtId="0" fontId="272" fillId="53" borderId="65" applyNumberFormat="0" applyAlignment="0" applyProtection="0"/>
    <xf numFmtId="0" fontId="272" fillId="53" borderId="65" applyNumberFormat="0" applyAlignment="0" applyProtection="0"/>
    <xf numFmtId="0" fontId="272" fillId="53" borderId="65" applyNumberFormat="0" applyAlignment="0" applyProtection="0"/>
    <xf numFmtId="0" fontId="272" fillId="53" borderId="65" applyNumberFormat="0" applyAlignment="0" applyProtection="0"/>
    <xf numFmtId="0" fontId="272" fillId="53" borderId="65" applyNumberFormat="0" applyAlignment="0" applyProtection="0"/>
    <xf numFmtId="40" fontId="197" fillId="69" borderId="0">
      <alignment horizontal="right"/>
    </xf>
    <xf numFmtId="0" fontId="274" fillId="61" borderId="0">
      <alignment horizontal="center"/>
    </xf>
    <xf numFmtId="0" fontId="275" fillId="70" borderId="0"/>
    <xf numFmtId="0" fontId="276" fillId="69" borderId="0" applyBorder="0">
      <alignment horizontal="centerContinuous"/>
    </xf>
    <xf numFmtId="0" fontId="277" fillId="70" borderId="0" applyBorder="0">
      <alignment horizontal="centerContinuous"/>
    </xf>
    <xf numFmtId="0" fontId="272" fillId="53" borderId="65" applyNumberFormat="0" applyAlignment="0" applyProtection="0"/>
    <xf numFmtId="0" fontId="213" fillId="0" borderId="0" applyNumberFormat="0" applyFill="0" applyBorder="0" applyAlignment="0" applyProtection="0"/>
    <xf numFmtId="0" fontId="22" fillId="71" borderId="0" applyFill="0" applyBorder="0" applyProtection="0">
      <alignment horizontal="center"/>
    </xf>
    <xf numFmtId="0" fontId="278" fillId="0" borderId="0"/>
    <xf numFmtId="1" fontId="279" fillId="0" borderId="0" applyProtection="0">
      <alignment horizontal="right" vertical="center"/>
    </xf>
    <xf numFmtId="0" fontId="124" fillId="8" borderId="0">
      <alignment vertical="center"/>
    </xf>
    <xf numFmtId="0" fontId="280" fillId="0" borderId="0">
      <alignment horizontal="center"/>
    </xf>
    <xf numFmtId="49" fontId="281" fillId="0" borderId="7" applyFill="0" applyProtection="0">
      <alignment vertical="center"/>
    </xf>
    <xf numFmtId="170" fontId="9" fillId="0" borderId="0" applyFill="0" applyBorder="0" applyProtection="0">
      <alignment vertical="top"/>
    </xf>
    <xf numFmtId="312" fontId="9" fillId="0" borderId="0" applyFont="0" applyFill="0" applyBorder="0" applyAlignment="0" applyProtection="0"/>
    <xf numFmtId="313" fontId="9" fillId="0" borderId="0" applyFont="0" applyFill="0" applyBorder="0" applyAlignment="0" applyProtection="0"/>
    <xf numFmtId="177" fontId="257" fillId="0" borderId="0"/>
    <xf numFmtId="0" fontId="40" fillId="0" borderId="0"/>
    <xf numFmtId="9" fontId="31" fillId="0" borderId="0" applyFont="0" applyFill="0" applyBorder="0" applyAlignment="0" applyProtection="0"/>
    <xf numFmtId="232" fontId="12" fillId="0" borderId="0" applyFont="0" applyFill="0" applyAlignment="0" applyProtection="0"/>
    <xf numFmtId="170" fontId="31" fillId="0" borderId="0" applyFont="0" applyFill="0" applyBorder="0" applyAlignment="0" applyProtection="0"/>
    <xf numFmtId="10" fontId="9" fillId="0" borderId="0" applyFont="0" applyFill="0" applyBorder="0" applyAlignment="0" applyProtection="0"/>
    <xf numFmtId="314" fontId="187" fillId="0" borderId="0" applyFont="0" applyFill="0" applyBorder="0" applyProtection="0">
      <alignment horizontal="right"/>
    </xf>
    <xf numFmtId="315" fontId="164" fillId="0" borderId="0" applyBorder="0" applyProtection="0">
      <alignment horizontal="right"/>
    </xf>
    <xf numFmtId="315" fontId="231" fillId="68" borderId="0" applyProtection="0">
      <alignment horizontal="right"/>
    </xf>
    <xf numFmtId="315" fontId="266" fillId="0" borderId="0" applyFont="0" applyBorder="0" applyProtection="0">
      <alignment horizontal="right"/>
    </xf>
    <xf numFmtId="9" fontId="12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2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316" fontId="26" fillId="0" borderId="0" applyFont="0" applyFill="0" applyBorder="0" applyProtection="0">
      <alignment horizontal="right"/>
    </xf>
    <xf numFmtId="317" fontId="180" fillId="0" borderId="0" applyFont="0" applyFill="0" applyBorder="0" applyProtection="0">
      <alignment horizontal="right"/>
    </xf>
    <xf numFmtId="318" fontId="210" fillId="0" borderId="0" applyBorder="0"/>
    <xf numFmtId="17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319" fontId="164" fillId="0" borderId="0" applyFill="0" applyBorder="0" applyProtection="0"/>
    <xf numFmtId="318" fontId="164" fillId="0" borderId="0" applyFill="0" applyBorder="0" applyProtection="0"/>
    <xf numFmtId="320" fontId="164" fillId="0" borderId="0" applyFill="0" applyBorder="0" applyProtection="0"/>
    <xf numFmtId="321" fontId="164" fillId="0" borderId="0" applyFill="0" applyBorder="0" applyProtection="0"/>
    <xf numFmtId="322" fontId="282" fillId="0" borderId="0">
      <alignment horizontal="right"/>
    </xf>
    <xf numFmtId="0" fontId="72" fillId="0" borderId="0" applyFill="0" applyBorder="0">
      <alignment horizontal="right"/>
      <protection locked="0"/>
    </xf>
    <xf numFmtId="39" fontId="164" fillId="0" borderId="0">
      <alignment vertical="center"/>
    </xf>
    <xf numFmtId="0" fontId="26" fillId="0" borderId="0">
      <protection locked="0"/>
    </xf>
    <xf numFmtId="0" fontId="26" fillId="0" borderId="0">
      <protection locked="0"/>
    </xf>
    <xf numFmtId="177" fontId="164" fillId="0" borderId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9" fontId="17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48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59" fontId="27" fillId="0" borderId="0" applyFill="0" applyAlignment="0"/>
    <xf numFmtId="249" fontId="177" fillId="0" borderId="0" applyFill="0" applyAlignment="0"/>
    <xf numFmtId="0" fontId="9" fillId="0" borderId="0"/>
    <xf numFmtId="0" fontId="9" fillId="0" borderId="0"/>
    <xf numFmtId="0" fontId="9" fillId="0" borderId="0"/>
    <xf numFmtId="0" fontId="9" fillId="0" borderId="0"/>
    <xf numFmtId="323" fontId="283" fillId="0" borderId="0">
      <alignment horizontal="right"/>
    </xf>
    <xf numFmtId="0" fontId="275" fillId="13" borderId="0" applyNumberFormat="0" applyBorder="0" applyAlignment="0" applyProtection="0"/>
    <xf numFmtId="324" fontId="284" fillId="0" borderId="66" applyBorder="0">
      <alignment horizontal="right"/>
      <protection locked="0"/>
    </xf>
    <xf numFmtId="324" fontId="284" fillId="0" borderId="66" applyBorder="0">
      <alignment horizontal="right"/>
      <protection locked="0"/>
    </xf>
    <xf numFmtId="169" fontId="11" fillId="0" borderId="0"/>
    <xf numFmtId="169" fontId="11" fillId="0" borderId="0"/>
    <xf numFmtId="169" fontId="11" fillId="0" borderId="0"/>
    <xf numFmtId="169" fontId="11" fillId="0" borderId="0"/>
    <xf numFmtId="0" fontId="251" fillId="0" borderId="2"/>
    <xf numFmtId="0" fontId="251" fillId="0" borderId="2"/>
    <xf numFmtId="0" fontId="251" fillId="0" borderId="2"/>
    <xf numFmtId="9" fontId="27" fillId="0" borderId="0" applyFont="0" applyFill="0" applyBorder="0" applyAlignment="0" applyProtection="0"/>
    <xf numFmtId="0" fontId="285" fillId="0" borderId="0">
      <alignment horizontal="left"/>
    </xf>
    <xf numFmtId="0" fontId="285" fillId="0" borderId="0">
      <alignment horizontal="right"/>
    </xf>
    <xf numFmtId="0" fontId="278" fillId="0" borderId="0"/>
    <xf numFmtId="219" fontId="98" fillId="64" borderId="2">
      <alignment horizontal="center" vertical="center" wrapText="1"/>
      <protection locked="0"/>
    </xf>
    <xf numFmtId="219" fontId="98" fillId="64" borderId="2">
      <alignment horizontal="center" vertical="center" wrapText="1"/>
      <protection locked="0"/>
    </xf>
    <xf numFmtId="219" fontId="98" fillId="64" borderId="2">
      <alignment horizontal="center" vertical="center" wrapText="1"/>
      <protection locked="0"/>
    </xf>
    <xf numFmtId="219" fontId="98" fillId="64" borderId="2">
      <alignment horizontal="center" vertical="center" wrapText="1"/>
      <protection locked="0"/>
    </xf>
    <xf numFmtId="219" fontId="98" fillId="64" borderId="2">
      <alignment horizontal="center" vertical="center" wrapText="1"/>
      <protection locked="0"/>
    </xf>
    <xf numFmtId="219" fontId="98" fillId="64" borderId="2">
      <alignment horizontal="center" vertical="center" wrapText="1"/>
      <protection locked="0"/>
    </xf>
    <xf numFmtId="219" fontId="98" fillId="64" borderId="2">
      <alignment horizontal="center" vertical="center" wrapText="1"/>
      <protection locked="0"/>
    </xf>
    <xf numFmtId="219" fontId="98" fillId="64" borderId="2">
      <alignment horizontal="center" vertical="center" wrapText="1"/>
      <protection locked="0"/>
    </xf>
    <xf numFmtId="219" fontId="98" fillId="64" borderId="2">
      <alignment horizontal="center" vertical="center" wrapText="1"/>
      <protection locked="0"/>
    </xf>
    <xf numFmtId="219" fontId="98" fillId="64" borderId="2">
      <alignment horizontal="center" vertical="center" wrapText="1"/>
      <protection locked="0"/>
    </xf>
    <xf numFmtId="219" fontId="98" fillId="64" borderId="2">
      <alignment horizontal="center" vertical="center" wrapText="1"/>
      <protection locked="0"/>
    </xf>
    <xf numFmtId="219" fontId="98" fillId="64" borderId="2">
      <alignment horizontal="center" vertical="center" wrapText="1"/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298" fontId="286" fillId="0" borderId="0"/>
    <xf numFmtId="325" fontId="72" fillId="0" borderId="0" applyFill="0" applyBorder="0">
      <alignment horizontal="right"/>
      <protection locked="0"/>
    </xf>
    <xf numFmtId="326" fontId="26" fillId="0" borderId="0" applyFont="0" applyFill="0" applyBorder="0" applyProtection="0">
      <alignment horizontal="right"/>
    </xf>
    <xf numFmtId="327" fontId="9" fillId="0" borderId="0" applyFont="0" applyFill="0" applyBorder="0" applyProtection="0">
      <alignment horizontal="right"/>
    </xf>
    <xf numFmtId="328" fontId="72" fillId="0" borderId="0">
      <alignment horizontal="right"/>
      <protection locked="0"/>
    </xf>
    <xf numFmtId="0" fontId="287" fillId="0" borderId="0" applyNumberFormat="0" applyFill="0" applyBorder="0" applyAlignment="0" applyProtection="0">
      <alignment horizontal="left"/>
      <protection locked="0"/>
    </xf>
    <xf numFmtId="183" fontId="288" fillId="0" borderId="0" applyNumberFormat="0" applyFill="0" applyBorder="0" applyAlignment="0" applyProtection="0">
      <alignment horizontal="left"/>
    </xf>
    <xf numFmtId="0" fontId="289" fillId="0" borderId="0" applyProtection="0"/>
    <xf numFmtId="0" fontId="193" fillId="0" borderId="0"/>
    <xf numFmtId="0" fontId="290" fillId="0" borderId="0" applyNumberFormat="0" applyBorder="0" applyProtection="0"/>
    <xf numFmtId="329" fontId="290" fillId="0" borderId="0" applyBorder="0" applyProtection="0"/>
    <xf numFmtId="0" fontId="197" fillId="69" borderId="0">
      <alignment horizontal="left" vertical="top"/>
    </xf>
    <xf numFmtId="0" fontId="197" fillId="69" borderId="0">
      <alignment horizontal="right" vertical="top"/>
    </xf>
    <xf numFmtId="0" fontId="291" fillId="0" borderId="67">
      <alignment vertical="center"/>
    </xf>
    <xf numFmtId="4" fontId="167" fillId="10" borderId="68" applyNumberFormat="0" applyProtection="0">
      <alignment vertical="center"/>
    </xf>
    <xf numFmtId="4" fontId="167" fillId="10" borderId="68" applyNumberFormat="0" applyProtection="0">
      <alignment vertical="center"/>
    </xf>
    <xf numFmtId="4" fontId="292" fillId="9" borderId="68" applyNumberFormat="0" applyProtection="0">
      <alignment vertical="center"/>
    </xf>
    <xf numFmtId="4" fontId="292" fillId="9" borderId="68" applyNumberFormat="0" applyProtection="0">
      <alignment vertical="center"/>
    </xf>
    <xf numFmtId="4" fontId="167" fillId="9" borderId="68" applyNumberFormat="0" applyProtection="0">
      <alignment horizontal="left" vertical="center" indent="1"/>
    </xf>
    <xf numFmtId="4" fontId="167" fillId="9" borderId="68" applyNumberFormat="0" applyProtection="0">
      <alignment horizontal="left" vertical="center" indent="1"/>
    </xf>
    <xf numFmtId="0" fontId="167" fillId="9" borderId="68" applyNumberFormat="0" applyProtection="0">
      <alignment horizontal="left" vertical="top" indent="1"/>
    </xf>
    <xf numFmtId="0" fontId="167" fillId="9" borderId="68" applyNumberFormat="0" applyProtection="0">
      <alignment horizontal="left" vertical="top" indent="1"/>
    </xf>
    <xf numFmtId="4" fontId="167" fillId="68" borderId="0" applyNumberFormat="0" applyProtection="0">
      <alignment horizontal="left" vertical="center" indent="1"/>
    </xf>
    <xf numFmtId="4" fontId="197" fillId="27" borderId="68" applyNumberFormat="0" applyProtection="0">
      <alignment horizontal="right" vertical="center"/>
    </xf>
    <xf numFmtId="4" fontId="197" fillId="27" borderId="68" applyNumberFormat="0" applyProtection="0">
      <alignment horizontal="right" vertical="center"/>
    </xf>
    <xf numFmtId="4" fontId="197" fillId="35" borderId="68" applyNumberFormat="0" applyProtection="0">
      <alignment horizontal="right" vertical="center"/>
    </xf>
    <xf numFmtId="4" fontId="197" fillId="35" borderId="68" applyNumberFormat="0" applyProtection="0">
      <alignment horizontal="right" vertical="center"/>
    </xf>
    <xf numFmtId="4" fontId="197" fillId="72" borderId="68" applyNumberFormat="0" applyProtection="0">
      <alignment horizontal="right" vertical="center"/>
    </xf>
    <xf numFmtId="4" fontId="197" fillId="72" borderId="68" applyNumberFormat="0" applyProtection="0">
      <alignment horizontal="right" vertical="center"/>
    </xf>
    <xf numFmtId="4" fontId="197" fillId="36" borderId="68" applyNumberFormat="0" applyProtection="0">
      <alignment horizontal="right" vertical="center"/>
    </xf>
    <xf numFmtId="4" fontId="197" fillId="36" borderId="68" applyNumberFormat="0" applyProtection="0">
      <alignment horizontal="right" vertical="center"/>
    </xf>
    <xf numFmtId="4" fontId="197" fillId="25" borderId="68" applyNumberFormat="0" applyProtection="0">
      <alignment horizontal="right" vertical="center"/>
    </xf>
    <xf numFmtId="4" fontId="197" fillId="25" borderId="68" applyNumberFormat="0" applyProtection="0">
      <alignment horizontal="right" vertical="center"/>
    </xf>
    <xf numFmtId="4" fontId="197" fillId="73" borderId="68" applyNumberFormat="0" applyProtection="0">
      <alignment horizontal="right" vertical="center"/>
    </xf>
    <xf numFmtId="4" fontId="197" fillId="73" borderId="68" applyNumberFormat="0" applyProtection="0">
      <alignment horizontal="right" vertical="center"/>
    </xf>
    <xf numFmtId="4" fontId="197" fillId="49" borderId="68" applyNumberFormat="0" applyProtection="0">
      <alignment horizontal="right" vertical="center"/>
    </xf>
    <xf numFmtId="4" fontId="197" fillId="49" borderId="68" applyNumberFormat="0" applyProtection="0">
      <alignment horizontal="right" vertical="center"/>
    </xf>
    <xf numFmtId="4" fontId="197" fillId="74" borderId="68" applyNumberFormat="0" applyProtection="0">
      <alignment horizontal="right" vertical="center"/>
    </xf>
    <xf numFmtId="4" fontId="197" fillId="74" borderId="68" applyNumberFormat="0" applyProtection="0">
      <alignment horizontal="right" vertical="center"/>
    </xf>
    <xf numFmtId="4" fontId="197" fillId="34" borderId="68" applyNumberFormat="0" applyProtection="0">
      <alignment horizontal="right" vertical="center"/>
    </xf>
    <xf numFmtId="4" fontId="197" fillId="34" borderId="68" applyNumberFormat="0" applyProtection="0">
      <alignment horizontal="right" vertical="center"/>
    </xf>
    <xf numFmtId="4" fontId="167" fillId="75" borderId="69" applyNumberFormat="0" applyProtection="0">
      <alignment horizontal="left" vertical="center" indent="1"/>
    </xf>
    <xf numFmtId="4" fontId="197" fillId="66" borderId="0" applyNumberFormat="0" applyProtection="0">
      <alignment horizontal="left" vertical="center" indent="1"/>
    </xf>
    <xf numFmtId="4" fontId="293" fillId="15" borderId="0" applyNumberFormat="0" applyProtection="0">
      <alignment horizontal="left" vertical="center" indent="1"/>
    </xf>
    <xf numFmtId="4" fontId="197" fillId="33" borderId="68" applyNumberFormat="0" applyProtection="0">
      <alignment horizontal="right" vertical="center"/>
    </xf>
    <xf numFmtId="4" fontId="197" fillId="33" borderId="68" applyNumberFormat="0" applyProtection="0">
      <alignment horizontal="right" vertical="center"/>
    </xf>
    <xf numFmtId="4" fontId="11" fillId="66" borderId="0" applyNumberFormat="0" applyProtection="0">
      <alignment horizontal="left" vertical="center" indent="1"/>
    </xf>
    <xf numFmtId="4" fontId="11" fillId="66" borderId="0" applyNumberFormat="0" applyProtection="0">
      <alignment horizontal="left" vertical="center" indent="1"/>
    </xf>
    <xf numFmtId="4" fontId="11" fillId="66" borderId="0" applyNumberFormat="0" applyProtection="0">
      <alignment horizontal="left" vertical="center" indent="1"/>
    </xf>
    <xf numFmtId="4" fontId="11" fillId="66" borderId="0" applyNumberFormat="0" applyProtection="0">
      <alignment horizontal="left" vertical="center" indent="1"/>
    </xf>
    <xf numFmtId="4" fontId="11" fillId="68" borderId="0" applyNumberFormat="0" applyProtection="0">
      <alignment horizontal="left" vertical="center" indent="1"/>
    </xf>
    <xf numFmtId="4" fontId="11" fillId="68" borderId="0" applyNumberFormat="0" applyProtection="0">
      <alignment horizontal="left" vertical="center" indent="1"/>
    </xf>
    <xf numFmtId="4" fontId="11" fillId="68" borderId="0" applyNumberFormat="0" applyProtection="0">
      <alignment horizontal="left" vertical="center" indent="1"/>
    </xf>
    <xf numFmtId="4" fontId="11" fillId="68" borderId="0" applyNumberFormat="0" applyProtection="0">
      <alignment horizontal="left" vertical="center" indent="1"/>
    </xf>
    <xf numFmtId="0" fontId="9" fillId="15" borderId="68" applyNumberFormat="0" applyProtection="0">
      <alignment horizontal="left" vertical="center" indent="1"/>
    </xf>
    <xf numFmtId="0" fontId="9" fillId="15" borderId="68" applyNumberFormat="0" applyProtection="0">
      <alignment horizontal="left" vertical="center" indent="1"/>
    </xf>
    <xf numFmtId="0" fontId="9" fillId="15" borderId="68" applyNumberFormat="0" applyProtection="0">
      <alignment horizontal="left" vertical="top" indent="1"/>
    </xf>
    <xf numFmtId="0" fontId="9" fillId="15" borderId="68" applyNumberFormat="0" applyProtection="0">
      <alignment horizontal="left" vertical="top" indent="1"/>
    </xf>
    <xf numFmtId="0" fontId="9" fillId="68" borderId="68" applyNumberFormat="0" applyProtection="0">
      <alignment horizontal="left" vertical="center" indent="1"/>
    </xf>
    <xf numFmtId="0" fontId="9" fillId="68" borderId="68" applyNumberFormat="0" applyProtection="0">
      <alignment horizontal="left" vertical="center" indent="1"/>
    </xf>
    <xf numFmtId="0" fontId="9" fillId="68" borderId="68" applyNumberFormat="0" applyProtection="0">
      <alignment horizontal="left" vertical="top" indent="1"/>
    </xf>
    <xf numFmtId="0" fontId="9" fillId="68" borderId="68" applyNumberFormat="0" applyProtection="0">
      <alignment horizontal="left" vertical="top" indent="1"/>
    </xf>
    <xf numFmtId="0" fontId="9" fillId="76" borderId="68" applyNumberFormat="0" applyProtection="0">
      <alignment horizontal="left" vertical="center" indent="1"/>
    </xf>
    <xf numFmtId="0" fontId="9" fillId="76" borderId="68" applyNumberFormat="0" applyProtection="0">
      <alignment horizontal="left" vertical="center" indent="1"/>
    </xf>
    <xf numFmtId="0" fontId="9" fillId="76" borderId="68" applyNumberFormat="0" applyProtection="0">
      <alignment horizontal="left" vertical="top" indent="1"/>
    </xf>
    <xf numFmtId="0" fontId="9" fillId="76" borderId="68" applyNumberFormat="0" applyProtection="0">
      <alignment horizontal="left" vertical="top" indent="1"/>
    </xf>
    <xf numFmtId="0" fontId="9" fillId="16" borderId="68" applyNumberFormat="0" applyProtection="0">
      <alignment horizontal="left" vertical="center" indent="1"/>
    </xf>
    <xf numFmtId="0" fontId="9" fillId="16" borderId="68" applyNumberFormat="0" applyProtection="0">
      <alignment horizontal="left" vertical="center" indent="1"/>
    </xf>
    <xf numFmtId="0" fontId="9" fillId="16" borderId="68" applyNumberFormat="0" applyProtection="0">
      <alignment horizontal="left" vertical="top" indent="1"/>
    </xf>
    <xf numFmtId="0" fontId="9" fillId="16" borderId="68" applyNumberFormat="0" applyProtection="0">
      <alignment horizontal="left" vertical="top" indent="1"/>
    </xf>
    <xf numFmtId="4" fontId="197" fillId="45" borderId="68" applyNumberFormat="0" applyProtection="0">
      <alignment vertical="center"/>
    </xf>
    <xf numFmtId="4" fontId="197" fillId="45" borderId="68" applyNumberFormat="0" applyProtection="0">
      <alignment vertical="center"/>
    </xf>
    <xf numFmtId="4" fontId="294" fillId="45" borderId="68" applyNumberFormat="0" applyProtection="0">
      <alignment vertical="center"/>
    </xf>
    <xf numFmtId="4" fontId="294" fillId="45" borderId="68" applyNumberFormat="0" applyProtection="0">
      <alignment vertical="center"/>
    </xf>
    <xf numFmtId="4" fontId="197" fillId="45" borderId="68" applyNumberFormat="0" applyProtection="0">
      <alignment horizontal="left" vertical="center" indent="1"/>
    </xf>
    <xf numFmtId="4" fontId="197" fillId="45" borderId="68" applyNumberFormat="0" applyProtection="0">
      <alignment horizontal="left" vertical="center" indent="1"/>
    </xf>
    <xf numFmtId="0" fontId="197" fillId="45" borderId="68" applyNumberFormat="0" applyProtection="0">
      <alignment horizontal="left" vertical="top" indent="1"/>
    </xf>
    <xf numFmtId="0" fontId="197" fillId="45" borderId="68" applyNumberFormat="0" applyProtection="0">
      <alignment horizontal="left" vertical="top" indent="1"/>
    </xf>
    <xf numFmtId="4" fontId="197" fillId="66" borderId="68" applyNumberFormat="0" applyProtection="0">
      <alignment horizontal="right" vertical="center"/>
    </xf>
    <xf numFmtId="4" fontId="197" fillId="66" borderId="68" applyNumberFormat="0" applyProtection="0">
      <alignment horizontal="right" vertical="center"/>
    </xf>
    <xf numFmtId="4" fontId="294" fillId="66" borderId="68" applyNumberFormat="0" applyProtection="0">
      <alignment horizontal="right" vertical="center"/>
    </xf>
    <xf numFmtId="4" fontId="294" fillId="66" borderId="68" applyNumberFormat="0" applyProtection="0">
      <alignment horizontal="right" vertical="center"/>
    </xf>
    <xf numFmtId="4" fontId="197" fillId="33" borderId="68" applyNumberFormat="0" applyProtection="0">
      <alignment horizontal="left" vertical="center" indent="1"/>
    </xf>
    <xf numFmtId="4" fontId="197" fillId="33" borderId="68" applyNumberFormat="0" applyProtection="0">
      <alignment horizontal="left" vertical="center" indent="1"/>
    </xf>
    <xf numFmtId="0" fontId="197" fillId="68" borderId="68" applyNumberFormat="0" applyProtection="0">
      <alignment horizontal="left" vertical="top" indent="1"/>
    </xf>
    <xf numFmtId="0" fontId="197" fillId="68" borderId="68" applyNumberFormat="0" applyProtection="0">
      <alignment horizontal="left" vertical="top" indent="1"/>
    </xf>
    <xf numFmtId="4" fontId="295" fillId="77" borderId="0" applyNumberFormat="0" applyProtection="0">
      <alignment horizontal="left" vertical="center" indent="1"/>
    </xf>
    <xf numFmtId="4" fontId="296" fillId="66" borderId="68" applyNumberFormat="0" applyProtection="0">
      <alignment horizontal="right" vertical="center"/>
    </xf>
    <xf numFmtId="4" fontId="296" fillId="66" borderId="68" applyNumberFormat="0" applyProtection="0">
      <alignment horizontal="right" vertical="center"/>
    </xf>
    <xf numFmtId="0" fontId="9" fillId="0" borderId="0" applyNumberFormat="0" applyFont="0" applyFill="0" applyBorder="0" applyAlignment="0" applyProtection="0"/>
    <xf numFmtId="0" fontId="297" fillId="0" borderId="70"/>
    <xf numFmtId="330" fontId="298" fillId="0" borderId="0" applyFill="0" applyBorder="0">
      <alignment horizontal="right"/>
    </xf>
    <xf numFmtId="0" fontId="213" fillId="0" borderId="0" applyFill="0" applyBorder="0" applyProtection="0">
      <alignment horizontal="left"/>
    </xf>
    <xf numFmtId="0" fontId="299" fillId="78" borderId="2">
      <alignment horizontal="center" vertical="center" wrapText="1"/>
    </xf>
    <xf numFmtId="0" fontId="299" fillId="78" borderId="2">
      <alignment horizontal="center" vertical="center" wrapText="1"/>
    </xf>
    <xf numFmtId="0" fontId="299" fillId="78" borderId="2">
      <alignment horizontal="center" vertical="center" wrapText="1"/>
    </xf>
    <xf numFmtId="0" fontId="300" fillId="79" borderId="0"/>
    <xf numFmtId="49" fontId="27" fillId="79" borderId="0"/>
    <xf numFmtId="49" fontId="27" fillId="79" borderId="71"/>
    <xf numFmtId="49" fontId="27" fillId="79" borderId="0"/>
    <xf numFmtId="0" fontId="300" fillId="12" borderId="71">
      <protection locked="0"/>
    </xf>
    <xf numFmtId="0" fontId="300" fillId="79" borderId="0"/>
    <xf numFmtId="0" fontId="27" fillId="80" borderId="0"/>
    <xf numFmtId="0" fontId="27" fillId="14" borderId="0"/>
    <xf numFmtId="0" fontId="27" fillId="47" borderId="0"/>
    <xf numFmtId="311" fontId="301" fillId="0" borderId="46" applyNumberFormat="0" applyFont="0" applyFill="0" applyBorder="0" applyAlignment="0">
      <alignment vertical="center"/>
    </xf>
    <xf numFmtId="174" fontId="27" fillId="0" borderId="46" applyNumberFormat="0" applyFont="0" applyFill="0" applyBorder="0" applyAlignment="0">
      <alignment vertical="center"/>
    </xf>
    <xf numFmtId="331" fontId="9" fillId="50" borderId="2">
      <alignment vertical="center"/>
    </xf>
    <xf numFmtId="0" fontId="174" fillId="0" borderId="0" applyFill="0" applyBorder="0" applyAlignment="0" applyProtection="0"/>
    <xf numFmtId="0" fontId="145" fillId="0" borderId="0" applyNumberFormat="0" applyFill="0" applyBorder="0" applyAlignment="0" applyProtection="0">
      <alignment horizontal="center"/>
    </xf>
    <xf numFmtId="0" fontId="302" fillId="0" borderId="0"/>
    <xf numFmtId="0" fontId="252" fillId="0" borderId="0">
      <alignment vertical="center"/>
    </xf>
    <xf numFmtId="12" fontId="26" fillId="0" borderId="0" applyFont="0" applyFill="0" applyBorder="0" applyProtection="0">
      <alignment horizontal="right"/>
    </xf>
    <xf numFmtId="332" fontId="26" fillId="81" borderId="0" applyFont="0" applyFill="0" applyBorder="0" applyProtection="0">
      <alignment horizontal="right"/>
    </xf>
    <xf numFmtId="0" fontId="285" fillId="0" borderId="0"/>
    <xf numFmtId="0" fontId="239" fillId="0" borderId="0"/>
    <xf numFmtId="183" fontId="15" fillId="44" borderId="0" applyNumberFormat="0" applyFont="0" applyBorder="0" applyAlignment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5" fillId="82" borderId="0" applyNumberFormat="0" applyFont="0" applyFill="0" applyBorder="0" applyAlignment="0" applyProtection="0"/>
    <xf numFmtId="0" fontId="194" fillId="83" borderId="0" applyNumberFormat="0" applyFont="0" applyFill="0" applyBorder="0" applyAlignment="0" applyProtection="0"/>
    <xf numFmtId="2" fontId="303" fillId="84" borderId="72" applyProtection="0"/>
    <xf numFmtId="0" fontId="26" fillId="85" borderId="0" applyNumberFormat="0" applyFont="0" applyFill="0" applyBorder="0" applyAlignment="0" applyProtection="0"/>
    <xf numFmtId="2" fontId="303" fillId="84" borderId="72" applyProtection="0"/>
    <xf numFmtId="0" fontId="165" fillId="83" borderId="73" applyNumberFormat="0" applyFont="0" applyFill="0" applyBorder="0" applyAlignment="0" applyProtection="0"/>
    <xf numFmtId="2" fontId="304" fillId="0" borderId="0" applyFill="0" applyBorder="0" applyProtection="0"/>
    <xf numFmtId="0" fontId="26" fillId="86" borderId="0" applyNumberFormat="0" applyFont="0" applyFill="0" applyBorder="0" applyAlignment="0" applyProtection="0"/>
    <xf numFmtId="2" fontId="305" fillId="0" borderId="0" applyFill="0" applyBorder="0" applyProtection="0"/>
    <xf numFmtId="0" fontId="15" fillId="87" borderId="0" applyNumberFormat="0" applyFont="0" applyFill="0" applyBorder="0" applyAlignment="0" applyProtection="0"/>
    <xf numFmtId="0" fontId="26" fillId="88" borderId="0" applyNumberFormat="0" applyFont="0" applyFill="0" applyBorder="0" applyAlignment="0" applyProtection="0"/>
    <xf numFmtId="0" fontId="26" fillId="89" borderId="0" applyNumberFormat="0" applyFont="0" applyFill="0" applyBorder="0" applyAlignment="0" applyProtection="0"/>
    <xf numFmtId="0" fontId="26" fillId="90" borderId="0" applyNumberFormat="0" applyFont="0" applyFill="0" applyBorder="0" applyAlignment="0" applyProtection="0"/>
    <xf numFmtId="0" fontId="26" fillId="91" borderId="0" applyNumberFormat="0" applyFont="0" applyFill="0" applyBorder="0" applyAlignment="0" applyProtection="0"/>
    <xf numFmtId="0" fontId="26" fillId="92" borderId="0" applyNumberFormat="0" applyFont="0" applyFill="0" applyBorder="0" applyAlignment="0" applyProtection="0"/>
    <xf numFmtId="2" fontId="305" fillId="22" borderId="72" applyProtection="0"/>
    <xf numFmtId="2" fontId="305" fillId="19" borderId="72" applyProtection="0"/>
    <xf numFmtId="2" fontId="305" fillId="93" borderId="72" applyProtection="0"/>
    <xf numFmtId="2" fontId="305" fillId="93" borderId="72" applyProtection="0">
      <alignment horizontal="center"/>
    </xf>
    <xf numFmtId="2" fontId="305" fillId="19" borderId="72" applyProtection="0">
      <alignment horizontal="center"/>
    </xf>
    <xf numFmtId="0" fontId="26" fillId="94" borderId="0" applyNumberFormat="0" applyFont="0" applyFill="0" applyBorder="0" applyAlignment="0" applyProtection="0"/>
    <xf numFmtId="0" fontId="165" fillId="0" borderId="74" applyNumberFormat="0" applyFont="0" applyFill="0" applyBorder="0" applyAlignment="0" applyProtection="0"/>
    <xf numFmtId="0" fontId="15" fillId="83" borderId="0" applyNumberFormat="0" applyFont="0" applyFill="0" applyBorder="0" applyAlignment="0" applyProtection="0"/>
    <xf numFmtId="38" fontId="27" fillId="0" borderId="0"/>
    <xf numFmtId="0" fontId="306" fillId="0" borderId="0"/>
    <xf numFmtId="0" fontId="27" fillId="0" borderId="18"/>
    <xf numFmtId="0" fontId="27" fillId="0" borderId="18"/>
    <xf numFmtId="0" fontId="9" fillId="0" borderId="0"/>
    <xf numFmtId="0" fontId="27" fillId="8" borderId="2">
      <protection locked="0"/>
    </xf>
    <xf numFmtId="0" fontId="27" fillId="8" borderId="2">
      <protection locked="0"/>
    </xf>
    <xf numFmtId="0" fontId="27" fillId="8" borderId="2">
      <protection locked="0"/>
    </xf>
    <xf numFmtId="219" fontId="9" fillId="12" borderId="75" applyNumberFormat="0" applyFont="0" applyAlignment="0">
      <alignment horizontal="left"/>
    </xf>
    <xf numFmtId="0" fontId="193" fillId="0" borderId="46"/>
    <xf numFmtId="0" fontId="193" fillId="0" borderId="46"/>
    <xf numFmtId="219" fontId="9" fillId="12" borderId="75" applyNumberFormat="0" applyFont="0" applyAlignment="0">
      <alignment horizontal="left"/>
    </xf>
    <xf numFmtId="219" fontId="9" fillId="12" borderId="75" applyNumberFormat="0" applyFont="0" applyAlignment="0">
      <alignment horizontal="left"/>
    </xf>
    <xf numFmtId="219" fontId="9" fillId="12" borderId="75" applyNumberFormat="0" applyFont="0" applyAlignment="0">
      <alignment horizontal="left"/>
    </xf>
    <xf numFmtId="0" fontId="155" fillId="0" borderId="0" applyFill="0" applyBorder="0" applyProtection="0">
      <alignment horizontal="center" vertical="center"/>
    </xf>
    <xf numFmtId="0" fontId="307" fillId="0" borderId="0" applyBorder="0" applyProtection="0">
      <alignment vertical="center"/>
    </xf>
    <xf numFmtId="0" fontId="307" fillId="0" borderId="7" applyBorder="0" applyProtection="0">
      <alignment horizontal="right" vertical="center"/>
    </xf>
    <xf numFmtId="333" fontId="307" fillId="0" borderId="7" applyBorder="0" applyProtection="0">
      <alignment horizontal="right" vertical="center"/>
    </xf>
    <xf numFmtId="0" fontId="308" fillId="95" borderId="0" applyBorder="0" applyProtection="0">
      <alignment horizontal="centerContinuous" vertical="center"/>
    </xf>
    <xf numFmtId="0" fontId="308" fillId="96" borderId="7" applyBorder="0" applyProtection="0">
      <alignment horizontal="centerContinuous" vertical="center"/>
    </xf>
    <xf numFmtId="0" fontId="308" fillId="96" borderId="7" applyBorder="0" applyProtection="0">
      <alignment horizontal="centerContinuous" vertical="center"/>
    </xf>
    <xf numFmtId="0" fontId="309" fillId="0" borderId="0"/>
    <xf numFmtId="0" fontId="27" fillId="0" borderId="0" applyFill="0" applyBorder="0" applyProtection="0"/>
    <xf numFmtId="0" fontId="263" fillId="0" borderId="0"/>
    <xf numFmtId="0" fontId="310" fillId="0" borderId="0" applyFill="0" applyBorder="0" applyProtection="0">
      <alignment horizontal="left"/>
    </xf>
    <xf numFmtId="0" fontId="205" fillId="0" borderId="18" applyFill="0" applyBorder="0" applyProtection="0">
      <alignment horizontal="left" vertical="top"/>
    </xf>
    <xf numFmtId="0" fontId="205" fillId="0" borderId="18" applyFill="0" applyBorder="0" applyProtection="0">
      <alignment horizontal="left" vertical="top"/>
    </xf>
    <xf numFmtId="0" fontId="311" fillId="0" borderId="0">
      <alignment horizontal="centerContinuous"/>
    </xf>
    <xf numFmtId="3" fontId="9" fillId="0" borderId="0"/>
    <xf numFmtId="334" fontId="26" fillId="0" borderId="0" applyFont="0" applyFill="0" applyBorder="0" applyAlignment="0" applyProtection="0"/>
    <xf numFmtId="0" fontId="15" fillId="0" borderId="0"/>
    <xf numFmtId="0" fontId="75" fillId="16" borderId="51" applyNumberFormat="0" applyFont="0">
      <alignment horizontal="center" vertical="center"/>
    </xf>
    <xf numFmtId="335" fontId="187" fillId="0" borderId="0" applyFont="0" applyFill="0" applyBorder="0" applyProtection="0">
      <alignment horizontal="left"/>
    </xf>
    <xf numFmtId="336" fontId="187" fillId="0" borderId="0" applyFont="0" applyFill="0" applyBorder="0" applyProtection="0">
      <alignment horizontal="left"/>
    </xf>
    <xf numFmtId="337" fontId="187" fillId="0" borderId="0" applyFont="0" applyFill="0" applyBorder="0" applyProtection="0">
      <alignment horizontal="left"/>
    </xf>
    <xf numFmtId="0" fontId="312" fillId="0" borderId="0"/>
    <xf numFmtId="0" fontId="313" fillId="0" borderId="0"/>
    <xf numFmtId="49" fontId="11" fillId="0" borderId="0" applyFill="0" applyAlignment="0"/>
    <xf numFmtId="49" fontId="11" fillId="0" borderId="0" applyFill="0" applyAlignment="0"/>
    <xf numFmtId="49" fontId="11" fillId="0" borderId="0" applyFill="0" applyAlignment="0"/>
    <xf numFmtId="49" fontId="11" fillId="0" borderId="0" applyFill="0" applyAlignment="0"/>
    <xf numFmtId="338" fontId="27" fillId="0" borderId="0" applyFill="0" applyAlignment="0"/>
    <xf numFmtId="338" fontId="27" fillId="0" borderId="0" applyFill="0" applyAlignment="0"/>
    <xf numFmtId="338" fontId="27" fillId="0" borderId="0" applyFill="0" applyAlignment="0"/>
    <xf numFmtId="338" fontId="27" fillId="0" borderId="0" applyFill="0" applyAlignment="0"/>
    <xf numFmtId="338" fontId="27" fillId="0" borderId="0" applyFill="0" applyAlignment="0"/>
    <xf numFmtId="339" fontId="27" fillId="0" borderId="0" applyFill="0" applyAlignment="0"/>
    <xf numFmtId="339" fontId="27" fillId="0" borderId="0" applyFill="0" applyAlignment="0"/>
    <xf numFmtId="339" fontId="27" fillId="0" borderId="0" applyFill="0" applyAlignment="0"/>
    <xf numFmtId="339" fontId="27" fillId="0" borderId="0" applyFill="0" applyAlignment="0"/>
    <xf numFmtId="339" fontId="27" fillId="0" borderId="0" applyFill="0" applyAlignment="0"/>
    <xf numFmtId="0" fontId="314" fillId="0" borderId="0">
      <alignment vertical="center"/>
    </xf>
    <xf numFmtId="0" fontId="315" fillId="0" borderId="0">
      <alignment horizontal="center" vertical="top"/>
    </xf>
    <xf numFmtId="0" fontId="27" fillId="0" borderId="0">
      <alignment horizontal="center"/>
    </xf>
    <xf numFmtId="256" fontId="9" fillId="0" borderId="0">
      <alignment horizontal="center"/>
    </xf>
    <xf numFmtId="0" fontId="6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27" fillId="97" borderId="0"/>
    <xf numFmtId="49" fontId="198" fillId="8" borderId="2" applyNumberFormat="0" applyBorder="0">
      <alignment horizontal="center" vertical="center" wrapText="1"/>
    </xf>
    <xf numFmtId="0" fontId="27" fillId="95" borderId="0" applyBorder="0"/>
    <xf numFmtId="0" fontId="296" fillId="0" borderId="0" applyNumberFormat="0" applyFill="0" applyBorder="0" applyAlignment="0" applyProtection="0"/>
    <xf numFmtId="0" fontId="27" fillId="0" borderId="0" applyFill="0" applyBorder="0" applyAlignment="0" applyProtection="0"/>
    <xf numFmtId="0" fontId="317" fillId="0" borderId="76" applyNumberFormat="0" applyFill="0" applyAlignment="0" applyProtection="0"/>
    <xf numFmtId="0" fontId="317" fillId="0" borderId="76" applyNumberFormat="0" applyFill="0" applyAlignment="0" applyProtection="0"/>
    <xf numFmtId="0" fontId="317" fillId="0" borderId="76" applyNumberFormat="0" applyFill="0" applyAlignment="0" applyProtection="0"/>
    <xf numFmtId="0" fontId="317" fillId="0" borderId="76" applyNumberFormat="0" applyFill="0" applyAlignment="0" applyProtection="0"/>
    <xf numFmtId="0" fontId="317" fillId="0" borderId="76" applyNumberFormat="0" applyFill="0" applyAlignment="0" applyProtection="0"/>
    <xf numFmtId="0" fontId="318" fillId="0" borderId="77" applyNumberFormat="0" applyFill="0" applyAlignment="0" applyProtection="0"/>
    <xf numFmtId="0" fontId="317" fillId="0" borderId="76" applyNumberFormat="0" applyFill="0" applyAlignment="0" applyProtection="0"/>
    <xf numFmtId="0" fontId="317" fillId="0" borderId="76" applyNumberFormat="0" applyFill="0" applyAlignment="0" applyProtection="0"/>
    <xf numFmtId="0" fontId="317" fillId="0" borderId="76" applyNumberFormat="0" applyFill="0" applyAlignment="0" applyProtection="0"/>
    <xf numFmtId="0" fontId="317" fillId="0" borderId="76" applyNumberFormat="0" applyFill="0" applyAlignment="0" applyProtection="0"/>
    <xf numFmtId="0" fontId="317" fillId="0" borderId="76" applyNumberFormat="0" applyFill="0" applyAlignment="0" applyProtection="0"/>
    <xf numFmtId="0" fontId="317" fillId="0" borderId="76" applyNumberFormat="0" applyFill="0" applyAlignment="0" applyProtection="0"/>
    <xf numFmtId="0" fontId="317" fillId="0" borderId="76" applyNumberFormat="0" applyFill="0" applyAlignment="0" applyProtection="0"/>
    <xf numFmtId="0" fontId="317" fillId="0" borderId="76" applyNumberFormat="0" applyFill="0" applyAlignment="0" applyProtection="0"/>
    <xf numFmtId="0" fontId="40" fillId="0" borderId="78"/>
    <xf numFmtId="0" fontId="249" fillId="0" borderId="79"/>
    <xf numFmtId="0" fontId="249" fillId="0" borderId="46"/>
    <xf numFmtId="0" fontId="249" fillId="0" borderId="46"/>
    <xf numFmtId="0" fontId="75" fillId="0" borderId="25" applyNumberFormat="0" applyFont="0" applyFill="0" applyAlignment="0"/>
    <xf numFmtId="0" fontId="75" fillId="0" borderId="80" applyNumberFormat="0" applyFont="0" applyFill="0" applyAlignment="0"/>
    <xf numFmtId="38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0" fontId="108" fillId="0" borderId="0"/>
    <xf numFmtId="0" fontId="105" fillId="0" borderId="0" applyAlignment="0"/>
    <xf numFmtId="0" fontId="105" fillId="0" borderId="0" applyAlignment="0"/>
    <xf numFmtId="0" fontId="105" fillId="0" borderId="0" applyAlignment="0"/>
    <xf numFmtId="0" fontId="105" fillId="0" borderId="0" applyAlignment="0"/>
    <xf numFmtId="0" fontId="104" fillId="0" borderId="0"/>
    <xf numFmtId="0" fontId="104" fillId="0" borderId="0"/>
    <xf numFmtId="0" fontId="104" fillId="0" borderId="0"/>
    <xf numFmtId="0" fontId="104" fillId="0" borderId="0"/>
    <xf numFmtId="249" fontId="27" fillId="0" borderId="0">
      <alignment horizontal="left"/>
      <protection locked="0"/>
    </xf>
    <xf numFmtId="0" fontId="9" fillId="0" borderId="0"/>
    <xf numFmtId="0" fontId="319" fillId="0" borderId="0">
      <alignment horizontal="fill"/>
    </xf>
    <xf numFmtId="0" fontId="9" fillId="0" borderId="0"/>
    <xf numFmtId="0" fontId="9" fillId="0" borderId="0"/>
    <xf numFmtId="0" fontId="9" fillId="0" borderId="0"/>
    <xf numFmtId="0" fontId="9" fillId="0" borderId="0"/>
    <xf numFmtId="37" fontId="164" fillId="0" borderId="0" applyFill="0" applyBorder="0" applyAlignment="0">
      <alignment vertical="center"/>
    </xf>
    <xf numFmtId="0" fontId="180" fillId="0" borderId="0" applyNumberFormat="0"/>
    <xf numFmtId="340" fontId="26" fillId="0" borderId="0" applyFont="0" applyFill="0" applyBorder="0" applyAlignment="0" applyProtection="0">
      <alignment horizontal="center"/>
    </xf>
    <xf numFmtId="0" fontId="27" fillId="13" borderId="21">
      <alignment horizontal="center" vertical="center"/>
    </xf>
    <xf numFmtId="0" fontId="320" fillId="0" borderId="0"/>
    <xf numFmtId="341" fontId="9" fillId="0" borderId="0" applyFont="0" applyFill="0" applyBorder="0" applyAlignment="0" applyProtection="0"/>
    <xf numFmtId="342" fontId="9" fillId="0" borderId="0" applyFont="0" applyFill="0" applyBorder="0" applyAlignment="0" applyProtection="0"/>
    <xf numFmtId="0" fontId="9" fillId="0" borderId="0">
      <alignment horizontal="center" vertical="center" textRotation="180"/>
    </xf>
    <xf numFmtId="0" fontId="9" fillId="0" borderId="0">
      <alignment horizontal="center" vertical="center" textRotation="180"/>
    </xf>
    <xf numFmtId="0" fontId="9" fillId="0" borderId="0">
      <alignment horizontal="center" vertical="center" textRotation="180"/>
    </xf>
    <xf numFmtId="0" fontId="9" fillId="0" borderId="0">
      <alignment horizontal="center" vertical="center" textRotation="180"/>
    </xf>
    <xf numFmtId="0" fontId="27" fillId="0" borderId="0"/>
    <xf numFmtId="0" fontId="9" fillId="0" borderId="0" applyFont="0" applyFill="0" applyBorder="0" applyAlignment="0" applyProtection="0"/>
    <xf numFmtId="343" fontId="9" fillId="0" borderId="0" applyFont="0" applyFill="0" applyBorder="0" applyAlignment="0" applyProtection="0"/>
    <xf numFmtId="23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44" fontId="9" fillId="0" borderId="0" applyFont="0" applyFill="0" applyBorder="0" applyAlignment="0" applyProtection="0"/>
    <xf numFmtId="234" fontId="9" fillId="0" borderId="0" applyFont="0" applyFill="0" applyBorder="0" applyAlignment="0" applyProtection="0"/>
    <xf numFmtId="345" fontId="72" fillId="0" borderId="0" applyFont="0" applyFill="0" applyBorder="0" applyAlignment="0" applyProtection="0"/>
    <xf numFmtId="269" fontId="72" fillId="0" borderId="0" applyFont="0" applyFill="0" applyBorder="0" applyAlignment="0" applyProtection="0"/>
    <xf numFmtId="0" fontId="321" fillId="0" borderId="0" applyNumberFormat="0" applyFill="0" applyBorder="0" applyAlignment="0" applyProtection="0"/>
    <xf numFmtId="0" fontId="26" fillId="71" borderId="31">
      <alignment vertical="center"/>
      <protection locked="0"/>
    </xf>
    <xf numFmtId="346" fontId="9" fillId="0" borderId="0" applyFont="0" applyFill="0" applyBorder="0" applyAlignment="0" applyProtection="0"/>
    <xf numFmtId="347" fontId="9" fillId="0" borderId="0" applyFont="0" applyFill="0" applyBorder="0" applyAlignment="0" applyProtection="0"/>
    <xf numFmtId="0" fontId="322" fillId="0" borderId="7" applyBorder="0" applyProtection="0">
      <alignment horizontal="right"/>
    </xf>
    <xf numFmtId="0" fontId="9" fillId="0" borderId="7" applyFill="0" applyBorder="0" applyProtection="0">
      <alignment horizontal="center"/>
    </xf>
    <xf numFmtId="348" fontId="8" fillId="0" borderId="47" applyFont="0" applyFill="0" applyBorder="0" applyAlignment="0">
      <alignment horizontal="centerContinuous"/>
    </xf>
    <xf numFmtId="349" fontId="27" fillId="0" borderId="47" applyFont="0" applyFill="0" applyBorder="0" applyAlignment="0">
      <alignment horizontal="centerContinuous"/>
    </xf>
    <xf numFmtId="350" fontId="164" fillId="0" borderId="0" applyFill="0" applyBorder="0" applyProtection="0"/>
    <xf numFmtId="258" fontId="164" fillId="0" borderId="0" applyFill="0" applyBorder="0" applyProtection="0"/>
    <xf numFmtId="0" fontId="9" fillId="0" borderId="7" applyFill="0" applyBorder="0" applyProtection="0">
      <alignment horizontal="center"/>
    </xf>
    <xf numFmtId="0" fontId="26" fillId="98" borderId="2">
      <alignment horizontal="right" wrapText="1"/>
      <protection locked="0"/>
    </xf>
    <xf numFmtId="0" fontId="26" fillId="98" borderId="2">
      <alignment horizontal="right" wrapText="1"/>
      <protection locked="0"/>
    </xf>
    <xf numFmtId="0" fontId="26" fillId="98" borderId="2">
      <alignment horizontal="right" wrapText="1"/>
      <protection locked="0"/>
    </xf>
    <xf numFmtId="219" fontId="9" fillId="98" borderId="2" applyNumberFormat="0" applyFill="0" applyBorder="0" applyProtection="0">
      <alignment vertical="center"/>
      <protection locked="0"/>
    </xf>
    <xf numFmtId="219" fontId="9" fillId="98" borderId="2" applyNumberFormat="0" applyFill="0" applyBorder="0" applyProtection="0">
      <alignment vertical="center"/>
      <protection locked="0"/>
    </xf>
    <xf numFmtId="219" fontId="9" fillId="98" borderId="2" applyNumberFormat="0" applyFill="0" applyBorder="0" applyProtection="0">
      <alignment vertical="center"/>
      <protection locked="0"/>
    </xf>
    <xf numFmtId="219" fontId="9" fillId="98" borderId="2" applyNumberFormat="0" applyFill="0" applyBorder="0" applyProtection="0">
      <alignment vertical="center"/>
      <protection locked="0"/>
    </xf>
    <xf numFmtId="219" fontId="9" fillId="98" borderId="2" applyNumberFormat="0" applyFill="0" applyBorder="0" applyProtection="0">
      <alignment vertical="center"/>
      <protection locked="0"/>
    </xf>
    <xf numFmtId="219" fontId="9" fillId="98" borderId="2" applyNumberFormat="0" applyFill="0" applyBorder="0" applyProtection="0">
      <alignment vertical="center"/>
      <protection locked="0"/>
    </xf>
    <xf numFmtId="219" fontId="9" fillId="98" borderId="2" applyNumberFormat="0" applyFill="0" applyBorder="0" applyProtection="0">
      <alignment vertical="center"/>
      <protection locked="0"/>
    </xf>
    <xf numFmtId="219" fontId="9" fillId="98" borderId="2" applyNumberFormat="0" applyFill="0" applyBorder="0" applyProtection="0">
      <alignment vertical="center"/>
      <protection locked="0"/>
    </xf>
    <xf numFmtId="219" fontId="9" fillId="98" borderId="2" applyNumberFormat="0" applyFill="0" applyBorder="0" applyProtection="0">
      <alignment vertical="center"/>
      <protection locked="0"/>
    </xf>
    <xf numFmtId="219" fontId="9" fillId="98" borderId="2" applyNumberFormat="0" applyFill="0" applyBorder="0" applyProtection="0">
      <alignment vertical="center"/>
      <protection locked="0"/>
    </xf>
    <xf numFmtId="219" fontId="9" fillId="98" borderId="2" applyNumberFormat="0" applyFill="0" applyBorder="0" applyProtection="0">
      <alignment vertical="center"/>
      <protection locked="0"/>
    </xf>
    <xf numFmtId="219" fontId="9" fillId="98" borderId="2" applyNumberFormat="0" applyFill="0" applyBorder="0" applyProtection="0">
      <alignment vertical="center"/>
      <protection locked="0"/>
    </xf>
    <xf numFmtId="351" fontId="174" fillId="0" borderId="0" applyFont="0" applyFill="0" applyBorder="0" applyAlignment="0" applyProtection="0"/>
    <xf numFmtId="0" fontId="141" fillId="99" borderId="0" applyNumberFormat="0" applyBorder="0" applyAlignment="0" applyProtection="0"/>
    <xf numFmtId="0" fontId="141" fillId="72" borderId="0" applyNumberFormat="0" applyBorder="0" applyAlignment="0" applyProtection="0"/>
    <xf numFmtId="0" fontId="141" fillId="49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1" fillId="73" borderId="0" applyNumberFormat="0" applyBorder="0" applyAlignment="0" applyProtection="0"/>
    <xf numFmtId="249" fontId="39" fillId="0" borderId="81">
      <protection locked="0"/>
    </xf>
    <xf numFmtId="352" fontId="20" fillId="0" borderId="20">
      <alignment horizontal="center"/>
    </xf>
    <xf numFmtId="0" fontId="228" fillId="32" borderId="57" applyNumberFormat="0" applyAlignment="0" applyProtection="0"/>
    <xf numFmtId="0" fontId="323" fillId="32" borderId="57" applyNumberFormat="0" applyAlignment="0" applyProtection="0"/>
    <xf numFmtId="0" fontId="323" fillId="32" borderId="57" applyNumberFormat="0" applyAlignment="0" applyProtection="0"/>
    <xf numFmtId="0" fontId="323" fillId="32" borderId="57" applyNumberFormat="0" applyAlignment="0" applyProtection="0"/>
    <xf numFmtId="0" fontId="323" fillId="32" borderId="57" applyNumberFormat="0" applyAlignment="0" applyProtection="0"/>
    <xf numFmtId="3" fontId="324" fillId="0" borderId="0">
      <alignment horizontal="center" vertical="center" textRotation="90" wrapText="1"/>
    </xf>
    <xf numFmtId="214" fontId="27" fillId="0" borderId="58">
      <alignment vertical="top" wrapText="1"/>
    </xf>
    <xf numFmtId="0" fontId="325" fillId="53" borderId="65" applyNumberFormat="0" applyAlignment="0" applyProtection="0"/>
    <xf numFmtId="0" fontId="325" fillId="53" borderId="65" applyNumberFormat="0" applyAlignment="0" applyProtection="0"/>
    <xf numFmtId="0" fontId="325" fillId="53" borderId="65" applyNumberFormat="0" applyAlignment="0" applyProtection="0"/>
    <xf numFmtId="0" fontId="325" fillId="53" borderId="65" applyNumberFormat="0" applyAlignment="0" applyProtection="0"/>
    <xf numFmtId="0" fontId="326" fillId="53" borderId="57" applyNumberFormat="0" applyAlignment="0" applyProtection="0"/>
    <xf numFmtId="0" fontId="326" fillId="53" borderId="57" applyNumberFormat="0" applyAlignment="0" applyProtection="0"/>
    <xf numFmtId="0" fontId="326" fillId="53" borderId="57" applyNumberFormat="0" applyAlignment="0" applyProtection="0"/>
    <xf numFmtId="0" fontId="326" fillId="53" borderId="57" applyNumberFormat="0" applyAlignment="0" applyProtection="0"/>
    <xf numFmtId="0" fontId="159" fillId="0" borderId="0" applyNumberFormat="0" applyFill="0" applyBorder="0" applyAlignment="0" applyProtection="0">
      <alignment vertical="top"/>
      <protection locked="0"/>
    </xf>
    <xf numFmtId="0" fontId="327" fillId="0" borderId="0" applyNumberFormat="0" applyFill="0" applyBorder="0" applyAlignment="0" applyProtection="0">
      <alignment vertical="top"/>
      <protection locked="0"/>
    </xf>
    <xf numFmtId="0" fontId="328" fillId="0" borderId="0" applyNumberFormat="0" applyFill="0" applyBorder="0" applyAlignment="0" applyProtection="0">
      <alignment vertical="top"/>
      <protection locked="0"/>
    </xf>
    <xf numFmtId="0" fontId="329" fillId="0" borderId="0" applyNumberFormat="0" applyFill="0" applyBorder="0" applyAlignment="0" applyProtection="0">
      <alignment vertical="top"/>
      <protection locked="0"/>
    </xf>
    <xf numFmtId="172" fontId="330" fillId="0" borderId="0" applyNumberFormat="0" applyFill="0" applyBorder="0" applyAlignment="0" applyProtection="0"/>
    <xf numFmtId="0" fontId="331" fillId="0" borderId="0" applyNumberFormat="0" applyFill="0" applyBorder="0" applyAlignment="0" applyProtection="0">
      <alignment vertical="top"/>
      <protection locked="0"/>
    </xf>
    <xf numFmtId="353" fontId="332" fillId="0" borderId="58">
      <alignment vertical="top" wrapText="1"/>
    </xf>
    <xf numFmtId="4" fontId="333" fillId="0" borderId="58">
      <alignment horizontal="left" vertical="center"/>
    </xf>
    <xf numFmtId="4" fontId="333" fillId="0" borderId="58"/>
    <xf numFmtId="4" fontId="333" fillId="68" borderId="58"/>
    <xf numFmtId="4" fontId="333" fillId="81" borderId="58"/>
    <xf numFmtId="4" fontId="8" fillId="16" borderId="58"/>
    <xf numFmtId="14" fontId="334" fillId="0" borderId="0"/>
    <xf numFmtId="14" fontId="39" fillId="0" borderId="0">
      <alignment vertical="center"/>
    </xf>
    <xf numFmtId="0" fontId="202" fillId="8" borderId="0" applyFont="0" applyFill="0" applyBorder="0" applyAlignment="0" applyProtection="0">
      <alignment horizontal="right"/>
    </xf>
    <xf numFmtId="354" fontId="7" fillId="0" borderId="0" applyFont="0" applyFill="0" applyBorder="0" applyAlignment="0" applyProtection="0"/>
    <xf numFmtId="354" fontId="27" fillId="0" borderId="0" applyFont="0" applyFill="0" applyBorder="0" applyAlignment="0" applyProtection="0"/>
    <xf numFmtId="354" fontId="11" fillId="0" borderId="0" applyFont="0" applyFill="0" applyBorder="0" applyAlignment="0" applyProtection="0"/>
    <xf numFmtId="0" fontId="128" fillId="26" borderId="82" applyNumberFormat="0" applyFont="0" applyAlignment="0" applyProtection="0"/>
    <xf numFmtId="355" fontId="95" fillId="0" borderId="0" applyFont="0" applyFill="0" applyBorder="0" applyAlignment="0" applyProtection="0"/>
    <xf numFmtId="356" fontId="95" fillId="0" borderId="0" applyFont="0" applyFill="0" applyBorder="0" applyAlignment="0" applyProtection="0"/>
    <xf numFmtId="214" fontId="335" fillId="0" borderId="58"/>
    <xf numFmtId="357" fontId="9" fillId="0" borderId="0"/>
    <xf numFmtId="357" fontId="9" fillId="0" borderId="0" applyFont="0" applyFill="0" applyBorder="0" applyAlignment="0" applyProtection="0"/>
    <xf numFmtId="358" fontId="336" fillId="0" borderId="0"/>
    <xf numFmtId="49" fontId="324" fillId="0" borderId="58">
      <alignment horizontal="right" vertical="top" wrapText="1"/>
    </xf>
    <xf numFmtId="169" fontId="337" fillId="0" borderId="0">
      <alignment horizontal="right" vertical="top" wrapText="1"/>
    </xf>
    <xf numFmtId="0" fontId="27" fillId="0" borderId="0"/>
    <xf numFmtId="0" fontId="27" fillId="0" borderId="0"/>
    <xf numFmtId="0" fontId="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9" fillId="0" borderId="0"/>
    <xf numFmtId="0" fontId="338" fillId="0" borderId="0"/>
    <xf numFmtId="0" fontId="3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2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339" fillId="0" borderId="0"/>
    <xf numFmtId="0" fontId="9" fillId="0" borderId="0">
      <alignment vertical="center"/>
    </xf>
    <xf numFmtId="0" fontId="139" fillId="0" borderId="0"/>
    <xf numFmtId="0" fontId="128" fillId="0" borderId="0"/>
    <xf numFmtId="0" fontId="9" fillId="0" borderId="0"/>
    <xf numFmtId="0" fontId="18" fillId="0" borderId="0"/>
    <xf numFmtId="0" fontId="340" fillId="0" borderId="0"/>
    <xf numFmtId="0" fontId="16" fillId="0" borderId="0"/>
    <xf numFmtId="0" fontId="14" fillId="0" borderId="0"/>
    <xf numFmtId="0" fontId="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39" fillId="0" borderId="0"/>
    <xf numFmtId="0" fontId="9" fillId="0" borderId="0"/>
    <xf numFmtId="0" fontId="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341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2" fillId="0" borderId="0"/>
    <xf numFmtId="0" fontId="342" fillId="0" borderId="0"/>
    <xf numFmtId="0" fontId="342" fillId="0" borderId="0"/>
    <xf numFmtId="0" fontId="342" fillId="0" borderId="0"/>
    <xf numFmtId="0" fontId="342" fillId="0" borderId="0"/>
    <xf numFmtId="0" fontId="15" fillId="0" borderId="0"/>
    <xf numFmtId="0" fontId="7" fillId="0" borderId="0"/>
    <xf numFmtId="0" fontId="27" fillId="0" borderId="0"/>
    <xf numFmtId="0" fontId="7" fillId="0" borderId="0"/>
    <xf numFmtId="0" fontId="34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353" fontId="343" fillId="0" borderId="58">
      <alignment vertical="top"/>
    </xf>
    <xf numFmtId="0" fontId="344" fillId="0" borderId="0" applyNumberFormat="0" applyFill="0" applyBorder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26" borderId="82" applyNumberFormat="0" applyFont="0" applyAlignment="0" applyProtection="0"/>
    <xf numFmtId="0" fontId="27" fillId="81" borderId="0" applyProtection="0"/>
    <xf numFmtId="49" fontId="8" fillId="0" borderId="22">
      <alignment horizontal="left" vertical="center"/>
    </xf>
    <xf numFmtId="9" fontId="1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3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42" fillId="0" borderId="0" applyFont="0" applyFill="0" applyBorder="0" applyAlignment="0" applyProtection="0"/>
    <xf numFmtId="9" fontId="342" fillId="0" borderId="0" applyFont="0" applyFill="0" applyBorder="0" applyAlignment="0" applyProtection="0"/>
    <xf numFmtId="9" fontId="34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28" fillId="0" borderId="0" applyFont="0" applyFill="0" applyBorder="0" applyAlignment="0" applyProtection="0"/>
    <xf numFmtId="214" fontId="345" fillId="0" borderId="58"/>
    <xf numFmtId="0" fontId="40" fillId="0" borderId="0"/>
    <xf numFmtId="49" fontId="337" fillId="0" borderId="0"/>
    <xf numFmtId="49" fontId="346" fillId="0" borderId="0">
      <alignment vertical="top"/>
    </xf>
    <xf numFmtId="359" fontId="20" fillId="0" borderId="0"/>
    <xf numFmtId="261" fontId="27" fillId="0" borderId="0" applyFont="0" applyFill="0" applyBorder="0" applyAlignment="0" applyProtection="0"/>
    <xf numFmtId="3" fontId="347" fillId="0" borderId="22" applyFont="0" applyBorder="0">
      <alignment horizontal="right"/>
      <protection locked="0"/>
    </xf>
    <xf numFmtId="0" fontId="27" fillId="0" borderId="0" applyFont="0" applyFill="0" applyBorder="0" applyAlignment="0" applyProtection="0"/>
    <xf numFmtId="0" fontId="27" fillId="0" borderId="0" applyNumberFormat="0" applyFill="0" applyBorder="0" applyAlignment="0" applyProtection="0"/>
    <xf numFmtId="311" fontId="2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338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39" fillId="0" borderId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342" fillId="0" borderId="0" applyFont="0" applyFill="0" applyBorder="0" applyAlignment="0" applyProtection="0"/>
    <xf numFmtId="166" fontId="7" fillId="0" borderId="0" applyFont="0" applyFill="0" applyBorder="0" applyAlignment="0" applyProtection="0"/>
    <xf numFmtId="277" fontId="9" fillId="0" borderId="0" applyFont="0" applyFill="0" applyBorder="0" applyAlignment="0" applyProtection="0"/>
    <xf numFmtId="166" fontId="139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360" fontId="27" fillId="0" borderId="22">
      <alignment vertical="top" wrapText="1"/>
    </xf>
    <xf numFmtId="49" fontId="332" fillId="0" borderId="58">
      <alignment horizontal="center" vertical="center" wrapText="1"/>
    </xf>
    <xf numFmtId="49" fontId="251" fillId="0" borderId="58" applyNumberFormat="0" applyFill="0" applyAlignment="0" applyProtection="0"/>
    <xf numFmtId="0" fontId="142" fillId="99" borderId="0" applyNumberFormat="0" applyBorder="0" applyAlignment="0" applyProtection="0">
      <alignment vertical="center"/>
    </xf>
    <xf numFmtId="0" fontId="142" fillId="72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0" borderId="0" applyNumberFormat="0" applyBorder="0" applyAlignment="0" applyProtection="0">
      <alignment vertical="center"/>
    </xf>
    <xf numFmtId="0" fontId="142" fillId="41" borderId="0" applyNumberFormat="0" applyBorder="0" applyAlignment="0" applyProtection="0">
      <alignment vertical="center"/>
    </xf>
    <xf numFmtId="0" fontId="142" fillId="73" borderId="0" applyNumberFormat="0" applyBorder="0" applyAlignment="0" applyProtection="0">
      <alignment vertical="center"/>
    </xf>
    <xf numFmtId="0" fontId="348" fillId="0" borderId="0" applyNumberFormat="0" applyFill="0" applyBorder="0" applyAlignment="0" applyProtection="0">
      <alignment vertical="center"/>
    </xf>
    <xf numFmtId="0" fontId="349" fillId="29" borderId="42" applyNumberFormat="0" applyAlignment="0" applyProtection="0">
      <alignment vertical="center"/>
    </xf>
    <xf numFmtId="0" fontId="350" fillId="10" borderId="0" applyNumberFormat="0" applyBorder="0" applyAlignment="0" applyProtection="0">
      <alignment vertical="center"/>
    </xf>
    <xf numFmtId="0" fontId="26" fillId="26" borderId="82" applyNumberFormat="0" applyFont="0" applyAlignment="0" applyProtection="0">
      <alignment vertical="center"/>
    </xf>
    <xf numFmtId="0" fontId="351" fillId="0" borderId="83" applyNumberFormat="0" applyFill="0" applyAlignment="0" applyProtection="0">
      <alignment vertical="center"/>
    </xf>
    <xf numFmtId="0" fontId="352" fillId="32" borderId="57" applyNumberFormat="0" applyAlignment="0" applyProtection="0">
      <alignment vertical="center"/>
    </xf>
    <xf numFmtId="0" fontId="353" fillId="53" borderId="65" applyNumberFormat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26" fillId="0" borderId="0">
      <alignment vertical="center"/>
    </xf>
    <xf numFmtId="0" fontId="355" fillId="28" borderId="0" applyNumberFormat="0" applyBorder="0" applyAlignment="0" applyProtection="0">
      <alignment vertical="center"/>
    </xf>
    <xf numFmtId="0" fontId="356" fillId="0" borderId="84" applyNumberFormat="0" applyFill="0" applyAlignment="0" applyProtection="0">
      <alignment vertical="center"/>
    </xf>
    <xf numFmtId="0" fontId="357" fillId="0" borderId="85" applyNumberFormat="0" applyFill="0" applyAlignment="0" applyProtection="0">
      <alignment vertical="center"/>
    </xf>
    <xf numFmtId="0" fontId="358" fillId="0" borderId="86" applyNumberFormat="0" applyFill="0" applyAlignment="0" applyProtection="0">
      <alignment vertical="center"/>
    </xf>
    <xf numFmtId="0" fontId="358" fillId="0" borderId="0" applyNumberFormat="0" applyFill="0" applyBorder="0" applyAlignment="0" applyProtection="0">
      <alignment vertical="center"/>
    </xf>
    <xf numFmtId="0" fontId="359" fillId="53" borderId="57" applyNumberFormat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1" fillId="0" borderId="0" applyNumberFormat="0" applyFill="0" applyBorder="0" applyAlignment="0" applyProtection="0">
      <alignment vertical="center"/>
    </xf>
    <xf numFmtId="0" fontId="362" fillId="0" borderId="87" applyNumberFormat="0" applyFill="0" applyAlignment="0" applyProtection="0">
      <alignment vertical="center"/>
    </xf>
    <xf numFmtId="0" fontId="40" fillId="0" borderId="0"/>
    <xf numFmtId="0" fontId="12" fillId="0" borderId="0"/>
    <xf numFmtId="0" fontId="9" fillId="8" borderId="0"/>
    <xf numFmtId="0" fontId="9" fillId="8" borderId="0"/>
    <xf numFmtId="0" fontId="165" fillId="8" borderId="0"/>
    <xf numFmtId="0" fontId="363" fillId="8" borderId="0"/>
    <xf numFmtId="0" fontId="98" fillId="8" borderId="0"/>
    <xf numFmtId="0" fontId="98" fillId="8" borderId="0"/>
    <xf numFmtId="0" fontId="364" fillId="8" borderId="0"/>
    <xf numFmtId="0" fontId="155" fillId="8" borderId="0"/>
    <xf numFmtId="0" fontId="15" fillId="8" borderId="0"/>
    <xf numFmtId="248" fontId="9" fillId="45" borderId="88"/>
    <xf numFmtId="248" fontId="9" fillId="45" borderId="88"/>
    <xf numFmtId="361" fontId="27" fillId="0" borderId="0"/>
    <xf numFmtId="9" fontId="27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361" fontId="17" fillId="23" borderId="0" applyNumberFormat="0" applyBorder="0" applyAlignment="0" applyProtection="0"/>
    <xf numFmtId="361" fontId="17" fillId="23" borderId="0" applyNumberFormat="0" applyBorder="0" applyAlignment="0" applyProtection="0"/>
    <xf numFmtId="361" fontId="11" fillId="23" borderId="0" applyNumberFormat="0" applyBorder="0" applyAlignment="0" applyProtection="0"/>
    <xf numFmtId="361" fontId="17" fillId="23" borderId="0" applyNumberFormat="0" applyBorder="0" applyAlignment="0" applyProtection="0"/>
    <xf numFmtId="361" fontId="17" fillId="23" borderId="0" applyNumberFormat="0" applyBorder="0" applyAlignment="0" applyProtection="0"/>
    <xf numFmtId="361" fontId="17" fillId="23" borderId="0" applyNumberFormat="0" applyBorder="0" applyAlignment="0" applyProtection="0"/>
    <xf numFmtId="361" fontId="17" fillId="23" borderId="0" applyNumberFormat="0" applyBorder="0" applyAlignment="0" applyProtection="0"/>
    <xf numFmtId="361" fontId="17" fillId="23" borderId="0" applyNumberFormat="0" applyBorder="0" applyAlignment="0" applyProtection="0"/>
    <xf numFmtId="361" fontId="11" fillId="23" borderId="0" applyNumberFormat="0" applyBorder="0" applyAlignment="0" applyProtection="0"/>
    <xf numFmtId="361" fontId="17" fillId="35" borderId="0" applyNumberFormat="0" applyBorder="0" applyAlignment="0" applyProtection="0"/>
    <xf numFmtId="361" fontId="17" fillId="35" borderId="0" applyNumberFormat="0" applyBorder="0" applyAlignment="0" applyProtection="0"/>
    <xf numFmtId="361" fontId="11" fillId="35" borderId="0" applyNumberFormat="0" applyBorder="0" applyAlignment="0" applyProtection="0"/>
    <xf numFmtId="361" fontId="17" fillId="35" borderId="0" applyNumberFormat="0" applyBorder="0" applyAlignment="0" applyProtection="0"/>
    <xf numFmtId="361" fontId="17" fillId="35" borderId="0" applyNumberFormat="0" applyBorder="0" applyAlignment="0" applyProtection="0"/>
    <xf numFmtId="361" fontId="17" fillId="35" borderId="0" applyNumberFormat="0" applyBorder="0" applyAlignment="0" applyProtection="0"/>
    <xf numFmtId="361" fontId="17" fillId="35" borderId="0" applyNumberFormat="0" applyBorder="0" applyAlignment="0" applyProtection="0"/>
    <xf numFmtId="361" fontId="17" fillId="35" borderId="0" applyNumberFormat="0" applyBorder="0" applyAlignment="0" applyProtection="0"/>
    <xf numFmtId="361" fontId="11" fillId="35" borderId="0" applyNumberFormat="0" applyBorder="0" applyAlignment="0" applyProtection="0"/>
    <xf numFmtId="361" fontId="17" fillId="34" borderId="0" applyNumberFormat="0" applyBorder="0" applyAlignment="0" applyProtection="0"/>
    <xf numFmtId="361" fontId="17" fillId="34" borderId="0" applyNumberFormat="0" applyBorder="0" applyAlignment="0" applyProtection="0"/>
    <xf numFmtId="361" fontId="11" fillId="34" borderId="0" applyNumberFormat="0" applyBorder="0" applyAlignment="0" applyProtection="0"/>
    <xf numFmtId="361" fontId="17" fillId="34" borderId="0" applyNumberFormat="0" applyBorder="0" applyAlignment="0" applyProtection="0"/>
    <xf numFmtId="361" fontId="17" fillId="34" borderId="0" applyNumberFormat="0" applyBorder="0" applyAlignment="0" applyProtection="0"/>
    <xf numFmtId="361" fontId="17" fillId="34" borderId="0" applyNumberFormat="0" applyBorder="0" applyAlignment="0" applyProtection="0"/>
    <xf numFmtId="361" fontId="17" fillId="34" borderId="0" applyNumberFormat="0" applyBorder="0" applyAlignment="0" applyProtection="0"/>
    <xf numFmtId="361" fontId="17" fillId="34" borderId="0" applyNumberFormat="0" applyBorder="0" applyAlignment="0" applyProtection="0"/>
    <xf numFmtId="361" fontId="11" fillId="34" borderId="0" applyNumberFormat="0" applyBorder="0" applyAlignment="0" applyProtection="0"/>
    <xf numFmtId="361" fontId="17" fillId="30" borderId="0" applyNumberFormat="0" applyBorder="0" applyAlignment="0" applyProtection="0"/>
    <xf numFmtId="361" fontId="17" fillId="30" borderId="0" applyNumberFormat="0" applyBorder="0" applyAlignment="0" applyProtection="0"/>
    <xf numFmtId="361" fontId="11" fillId="30" borderId="0" applyNumberFormat="0" applyBorder="0" applyAlignment="0" applyProtection="0"/>
    <xf numFmtId="361" fontId="17" fillId="30" borderId="0" applyNumberFormat="0" applyBorder="0" applyAlignment="0" applyProtection="0"/>
    <xf numFmtId="361" fontId="17" fillId="30" borderId="0" applyNumberFormat="0" applyBorder="0" applyAlignment="0" applyProtection="0"/>
    <xf numFmtId="361" fontId="17" fillId="30" borderId="0" applyNumberFormat="0" applyBorder="0" applyAlignment="0" applyProtection="0"/>
    <xf numFmtId="361" fontId="17" fillId="30" borderId="0" applyNumberFormat="0" applyBorder="0" applyAlignment="0" applyProtection="0"/>
    <xf numFmtId="361" fontId="17" fillId="30" borderId="0" applyNumberFormat="0" applyBorder="0" applyAlignment="0" applyProtection="0"/>
    <xf numFmtId="361" fontId="11" fillId="30" borderId="0" applyNumberFormat="0" applyBorder="0" applyAlignment="0" applyProtection="0"/>
    <xf numFmtId="361" fontId="17" fillId="23" borderId="0" applyNumberFormat="0" applyBorder="0" applyAlignment="0" applyProtection="0"/>
    <xf numFmtId="361" fontId="17" fillId="23" borderId="0" applyNumberFormat="0" applyBorder="0" applyAlignment="0" applyProtection="0"/>
    <xf numFmtId="361" fontId="11" fillId="23" borderId="0" applyNumberFormat="0" applyBorder="0" applyAlignment="0" applyProtection="0"/>
    <xf numFmtId="361" fontId="17" fillId="23" borderId="0" applyNumberFormat="0" applyBorder="0" applyAlignment="0" applyProtection="0"/>
    <xf numFmtId="361" fontId="17" fillId="23" borderId="0" applyNumberFormat="0" applyBorder="0" applyAlignment="0" applyProtection="0"/>
    <xf numFmtId="361" fontId="17" fillId="23" borderId="0" applyNumberFormat="0" applyBorder="0" applyAlignment="0" applyProtection="0"/>
    <xf numFmtId="361" fontId="17" fillId="23" borderId="0" applyNumberFormat="0" applyBorder="0" applyAlignment="0" applyProtection="0"/>
    <xf numFmtId="361" fontId="17" fillId="23" borderId="0" applyNumberFormat="0" applyBorder="0" applyAlignment="0" applyProtection="0"/>
    <xf numFmtId="361" fontId="11" fillId="23" borderId="0" applyNumberFormat="0" applyBorder="0" applyAlignment="0" applyProtection="0"/>
    <xf numFmtId="361" fontId="17" fillId="36" borderId="0" applyNumberFormat="0" applyBorder="0" applyAlignment="0" applyProtection="0"/>
    <xf numFmtId="361" fontId="17" fillId="36" borderId="0" applyNumberFormat="0" applyBorder="0" applyAlignment="0" applyProtection="0"/>
    <xf numFmtId="361" fontId="11" fillId="36" borderId="0" applyNumberFormat="0" applyBorder="0" applyAlignment="0" applyProtection="0"/>
    <xf numFmtId="361" fontId="17" fillId="36" borderId="0" applyNumberFormat="0" applyBorder="0" applyAlignment="0" applyProtection="0"/>
    <xf numFmtId="361" fontId="17" fillId="36" borderId="0" applyNumberFormat="0" applyBorder="0" applyAlignment="0" applyProtection="0"/>
    <xf numFmtId="361" fontId="17" fillId="36" borderId="0" applyNumberFormat="0" applyBorder="0" applyAlignment="0" applyProtection="0"/>
    <xf numFmtId="361" fontId="17" fillId="36" borderId="0" applyNumberFormat="0" applyBorder="0" applyAlignment="0" applyProtection="0"/>
    <xf numFmtId="361" fontId="17" fillId="36" borderId="0" applyNumberFormat="0" applyBorder="0" applyAlignment="0" applyProtection="0"/>
    <xf numFmtId="361" fontId="11" fillId="36" borderId="0" applyNumberFormat="0" applyBorder="0" applyAlignment="0" applyProtection="0"/>
    <xf numFmtId="361" fontId="141" fillId="39" borderId="0" applyNumberFormat="0" applyBorder="0" applyAlignment="0" applyProtection="0"/>
    <xf numFmtId="361" fontId="141" fillId="39" borderId="0" applyNumberFormat="0" applyBorder="0" applyAlignment="0" applyProtection="0"/>
    <xf numFmtId="361" fontId="304" fillId="39" borderId="0" applyNumberFormat="0" applyBorder="0" applyAlignment="0" applyProtection="0"/>
    <xf numFmtId="361" fontId="141" fillId="39" borderId="0" applyNumberFormat="0" applyBorder="0" applyAlignment="0" applyProtection="0"/>
    <xf numFmtId="361" fontId="141" fillId="39" borderId="0" applyNumberFormat="0" applyBorder="0" applyAlignment="0" applyProtection="0"/>
    <xf numFmtId="361" fontId="304" fillId="39" borderId="0" applyNumberFormat="0" applyBorder="0" applyAlignment="0" applyProtection="0"/>
    <xf numFmtId="361" fontId="141" fillId="35" borderId="0" applyNumberFormat="0" applyBorder="0" applyAlignment="0" applyProtection="0"/>
    <xf numFmtId="361" fontId="141" fillId="35" borderId="0" applyNumberFormat="0" applyBorder="0" applyAlignment="0" applyProtection="0"/>
    <xf numFmtId="361" fontId="304" fillId="35" borderId="0" applyNumberFormat="0" applyBorder="0" applyAlignment="0" applyProtection="0"/>
    <xf numFmtId="361" fontId="141" fillId="35" borderId="0" applyNumberFormat="0" applyBorder="0" applyAlignment="0" applyProtection="0"/>
    <xf numFmtId="361" fontId="141" fillId="35" borderId="0" applyNumberFormat="0" applyBorder="0" applyAlignment="0" applyProtection="0"/>
    <xf numFmtId="361" fontId="304" fillId="35" borderId="0" applyNumberFormat="0" applyBorder="0" applyAlignment="0" applyProtection="0"/>
    <xf numFmtId="361" fontId="141" fillId="34" borderId="0" applyNumberFormat="0" applyBorder="0" applyAlignment="0" applyProtection="0"/>
    <xf numFmtId="361" fontId="141" fillId="34" borderId="0" applyNumberFormat="0" applyBorder="0" applyAlignment="0" applyProtection="0"/>
    <xf numFmtId="361" fontId="304" fillId="34" borderId="0" applyNumberFormat="0" applyBorder="0" applyAlignment="0" applyProtection="0"/>
    <xf numFmtId="361" fontId="141" fillId="34" borderId="0" applyNumberFormat="0" applyBorder="0" applyAlignment="0" applyProtection="0"/>
    <xf numFmtId="361" fontId="141" fillId="34" borderId="0" applyNumberFormat="0" applyBorder="0" applyAlignment="0" applyProtection="0"/>
    <xf numFmtId="361" fontId="304" fillId="34" borderId="0" applyNumberFormat="0" applyBorder="0" applyAlignment="0" applyProtection="0"/>
    <xf numFmtId="361" fontId="141" fillId="40" borderId="0" applyNumberFormat="0" applyBorder="0" applyAlignment="0" applyProtection="0"/>
    <xf numFmtId="361" fontId="141" fillId="40" borderId="0" applyNumberFormat="0" applyBorder="0" applyAlignment="0" applyProtection="0"/>
    <xf numFmtId="361" fontId="304" fillId="40" borderId="0" applyNumberFormat="0" applyBorder="0" applyAlignment="0" applyProtection="0"/>
    <xf numFmtId="361" fontId="141" fillId="40" borderId="0" applyNumberFormat="0" applyBorder="0" applyAlignment="0" applyProtection="0"/>
    <xf numFmtId="361" fontId="141" fillId="40" borderId="0" applyNumberFormat="0" applyBorder="0" applyAlignment="0" applyProtection="0"/>
    <xf numFmtId="361" fontId="304" fillId="40" borderId="0" applyNumberFormat="0" applyBorder="0" applyAlignment="0" applyProtection="0"/>
    <xf numFmtId="361" fontId="141" fillId="41" borderId="0" applyNumberFormat="0" applyBorder="0" applyAlignment="0" applyProtection="0"/>
    <xf numFmtId="361" fontId="141" fillId="41" borderId="0" applyNumberFormat="0" applyBorder="0" applyAlignment="0" applyProtection="0"/>
    <xf numFmtId="361" fontId="304" fillId="41" borderId="0" applyNumberFormat="0" applyBorder="0" applyAlignment="0" applyProtection="0"/>
    <xf numFmtId="361" fontId="141" fillId="41" borderId="0" applyNumberFormat="0" applyBorder="0" applyAlignment="0" applyProtection="0"/>
    <xf numFmtId="361" fontId="141" fillId="41" borderId="0" applyNumberFormat="0" applyBorder="0" applyAlignment="0" applyProtection="0"/>
    <xf numFmtId="361" fontId="304" fillId="41" borderId="0" applyNumberFormat="0" applyBorder="0" applyAlignment="0" applyProtection="0"/>
    <xf numFmtId="361" fontId="141" fillId="25" borderId="0" applyNumberFormat="0" applyBorder="0" applyAlignment="0" applyProtection="0"/>
    <xf numFmtId="361" fontId="141" fillId="25" borderId="0" applyNumberFormat="0" applyBorder="0" applyAlignment="0" applyProtection="0"/>
    <xf numFmtId="361" fontId="304" fillId="25" borderId="0" applyNumberFormat="0" applyBorder="0" applyAlignment="0" applyProtection="0"/>
    <xf numFmtId="361" fontId="141" fillId="25" borderId="0" applyNumberFormat="0" applyBorder="0" applyAlignment="0" applyProtection="0"/>
    <xf numFmtId="361" fontId="141" fillId="25" borderId="0" applyNumberFormat="0" applyBorder="0" applyAlignment="0" applyProtection="0"/>
    <xf numFmtId="361" fontId="304" fillId="25" borderId="0" applyNumberFormat="0" applyBorder="0" applyAlignment="0" applyProtection="0"/>
    <xf numFmtId="361" fontId="159" fillId="0" borderId="0" applyNumberFormat="0" applyFill="0" applyBorder="0" applyAlignment="0" applyProtection="0">
      <alignment vertical="top"/>
      <protection locked="0"/>
    </xf>
    <xf numFmtId="361" fontId="53" fillId="52" borderId="0"/>
    <xf numFmtId="361" fontId="45" fillId="52" borderId="0"/>
    <xf numFmtId="361" fontId="45" fillId="52" borderId="0"/>
    <xf numFmtId="361" fontId="45" fillId="52" borderId="0"/>
    <xf numFmtId="361" fontId="365" fillId="52" borderId="0"/>
    <xf numFmtId="361" fontId="56" fillId="100" borderId="0"/>
    <xf numFmtId="361" fontId="160" fillId="100" borderId="0"/>
    <xf numFmtId="361" fontId="53" fillId="52" borderId="0"/>
    <xf numFmtId="361" fontId="53" fillId="52" borderId="0"/>
    <xf numFmtId="361" fontId="53" fillId="52" borderId="0"/>
    <xf numFmtId="361" fontId="53" fillId="52" borderId="0"/>
    <xf numFmtId="361" fontId="53" fillId="52" borderId="0"/>
    <xf numFmtId="361" fontId="365" fillId="52" borderId="0"/>
    <xf numFmtId="361" fontId="167" fillId="52" borderId="0"/>
    <xf numFmtId="361" fontId="167" fillId="52" borderId="0"/>
    <xf numFmtId="361" fontId="366" fillId="52" borderId="0"/>
    <xf numFmtId="361" fontId="167" fillId="100" borderId="0"/>
    <xf numFmtId="361" fontId="167" fillId="100" borderId="0"/>
    <xf numFmtId="361" fontId="366" fillId="100" borderId="0"/>
    <xf numFmtId="361" fontId="167" fillId="52" borderId="0"/>
    <xf numFmtId="361" fontId="366" fillId="52" borderId="0"/>
    <xf numFmtId="361" fontId="32" fillId="0" borderId="0" applyFill="0" applyBorder="0" applyAlignment="0"/>
    <xf numFmtId="0" fontId="6" fillId="0" borderId="0"/>
    <xf numFmtId="0" fontId="14" fillId="0" borderId="0"/>
    <xf numFmtId="0" fontId="5" fillId="0" borderId="0"/>
    <xf numFmtId="0" fontId="7" fillId="0" borderId="0"/>
    <xf numFmtId="0" fontId="14" fillId="0" borderId="0"/>
    <xf numFmtId="0" fontId="4" fillId="0" borderId="0"/>
    <xf numFmtId="0" fontId="3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14" fillId="0" borderId="0"/>
    <xf numFmtId="0" fontId="376" fillId="0" borderId="0"/>
    <xf numFmtId="0" fontId="379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0" fontId="1" fillId="0" borderId="0"/>
    <xf numFmtId="0" fontId="1" fillId="0" borderId="0"/>
    <xf numFmtId="277" fontId="7" fillId="0" borderId="0" applyFont="0" applyFill="0" applyBorder="0" applyAlignment="0" applyProtection="0"/>
    <xf numFmtId="0" fontId="382" fillId="0" borderId="0"/>
    <xf numFmtId="43" fontId="382" fillId="0" borderId="0" applyFont="0" applyFill="0" applyBorder="0" applyAlignment="0" applyProtection="0"/>
    <xf numFmtId="9" fontId="382" fillId="0" borderId="0" applyFont="0" applyFill="0" applyBorder="0" applyAlignment="0" applyProtection="0"/>
    <xf numFmtId="0" fontId="7" fillId="0" borderId="0"/>
    <xf numFmtId="0" fontId="384" fillId="0" borderId="0"/>
    <xf numFmtId="0" fontId="15" fillId="0" borderId="0"/>
    <xf numFmtId="9" fontId="7" fillId="0" borderId="0" applyFont="0" applyFill="0" applyBorder="0" applyAlignment="0" applyProtection="0"/>
  </cellStyleXfs>
  <cellXfs count="196">
    <xf numFmtId="0" fontId="0" fillId="0" borderId="0" xfId="0"/>
    <xf numFmtId="0" fontId="371" fillId="0" borderId="0" xfId="0" applyFont="1"/>
    <xf numFmtId="168" fontId="371" fillId="0" borderId="0" xfId="0" applyNumberFormat="1" applyFont="1"/>
    <xf numFmtId="0" fontId="371" fillId="0" borderId="0" xfId="0" applyFont="1" applyFill="1"/>
    <xf numFmtId="0" fontId="375" fillId="0" borderId="0" xfId="0" applyFont="1"/>
    <xf numFmtId="0" fontId="371" fillId="0" borderId="0" xfId="0" applyFont="1" applyAlignment="1">
      <alignment vertical="center"/>
    </xf>
    <xf numFmtId="4" fontId="371" fillId="0" borderId="0" xfId="0" applyNumberFormat="1" applyFont="1"/>
    <xf numFmtId="0" fontId="371" fillId="0" borderId="0" xfId="0" applyFont="1" applyBorder="1"/>
    <xf numFmtId="0" fontId="377" fillId="0" borderId="0" xfId="5577" applyFont="1"/>
    <xf numFmtId="0" fontId="371" fillId="0" borderId="0" xfId="0" applyFont="1" applyAlignment="1">
      <alignment horizontal="center"/>
    </xf>
    <xf numFmtId="0" fontId="372" fillId="0" borderId="0" xfId="0" applyFont="1"/>
    <xf numFmtId="3" fontId="371" fillId="0" borderId="0" xfId="0" applyNumberFormat="1" applyFont="1" applyAlignment="1">
      <alignment horizontal="right"/>
    </xf>
    <xf numFmtId="0" fontId="372" fillId="0" borderId="0" xfId="0" applyFont="1" applyAlignment="1">
      <alignment horizontal="left"/>
    </xf>
    <xf numFmtId="0" fontId="371" fillId="0" borderId="0" xfId="0" applyFont="1" applyAlignment="1">
      <alignment horizontal="left"/>
    </xf>
    <xf numFmtId="0" fontId="367" fillId="102" borderId="0" xfId="5577" applyFont="1" applyFill="1" applyAlignment="1">
      <alignment horizontal="centerContinuous"/>
    </xf>
    <xf numFmtId="0" fontId="367" fillId="102" borderId="26" xfId="5577" applyFont="1" applyFill="1" applyBorder="1" applyAlignment="1">
      <alignment horizontal="right" vertical="center" wrapText="1"/>
    </xf>
    <xf numFmtId="0" fontId="371" fillId="0" borderId="0" xfId="0" applyFont="1" applyAlignment="1">
      <alignment horizontal="right"/>
    </xf>
    <xf numFmtId="168" fontId="371" fillId="0" borderId="0" xfId="0" applyNumberFormat="1" applyFont="1" applyAlignment="1">
      <alignment horizontal="right"/>
    </xf>
    <xf numFmtId="0" fontId="371" fillId="103" borderId="0" xfId="0" applyFont="1" applyFill="1"/>
    <xf numFmtId="0" fontId="371" fillId="0" borderId="0" xfId="0" applyFont="1" applyFill="1" applyAlignment="1">
      <alignment horizontal="right"/>
    </xf>
    <xf numFmtId="168" fontId="371" fillId="0" borderId="0" xfId="0" applyNumberFormat="1" applyFont="1" applyFill="1" applyAlignment="1">
      <alignment horizontal="right"/>
    </xf>
    <xf numFmtId="168" fontId="372" fillId="0" borderId="0" xfId="0" applyNumberFormat="1" applyFont="1" applyAlignment="1">
      <alignment horizontal="right"/>
    </xf>
    <xf numFmtId="0" fontId="372" fillId="0" borderId="0" xfId="0" applyFont="1" applyAlignment="1">
      <alignment horizontal="right"/>
    </xf>
    <xf numFmtId="0" fontId="371" fillId="0" borderId="92" xfId="0" applyFont="1" applyBorder="1" applyAlignment="1">
      <alignment horizontal="right"/>
    </xf>
    <xf numFmtId="0" fontId="371" fillId="0" borderId="92" xfId="0" applyFont="1" applyFill="1" applyBorder="1"/>
    <xf numFmtId="168" fontId="371" fillId="0" borderId="92" xfId="0" applyNumberFormat="1" applyFont="1" applyBorder="1" applyAlignment="1">
      <alignment horizontal="right"/>
    </xf>
    <xf numFmtId="168" fontId="369" fillId="0" borderId="92" xfId="0" applyNumberFormat="1" applyFont="1" applyBorder="1" applyAlignment="1">
      <alignment horizontal="right"/>
    </xf>
    <xf numFmtId="168" fontId="369" fillId="0" borderId="0" xfId="0" applyNumberFormat="1" applyFont="1" applyAlignment="1">
      <alignment horizontal="right"/>
    </xf>
    <xf numFmtId="168" fontId="371" fillId="0" borderId="92" xfId="0" applyNumberFormat="1" applyFont="1" applyFill="1" applyBorder="1" applyAlignment="1">
      <alignment horizontal="right"/>
    </xf>
    <xf numFmtId="168" fontId="369" fillId="0" borderId="92" xfId="0" applyNumberFormat="1" applyFont="1" applyFill="1" applyBorder="1" applyAlignment="1">
      <alignment horizontal="right"/>
    </xf>
    <xf numFmtId="168" fontId="369" fillId="0" borderId="0" xfId="0" applyNumberFormat="1" applyFont="1" applyFill="1" applyAlignment="1">
      <alignment horizontal="right"/>
    </xf>
    <xf numFmtId="0" fontId="371" fillId="0" borderId="92" xfId="0" applyFont="1" applyBorder="1" applyAlignment="1">
      <alignment horizontal="left"/>
    </xf>
    <xf numFmtId="0" fontId="371" fillId="0" borderId="0" xfId="0" applyFont="1" applyFill="1" applyBorder="1" applyAlignment="1">
      <alignment horizontal="center"/>
    </xf>
    <xf numFmtId="168" fontId="368" fillId="0" borderId="0" xfId="0" applyNumberFormat="1" applyFont="1" applyFill="1" applyAlignment="1">
      <alignment horizontal="right"/>
    </xf>
    <xf numFmtId="0" fontId="371" fillId="0" borderId="26" xfId="0" applyFont="1" applyBorder="1" applyAlignment="1">
      <alignment horizontal="right"/>
    </xf>
    <xf numFmtId="168" fontId="371" fillId="0" borderId="26" xfId="0" applyNumberFormat="1" applyFont="1" applyBorder="1" applyAlignment="1">
      <alignment horizontal="right"/>
    </xf>
    <xf numFmtId="0" fontId="371" fillId="0" borderId="0" xfId="0" applyFont="1" applyBorder="1" applyAlignment="1">
      <alignment horizontal="right"/>
    </xf>
    <xf numFmtId="0" fontId="371" fillId="0" borderId="90" xfId="0" applyFont="1" applyBorder="1" applyAlignment="1">
      <alignment horizontal="right"/>
    </xf>
    <xf numFmtId="168" fontId="371" fillId="0" borderId="90" xfId="0" applyNumberFormat="1" applyFont="1" applyBorder="1" applyAlignment="1">
      <alignment horizontal="right"/>
    </xf>
    <xf numFmtId="0" fontId="371" fillId="103" borderId="0" xfId="0" applyFont="1" applyFill="1" applyAlignment="1">
      <alignment horizontal="center"/>
    </xf>
    <xf numFmtId="0" fontId="371" fillId="103" borderId="0" xfId="0" applyFont="1" applyFill="1" applyAlignment="1">
      <alignment horizontal="right"/>
    </xf>
    <xf numFmtId="168" fontId="369" fillId="0" borderId="0" xfId="0" applyNumberFormat="1" applyFont="1" applyBorder="1" applyAlignment="1">
      <alignment horizontal="right"/>
    </xf>
    <xf numFmtId="168" fontId="371" fillId="0" borderId="0" xfId="0" applyNumberFormat="1" applyFont="1" applyBorder="1" applyAlignment="1">
      <alignment horizontal="right"/>
    </xf>
    <xf numFmtId="168" fontId="369" fillId="0" borderId="26" xfId="0" applyNumberFormat="1" applyFont="1" applyFill="1" applyBorder="1" applyAlignment="1">
      <alignment horizontal="right"/>
    </xf>
    <xf numFmtId="0" fontId="369" fillId="0" borderId="0" xfId="0" applyFont="1" applyAlignment="1">
      <alignment horizontal="right"/>
    </xf>
    <xf numFmtId="168" fontId="369" fillId="103" borderId="0" xfId="0" applyNumberFormat="1" applyFont="1" applyFill="1" applyAlignment="1">
      <alignment horizontal="right"/>
    </xf>
    <xf numFmtId="3" fontId="369" fillId="0" borderId="0" xfId="0" applyNumberFormat="1" applyFont="1" applyAlignment="1">
      <alignment horizontal="right"/>
    </xf>
    <xf numFmtId="0" fontId="369" fillId="102" borderId="0" xfId="5577" applyFont="1" applyFill="1" applyAlignment="1">
      <alignment horizontal="centerContinuous"/>
    </xf>
    <xf numFmtId="168" fontId="369" fillId="0" borderId="90" xfId="0" applyNumberFormat="1" applyFont="1" applyBorder="1" applyAlignment="1">
      <alignment horizontal="right"/>
    </xf>
    <xf numFmtId="168" fontId="369" fillId="0" borderId="26" xfId="0" applyNumberFormat="1" applyFont="1" applyBorder="1" applyAlignment="1">
      <alignment horizontal="right"/>
    </xf>
    <xf numFmtId="0" fontId="369" fillId="0" borderId="0" xfId="0" applyFont="1" applyFill="1" applyAlignment="1">
      <alignment horizontal="right"/>
    </xf>
    <xf numFmtId="0" fontId="369" fillId="0" borderId="92" xfId="0" applyFont="1" applyFill="1" applyBorder="1" applyAlignment="1">
      <alignment horizontal="right"/>
    </xf>
    <xf numFmtId="168" fontId="371" fillId="101" borderId="0" xfId="0" applyNumberFormat="1" applyFont="1" applyFill="1" applyAlignment="1">
      <alignment horizontal="right"/>
    </xf>
    <xf numFmtId="168" fontId="371" fillId="101" borderId="92" xfId="0" applyNumberFormat="1" applyFont="1" applyFill="1" applyBorder="1" applyAlignment="1">
      <alignment horizontal="right"/>
    </xf>
    <xf numFmtId="0" fontId="372" fillId="0" borderId="0" xfId="0" applyFont="1" applyAlignment="1"/>
    <xf numFmtId="0" fontId="380" fillId="0" borderId="0" xfId="0" applyFont="1"/>
    <xf numFmtId="168" fontId="370" fillId="0" borderId="0" xfId="0" applyNumberFormat="1" applyFont="1" applyAlignment="1">
      <alignment horizontal="right"/>
    </xf>
    <xf numFmtId="0" fontId="374" fillId="0" borderId="0" xfId="0" applyFont="1" applyAlignment="1">
      <alignment horizontal="right"/>
    </xf>
    <xf numFmtId="168" fontId="374" fillId="0" borderId="0" xfId="0" applyNumberFormat="1" applyFont="1" applyAlignment="1">
      <alignment horizontal="right"/>
    </xf>
    <xf numFmtId="0" fontId="378" fillId="102" borderId="0" xfId="5577" applyFont="1" applyFill="1" applyAlignment="1">
      <alignment horizontal="center"/>
    </xf>
    <xf numFmtId="168" fontId="374" fillId="0" borderId="92" xfId="0" applyNumberFormat="1" applyFont="1" applyBorder="1" applyAlignment="1">
      <alignment horizontal="right"/>
    </xf>
    <xf numFmtId="3" fontId="374" fillId="0" borderId="0" xfId="0" applyNumberFormat="1" applyFont="1" applyAlignment="1">
      <alignment horizontal="right"/>
    </xf>
    <xf numFmtId="0" fontId="367" fillId="102" borderId="26" xfId="5577" applyFont="1" applyFill="1" applyBorder="1" applyAlignment="1">
      <alignment vertical="center" wrapText="1"/>
    </xf>
    <xf numFmtId="0" fontId="367" fillId="102" borderId="93" xfId="5577" applyFont="1" applyFill="1" applyBorder="1" applyAlignment="1">
      <alignment horizontal="center" vertical="center" wrapText="1"/>
    </xf>
    <xf numFmtId="0" fontId="371" fillId="0" borderId="0" xfId="0" applyFont="1" applyBorder="1" applyAlignment="1">
      <alignment horizontal="left"/>
    </xf>
    <xf numFmtId="0" fontId="367" fillId="102" borderId="96" xfId="5577" applyFont="1" applyFill="1" applyBorder="1" applyAlignment="1">
      <alignment horizontal="center"/>
    </xf>
    <xf numFmtId="0" fontId="372" fillId="0" borderId="96" xfId="0" applyFont="1" applyBorder="1" applyAlignment="1">
      <alignment horizontal="center"/>
    </xf>
    <xf numFmtId="0" fontId="371" fillId="0" borderId="95" xfId="0" applyFont="1" applyBorder="1" applyAlignment="1">
      <alignment horizontal="center"/>
    </xf>
    <xf numFmtId="0" fontId="371" fillId="0" borderId="96" xfId="0" applyFont="1" applyBorder="1" applyAlignment="1">
      <alignment horizontal="center"/>
    </xf>
    <xf numFmtId="0" fontId="371" fillId="0" borderId="95" xfId="0" applyFont="1" applyFill="1" applyBorder="1" applyAlignment="1">
      <alignment horizontal="center"/>
    </xf>
    <xf numFmtId="0" fontId="371" fillId="0" borderId="93" xfId="0" applyFont="1" applyBorder="1" applyAlignment="1">
      <alignment horizontal="center"/>
    </xf>
    <xf numFmtId="0" fontId="371" fillId="0" borderId="98" xfId="0" applyFont="1" applyBorder="1" applyAlignment="1">
      <alignment horizontal="center"/>
    </xf>
    <xf numFmtId="0" fontId="367" fillId="104" borderId="94" xfId="5580" applyFont="1" applyFill="1" applyBorder="1" applyAlignment="1">
      <alignment horizontal="center" vertical="center"/>
    </xf>
    <xf numFmtId="0" fontId="371" fillId="0" borderId="0" xfId="5580" applyFont="1"/>
    <xf numFmtId="168" fontId="371" fillId="0" borderId="0" xfId="5580" applyNumberFormat="1" applyFont="1"/>
    <xf numFmtId="0" fontId="367" fillId="102" borderId="0" xfId="5580" applyFont="1" applyFill="1" applyAlignment="1">
      <alignment horizontal="centerContinuous"/>
    </xf>
    <xf numFmtId="168" fontId="369" fillId="0" borderId="0" xfId="5580" applyNumberFormat="1" applyFont="1"/>
    <xf numFmtId="0" fontId="371" fillId="0" borderId="89" xfId="5580" applyFont="1" applyBorder="1" applyAlignment="1">
      <alignment horizontal="center"/>
    </xf>
    <xf numFmtId="0" fontId="372" fillId="0" borderId="92" xfId="5580" applyFont="1" applyBorder="1"/>
    <xf numFmtId="0" fontId="371" fillId="0" borderId="92" xfId="5580" applyFont="1" applyBorder="1"/>
    <xf numFmtId="0" fontId="371" fillId="0" borderId="0" xfId="5580" applyFont="1" applyAlignment="1">
      <alignment vertical="center"/>
    </xf>
    <xf numFmtId="168" fontId="371" fillId="0" borderId="0" xfId="5580" applyNumberFormat="1" applyFont="1" applyFill="1" applyAlignment="1">
      <alignment vertical="center"/>
    </xf>
    <xf numFmtId="0" fontId="371" fillId="0" borderId="92" xfId="5581" applyFont="1" applyBorder="1"/>
    <xf numFmtId="0" fontId="371" fillId="0" borderId="0" xfId="5580" applyFont="1" applyFill="1"/>
    <xf numFmtId="168" fontId="371" fillId="0" borderId="0" xfId="5580" applyNumberFormat="1" applyFont="1" applyFill="1"/>
    <xf numFmtId="0" fontId="371" fillId="0" borderId="0" xfId="5580" applyFont="1" applyBorder="1"/>
    <xf numFmtId="0" fontId="368" fillId="0" borderId="0" xfId="5580" applyFont="1"/>
    <xf numFmtId="0" fontId="368" fillId="0" borderId="0" xfId="5580" applyFont="1" applyAlignment="1">
      <alignment vertical="center"/>
    </xf>
    <xf numFmtId="0" fontId="373" fillId="0" borderId="0" xfId="5580" applyFont="1"/>
    <xf numFmtId="0" fontId="371" fillId="0" borderId="0" xfId="5580" applyFont="1" applyFill="1" applyAlignment="1">
      <alignment vertical="center"/>
    </xf>
    <xf numFmtId="0" fontId="371" fillId="0" borderId="0" xfId="5580" applyFont="1" applyFill="1" applyBorder="1"/>
    <xf numFmtId="168" fontId="372" fillId="0" borderId="0" xfId="5580" applyNumberFormat="1" applyFont="1" applyFill="1"/>
    <xf numFmtId="0" fontId="372" fillId="0" borderId="0" xfId="5580" applyFont="1" applyBorder="1"/>
    <xf numFmtId="0" fontId="368" fillId="0" borderId="96" xfId="5580" applyFont="1" applyBorder="1" applyAlignment="1">
      <alignment horizontal="center" vertical="center"/>
    </xf>
    <xf numFmtId="0" fontId="368" fillId="0" borderId="97" xfId="5580" applyFont="1" applyBorder="1" applyAlignment="1">
      <alignment horizontal="center" vertical="center"/>
    </xf>
    <xf numFmtId="0" fontId="371" fillId="0" borderId="0" xfId="5580" applyFont="1" applyBorder="1" applyAlignment="1">
      <alignment horizontal="left"/>
    </xf>
    <xf numFmtId="0" fontId="371" fillId="0" borderId="90" xfId="5580" applyFont="1" applyBorder="1"/>
    <xf numFmtId="168" fontId="371" fillId="0" borderId="91" xfId="5580" applyNumberFormat="1" applyFont="1" applyBorder="1"/>
    <xf numFmtId="0" fontId="371" fillId="0" borderId="91" xfId="5580" applyFont="1" applyBorder="1"/>
    <xf numFmtId="0" fontId="368" fillId="0" borderId="91" xfId="5580" applyFont="1" applyBorder="1"/>
    <xf numFmtId="0" fontId="368" fillId="0" borderId="91" xfId="5580" applyFont="1" applyBorder="1" applyAlignment="1">
      <alignment vertical="center"/>
    </xf>
    <xf numFmtId="168" fontId="369" fillId="0" borderId="91" xfId="5580" applyNumberFormat="1" applyFont="1" applyBorder="1"/>
    <xf numFmtId="0" fontId="371" fillId="0" borderId="91" xfId="5580" applyFont="1" applyBorder="1" applyAlignment="1">
      <alignment horizontal="left"/>
    </xf>
    <xf numFmtId="0" fontId="371" fillId="0" borderId="0" xfId="5580" applyFont="1" applyBorder="1" applyAlignment="1">
      <alignment horizontal="center"/>
    </xf>
    <xf numFmtId="0" fontId="371" fillId="0" borderId="0" xfId="5581" applyFont="1" applyBorder="1"/>
    <xf numFmtId="9" fontId="371" fillId="0" borderId="0" xfId="0" applyNumberFormat="1" applyFont="1"/>
    <xf numFmtId="168" fontId="371" fillId="0" borderId="0" xfId="0" applyNumberFormat="1" applyFont="1" applyFill="1" applyBorder="1" applyAlignment="1">
      <alignment horizontal="right"/>
    </xf>
    <xf numFmtId="168" fontId="369" fillId="0" borderId="0" xfId="0" applyNumberFormat="1" applyFont="1" applyFill="1" applyBorder="1" applyAlignment="1">
      <alignment horizontal="right"/>
    </xf>
    <xf numFmtId="0" fontId="372" fillId="0" borderId="0" xfId="0" applyFont="1" applyBorder="1" applyAlignment="1">
      <alignment horizontal="right"/>
    </xf>
    <xf numFmtId="0" fontId="371" fillId="0" borderId="92" xfId="5580" applyFont="1" applyFill="1" applyBorder="1"/>
    <xf numFmtId="9" fontId="371" fillId="0" borderId="0" xfId="2805" applyFont="1" applyFill="1"/>
    <xf numFmtId="0" fontId="371" fillId="0" borderId="0" xfId="5580" applyFont="1" applyFill="1" applyBorder="1" applyAlignment="1">
      <alignment vertical="center"/>
    </xf>
    <xf numFmtId="0" fontId="372" fillId="0" borderId="0" xfId="5580" applyFont="1" applyBorder="1" applyAlignment="1">
      <alignment horizontal="left"/>
    </xf>
    <xf numFmtId="0" fontId="372" fillId="0" borderId="0" xfId="5580" applyFont="1" applyFill="1" applyAlignment="1">
      <alignment vertical="center"/>
    </xf>
    <xf numFmtId="168" fontId="372" fillId="0" borderId="0" xfId="0" applyNumberFormat="1" applyFont="1"/>
    <xf numFmtId="0" fontId="372" fillId="0" borderId="0" xfId="5580" applyFont="1" applyFill="1" applyBorder="1" applyAlignment="1">
      <alignment vertical="center"/>
    </xf>
    <xf numFmtId="168" fontId="375" fillId="0" borderId="0" xfId="0" applyNumberFormat="1" applyFont="1"/>
    <xf numFmtId="0" fontId="381" fillId="0" borderId="0" xfId="5580" applyFont="1" applyFill="1" applyAlignment="1">
      <alignment vertical="center"/>
    </xf>
    <xf numFmtId="0" fontId="381" fillId="0" borderId="89" xfId="5580" applyFont="1" applyBorder="1" applyAlignment="1">
      <alignment horizontal="center"/>
    </xf>
    <xf numFmtId="168" fontId="381" fillId="0" borderId="0" xfId="0" applyNumberFormat="1" applyFont="1"/>
    <xf numFmtId="0" fontId="381" fillId="0" borderId="0" xfId="0" applyFont="1"/>
    <xf numFmtId="0" fontId="381" fillId="0" borderId="0" xfId="5580" applyFont="1" applyBorder="1" applyAlignment="1">
      <alignment horizontal="center"/>
    </xf>
    <xf numFmtId="0" fontId="372" fillId="0" borderId="0" xfId="5580" applyFont="1" applyBorder="1" applyAlignment="1">
      <alignment horizontal="center"/>
    </xf>
    <xf numFmtId="0" fontId="367" fillId="102" borderId="0" xfId="5580" applyFont="1" applyFill="1" applyAlignment="1">
      <alignment horizontal="left"/>
    </xf>
    <xf numFmtId="0" fontId="385" fillId="107" borderId="105" xfId="0" applyFont="1" applyFill="1" applyBorder="1" applyAlignment="1">
      <alignment horizontal="center" vertical="center" wrapText="1"/>
    </xf>
    <xf numFmtId="0" fontId="385" fillId="107" borderId="106" xfId="0" applyFont="1" applyFill="1" applyBorder="1" applyAlignment="1">
      <alignment horizontal="center" vertical="center" wrapText="1"/>
    </xf>
    <xf numFmtId="0" fontId="386" fillId="108" borderId="107" xfId="0" applyFont="1" applyFill="1" applyBorder="1" applyAlignment="1">
      <alignment horizontal="left" wrapText="1"/>
    </xf>
    <xf numFmtId="0" fontId="386" fillId="109" borderId="107" xfId="0" applyFont="1" applyFill="1" applyBorder="1" applyAlignment="1">
      <alignment horizontal="left" wrapText="1"/>
    </xf>
    <xf numFmtId="0" fontId="386" fillId="109" borderId="105" xfId="0" applyFont="1" applyFill="1" applyBorder="1" applyAlignment="1">
      <alignment horizontal="right" wrapText="1"/>
    </xf>
    <xf numFmtId="0" fontId="386" fillId="108" borderId="105" xfId="0" applyFont="1" applyFill="1" applyBorder="1" applyAlignment="1">
      <alignment horizontal="right" wrapText="1"/>
    </xf>
    <xf numFmtId="0" fontId="387" fillId="108" borderId="108" xfId="0" applyFont="1" applyFill="1" applyBorder="1" applyAlignment="1">
      <alignment horizontal="right" wrapText="1"/>
    </xf>
    <xf numFmtId="0" fontId="388" fillId="108" borderId="108" xfId="0" applyFont="1" applyFill="1" applyBorder="1" applyAlignment="1">
      <alignment horizontal="right" wrapText="1"/>
    </xf>
    <xf numFmtId="0" fontId="387" fillId="109" borderId="108" xfId="0" applyFont="1" applyFill="1" applyBorder="1" applyAlignment="1">
      <alignment horizontal="right" wrapText="1"/>
    </xf>
    <xf numFmtId="0" fontId="388" fillId="109" borderId="108" xfId="0" applyFont="1" applyFill="1" applyBorder="1" applyAlignment="1">
      <alignment horizontal="right" wrapText="1"/>
    </xf>
    <xf numFmtId="0" fontId="386" fillId="109" borderId="109" xfId="0" applyFont="1" applyFill="1" applyBorder="1" applyAlignment="1">
      <alignment horizontal="left" wrapText="1"/>
    </xf>
    <xf numFmtId="0" fontId="386" fillId="109" borderId="110" xfId="0" applyFont="1" applyFill="1" applyBorder="1" applyAlignment="1">
      <alignment horizontal="right" wrapText="1"/>
    </xf>
    <xf numFmtId="0" fontId="385" fillId="107" borderId="104" xfId="0" applyFont="1" applyFill="1" applyBorder="1" applyAlignment="1">
      <alignment vertical="center" wrapText="1"/>
    </xf>
    <xf numFmtId="4" fontId="0" fillId="0" borderId="0" xfId="0" applyNumberFormat="1"/>
    <xf numFmtId="0" fontId="386" fillId="108" borderId="109" xfId="0" applyFont="1" applyFill="1" applyBorder="1" applyAlignment="1">
      <alignment horizontal="left" wrapText="1"/>
    </xf>
    <xf numFmtId="0" fontId="386" fillId="109" borderId="108" xfId="0" applyFont="1" applyFill="1" applyBorder="1" applyAlignment="1">
      <alignment horizontal="right" wrapText="1"/>
    </xf>
    <xf numFmtId="0" fontId="388" fillId="109" borderId="105" xfId="0" applyFont="1" applyFill="1" applyBorder="1" applyAlignment="1">
      <alignment horizontal="right" wrapText="1"/>
    </xf>
    <xf numFmtId="0" fontId="386" fillId="108" borderId="108" xfId="0" applyFont="1" applyFill="1" applyBorder="1" applyAlignment="1">
      <alignment horizontal="right" wrapText="1"/>
    </xf>
    <xf numFmtId="0" fontId="387" fillId="108" borderId="105" xfId="0" applyFont="1" applyFill="1" applyBorder="1" applyAlignment="1">
      <alignment horizontal="right" wrapText="1"/>
    </xf>
    <xf numFmtId="0" fontId="388" fillId="108" borderId="105" xfId="0" applyFont="1" applyFill="1" applyBorder="1" applyAlignment="1">
      <alignment horizontal="right" wrapText="1"/>
    </xf>
    <xf numFmtId="0" fontId="387" fillId="109" borderId="105" xfId="0" applyFont="1" applyFill="1" applyBorder="1" applyAlignment="1">
      <alignment horizontal="right" wrapText="1"/>
    </xf>
    <xf numFmtId="0" fontId="386" fillId="108" borderId="110" xfId="0" applyFont="1" applyFill="1" applyBorder="1" applyAlignment="1">
      <alignment horizontal="right" wrapText="1"/>
    </xf>
    <xf numFmtId="0" fontId="380" fillId="0" borderId="0" xfId="5580" applyFont="1" applyBorder="1"/>
    <xf numFmtId="0" fontId="372" fillId="0" borderId="92" xfId="0" applyFont="1" applyBorder="1" applyAlignment="1">
      <alignment horizontal="right"/>
    </xf>
    <xf numFmtId="0" fontId="369" fillId="0" borderId="92" xfId="0" applyFont="1" applyBorder="1" applyAlignment="1">
      <alignment horizontal="right"/>
    </xf>
    <xf numFmtId="168" fontId="372" fillId="0" borderId="92" xfId="0" applyNumberFormat="1" applyFont="1" applyBorder="1" applyAlignment="1">
      <alignment horizontal="right"/>
    </xf>
    <xf numFmtId="168" fontId="369" fillId="0" borderId="91" xfId="0" applyNumberFormat="1" applyFont="1" applyFill="1" applyBorder="1" applyAlignment="1">
      <alignment horizontal="right"/>
    </xf>
    <xf numFmtId="168" fontId="371" fillId="0" borderId="91" xfId="0" applyNumberFormat="1" applyFont="1" applyBorder="1" applyAlignment="1">
      <alignment horizontal="right"/>
    </xf>
    <xf numFmtId="0" fontId="368" fillId="0" borderId="26" xfId="5580" applyFont="1" applyBorder="1" applyAlignment="1">
      <alignment vertical="center"/>
    </xf>
    <xf numFmtId="0" fontId="368" fillId="0" borderId="26" xfId="5580" applyFont="1" applyBorder="1"/>
    <xf numFmtId="0" fontId="369" fillId="0" borderId="26" xfId="0" applyFont="1" applyFill="1" applyBorder="1" applyAlignment="1">
      <alignment horizontal="right"/>
    </xf>
    <xf numFmtId="0" fontId="368" fillId="0" borderId="115" xfId="5580" applyFont="1" applyBorder="1" applyAlignment="1">
      <alignment vertical="center"/>
    </xf>
    <xf numFmtId="0" fontId="368" fillId="0" borderId="115" xfId="5580" applyFont="1" applyBorder="1"/>
    <xf numFmtId="0" fontId="368" fillId="0" borderId="116" xfId="5580" applyFont="1" applyBorder="1" applyAlignment="1">
      <alignment horizontal="center" vertical="center"/>
    </xf>
    <xf numFmtId="168" fontId="371" fillId="0" borderId="115" xfId="5580" applyNumberFormat="1" applyFont="1" applyBorder="1"/>
    <xf numFmtId="168" fontId="369" fillId="0" borderId="115" xfId="5580" applyNumberFormat="1" applyFont="1" applyBorder="1"/>
    <xf numFmtId="0" fontId="371" fillId="0" borderId="115" xfId="5580" applyFont="1" applyBorder="1"/>
    <xf numFmtId="168" fontId="374" fillId="0" borderId="90" xfId="0" applyNumberFormat="1" applyFont="1" applyBorder="1" applyAlignment="1">
      <alignment horizontal="right"/>
    </xf>
    <xf numFmtId="168" fontId="374" fillId="0" borderId="26" xfId="0" applyNumberFormat="1" applyFont="1" applyBorder="1" applyAlignment="1">
      <alignment horizontal="right"/>
    </xf>
    <xf numFmtId="0" fontId="371" fillId="0" borderId="116" xfId="0" applyFont="1" applyBorder="1" applyAlignment="1">
      <alignment horizontal="center"/>
    </xf>
    <xf numFmtId="0" fontId="371" fillId="0" borderId="115" xfId="0" applyFont="1" applyBorder="1" applyAlignment="1">
      <alignment horizontal="right"/>
    </xf>
    <xf numFmtId="0" fontId="372" fillId="105" borderId="99" xfId="0" applyFont="1" applyFill="1" applyBorder="1" applyAlignment="1">
      <alignment horizontal="center" vertical="center"/>
    </xf>
    <xf numFmtId="0" fontId="383" fillId="105" borderId="114" xfId="0" applyFont="1" applyFill="1" applyBorder="1" applyAlignment="1">
      <alignment horizontal="center" vertical="center"/>
    </xf>
    <xf numFmtId="0" fontId="9" fillId="111" borderId="117" xfId="0" applyFont="1" applyFill="1" applyBorder="1" applyAlignment="1">
      <alignment horizontal="left" vertical="top" wrapText="1"/>
    </xf>
    <xf numFmtId="362" fontId="23" fillId="112" borderId="117" xfId="5573" applyNumberFormat="1" applyFont="1" applyFill="1" applyBorder="1" applyAlignment="1">
      <alignment horizontal="right" vertical="top"/>
    </xf>
    <xf numFmtId="362" fontId="23" fillId="113" borderId="117" xfId="5573" applyNumberFormat="1" applyFont="1" applyFill="1" applyBorder="1" applyAlignment="1">
      <alignment horizontal="right" vertical="top"/>
    </xf>
    <xf numFmtId="362" fontId="0" fillId="0" borderId="117" xfId="5573" applyNumberFormat="1" applyFont="1" applyBorder="1" applyAlignment="1">
      <alignment horizontal="right" vertical="top"/>
    </xf>
    <xf numFmtId="362" fontId="0" fillId="0" borderId="117" xfId="5573" applyNumberFormat="1" applyFont="1" applyBorder="1" applyAlignment="1">
      <alignment horizontal="left" vertical="top"/>
    </xf>
    <xf numFmtId="362" fontId="0" fillId="0" borderId="118" xfId="5573" applyNumberFormat="1" applyFont="1" applyBorder="1" applyAlignment="1">
      <alignment horizontal="left" vertical="top"/>
    </xf>
    <xf numFmtId="0" fontId="0" fillId="0" borderId="118" xfId="0" applyBorder="1" applyAlignment="1">
      <alignment horizontal="left" vertical="top" wrapText="1" indent="4"/>
    </xf>
    <xf numFmtId="0" fontId="0" fillId="0" borderId="119" xfId="0" applyBorder="1" applyAlignment="1">
      <alignment horizontal="left" vertical="top" wrapText="1" indent="4"/>
    </xf>
    <xf numFmtId="0" fontId="0" fillId="0" borderId="120" xfId="0" applyBorder="1" applyAlignment="1">
      <alignment horizontal="left" vertical="top" wrapText="1" indent="4"/>
    </xf>
    <xf numFmtId="362" fontId="23" fillId="113" borderId="117" xfId="5573" applyNumberFormat="1" applyFont="1" applyFill="1" applyBorder="1" applyAlignment="1">
      <alignment horizontal="left" vertical="top"/>
    </xf>
    <xf numFmtId="362" fontId="23" fillId="113" borderId="118" xfId="5573" applyNumberFormat="1" applyFont="1" applyFill="1" applyBorder="1" applyAlignment="1">
      <alignment horizontal="left" vertical="top"/>
    </xf>
    <xf numFmtId="0" fontId="383" fillId="110" borderId="111" xfId="0" applyFont="1" applyFill="1" applyBorder="1" applyAlignment="1">
      <alignment horizontal="center"/>
    </xf>
    <xf numFmtId="0" fontId="383" fillId="105" borderId="112" xfId="0" applyFont="1" applyFill="1" applyBorder="1" applyAlignment="1">
      <alignment horizontal="center" vertical="center"/>
    </xf>
    <xf numFmtId="0" fontId="383" fillId="105" borderId="113" xfId="0" applyFont="1" applyFill="1" applyBorder="1" applyAlignment="1">
      <alignment horizontal="center" vertical="center"/>
    </xf>
    <xf numFmtId="0" fontId="383" fillId="105" borderId="112" xfId="0" applyFont="1" applyFill="1" applyBorder="1" applyAlignment="1">
      <alignment horizontal="center" vertical="center" wrapText="1"/>
    </xf>
    <xf numFmtId="0" fontId="383" fillId="105" borderId="113" xfId="0" applyFont="1" applyFill="1" applyBorder="1" applyAlignment="1">
      <alignment horizontal="center" vertical="center" wrapText="1"/>
    </xf>
    <xf numFmtId="0" fontId="385" fillId="107" borderId="100" xfId="0" applyFont="1" applyFill="1" applyBorder="1" applyAlignment="1">
      <alignment horizontal="center" vertical="center" wrapText="1"/>
    </xf>
    <xf numFmtId="0" fontId="385" fillId="107" borderId="104" xfId="0" applyFont="1" applyFill="1" applyBorder="1" applyAlignment="1">
      <alignment horizontal="center" vertical="center" wrapText="1"/>
    </xf>
    <xf numFmtId="0" fontId="385" fillId="107" borderId="101" xfId="0" applyFont="1" applyFill="1" applyBorder="1" applyAlignment="1">
      <alignment horizontal="center" wrapText="1"/>
    </xf>
    <xf numFmtId="0" fontId="385" fillId="107" borderId="102" xfId="0" applyFont="1" applyFill="1" applyBorder="1" applyAlignment="1">
      <alignment horizontal="center" wrapText="1"/>
    </xf>
    <xf numFmtId="0" fontId="385" fillId="107" borderId="103" xfId="0" applyFont="1" applyFill="1" applyBorder="1" applyAlignment="1">
      <alignment horizontal="center" wrapText="1"/>
    </xf>
    <xf numFmtId="0" fontId="23" fillId="111" borderId="117" xfId="0" applyFont="1" applyFill="1" applyBorder="1" applyAlignment="1">
      <alignment horizontal="left" vertical="top" wrapText="1"/>
    </xf>
    <xf numFmtId="1" fontId="9" fillId="111" borderId="117" xfId="0" applyNumberFormat="1" applyFont="1" applyFill="1" applyBorder="1" applyAlignment="1">
      <alignment horizontal="right" vertical="top" wrapText="1"/>
    </xf>
    <xf numFmtId="0" fontId="383" fillId="106" borderId="0" xfId="0" applyFont="1" applyFill="1" applyAlignment="1">
      <alignment horizontal="center"/>
    </xf>
    <xf numFmtId="0" fontId="0" fillId="0" borderId="117" xfId="0" applyBorder="1" applyAlignment="1">
      <alignment horizontal="left" vertical="top" wrapText="1" indent="6"/>
    </xf>
    <xf numFmtId="0" fontId="23" fillId="113" borderId="117" xfId="0" applyFont="1" applyFill="1" applyBorder="1" applyAlignment="1">
      <alignment horizontal="left" vertical="top" wrapText="1" indent="4"/>
    </xf>
    <xf numFmtId="0" fontId="23" fillId="112" borderId="117" xfId="0" applyFont="1" applyFill="1" applyBorder="1" applyAlignment="1">
      <alignment horizontal="left" vertical="top" wrapText="1"/>
    </xf>
    <xf numFmtId="0" fontId="23" fillId="112" borderId="117" xfId="0" applyFont="1" applyFill="1" applyBorder="1" applyAlignment="1">
      <alignment horizontal="left" vertical="top" wrapText="1" indent="2"/>
    </xf>
    <xf numFmtId="0" fontId="23" fillId="113" borderId="117" xfId="0" applyFont="1" applyFill="1" applyBorder="1" applyAlignment="1">
      <alignment horizontal="left" vertical="top" wrapText="1" indent="2"/>
    </xf>
  </cellXfs>
  <cellStyles count="5590">
    <cellStyle name="_x0001_" xfId="3219"/>
    <cellStyle name="'" xfId="32"/>
    <cellStyle name="-" xfId="33"/>
    <cellStyle name=" 1" xfId="34"/>
    <cellStyle name="' 10" xfId="35"/>
    <cellStyle name="' 11" xfId="36"/>
    <cellStyle name="' 12" xfId="37"/>
    <cellStyle name="' 13" xfId="38"/>
    <cellStyle name="' 14" xfId="39"/>
    <cellStyle name="' 15" xfId="40"/>
    <cellStyle name="' 16" xfId="41"/>
    <cellStyle name="' 17" xfId="42"/>
    <cellStyle name="' 18" xfId="43"/>
    <cellStyle name="' 19" xfId="44"/>
    <cellStyle name="' 2" xfId="45"/>
    <cellStyle name="' 2 10" xfId="46"/>
    <cellStyle name="' 2 11" xfId="47"/>
    <cellStyle name="' 2 12" xfId="48"/>
    <cellStyle name="' 2 13" xfId="49"/>
    <cellStyle name="' 2 14" xfId="50"/>
    <cellStyle name="' 2 15" xfId="51"/>
    <cellStyle name="' 2 16" xfId="52"/>
    <cellStyle name="' 2 17" xfId="53"/>
    <cellStyle name="' 2 18" xfId="54"/>
    <cellStyle name="' 2 19" xfId="55"/>
    <cellStyle name="' 2 2" xfId="56"/>
    <cellStyle name="' 2 2 10" xfId="57"/>
    <cellStyle name="' 2 2 11" xfId="58"/>
    <cellStyle name="' 2 2 12" xfId="59"/>
    <cellStyle name="' 2 2 13" xfId="60"/>
    <cellStyle name="' 2 2 14" xfId="61"/>
    <cellStyle name="' 2 2 15" xfId="62"/>
    <cellStyle name="' 2 2 16" xfId="63"/>
    <cellStyle name="' 2 2 17" xfId="64"/>
    <cellStyle name="' 2 2 18" xfId="65"/>
    <cellStyle name="' 2 2 2" xfId="66"/>
    <cellStyle name="' 2 2 3" xfId="67"/>
    <cellStyle name="' 2 2 4" xfId="68"/>
    <cellStyle name="' 2 2 5" xfId="69"/>
    <cellStyle name="' 2 2 6" xfId="70"/>
    <cellStyle name="' 2 2 7" xfId="71"/>
    <cellStyle name="' 2 2 8" xfId="72"/>
    <cellStyle name="' 2 2 9" xfId="73"/>
    <cellStyle name="' 2 20" xfId="74"/>
    <cellStyle name="' 2 3" xfId="75"/>
    <cellStyle name="' 2 3 10" xfId="76"/>
    <cellStyle name="' 2 3 11" xfId="77"/>
    <cellStyle name="' 2 3 12" xfId="78"/>
    <cellStyle name="' 2 3 13" xfId="79"/>
    <cellStyle name="' 2 3 14" xfId="80"/>
    <cellStyle name="' 2 3 15" xfId="81"/>
    <cellStyle name="' 2 3 16" xfId="82"/>
    <cellStyle name="' 2 3 17" xfId="83"/>
    <cellStyle name="' 2 3 18" xfId="84"/>
    <cellStyle name="' 2 3 2" xfId="85"/>
    <cellStyle name="' 2 3 3" xfId="86"/>
    <cellStyle name="' 2 3 4" xfId="87"/>
    <cellStyle name="' 2 3 5" xfId="88"/>
    <cellStyle name="' 2 3 6" xfId="89"/>
    <cellStyle name="' 2 3 7" xfId="90"/>
    <cellStyle name="' 2 3 8" xfId="91"/>
    <cellStyle name="' 2 3 9" xfId="92"/>
    <cellStyle name="' 2 4" xfId="93"/>
    <cellStyle name="' 2 5" xfId="94"/>
    <cellStyle name="' 2 6" xfId="95"/>
    <cellStyle name="' 2 7" xfId="96"/>
    <cellStyle name="' 2 8" xfId="97"/>
    <cellStyle name="' 2 9" xfId="98"/>
    <cellStyle name="' 20" xfId="99"/>
    <cellStyle name="' 21" xfId="100"/>
    <cellStyle name="' 22" xfId="101"/>
    <cellStyle name="' 23" xfId="102"/>
    <cellStyle name="' 3" xfId="103"/>
    <cellStyle name="' 3 10" xfId="104"/>
    <cellStyle name="' 3 11" xfId="105"/>
    <cellStyle name="' 3 12" xfId="106"/>
    <cellStyle name="' 3 13" xfId="107"/>
    <cellStyle name="' 3 14" xfId="108"/>
    <cellStyle name="' 3 15" xfId="109"/>
    <cellStyle name="' 3 16" xfId="110"/>
    <cellStyle name="' 3 17" xfId="111"/>
    <cellStyle name="' 3 18" xfId="112"/>
    <cellStyle name="' 3 19" xfId="113"/>
    <cellStyle name="' 3 2" xfId="114"/>
    <cellStyle name="' 3 2 10" xfId="115"/>
    <cellStyle name="' 3 2 11" xfId="116"/>
    <cellStyle name="' 3 2 12" xfId="117"/>
    <cellStyle name="' 3 2 13" xfId="118"/>
    <cellStyle name="' 3 2 14" xfId="119"/>
    <cellStyle name="' 3 2 15" xfId="120"/>
    <cellStyle name="' 3 2 16" xfId="121"/>
    <cellStyle name="' 3 2 17" xfId="122"/>
    <cellStyle name="' 3 2 18" xfId="123"/>
    <cellStyle name="' 3 2 2" xfId="124"/>
    <cellStyle name="' 3 2 3" xfId="125"/>
    <cellStyle name="' 3 2 4" xfId="126"/>
    <cellStyle name="' 3 2 5" xfId="127"/>
    <cellStyle name="' 3 2 6" xfId="128"/>
    <cellStyle name="' 3 2 7" xfId="129"/>
    <cellStyle name="' 3 2 8" xfId="130"/>
    <cellStyle name="' 3 2 9" xfId="131"/>
    <cellStyle name="' 3 20" xfId="132"/>
    <cellStyle name="' 3 3" xfId="133"/>
    <cellStyle name="' 3 3 10" xfId="134"/>
    <cellStyle name="' 3 3 11" xfId="135"/>
    <cellStyle name="' 3 3 12" xfId="136"/>
    <cellStyle name="' 3 3 13" xfId="137"/>
    <cellStyle name="' 3 3 14" xfId="138"/>
    <cellStyle name="' 3 3 15" xfId="139"/>
    <cellStyle name="' 3 3 16" xfId="140"/>
    <cellStyle name="' 3 3 17" xfId="141"/>
    <cellStyle name="' 3 3 18" xfId="142"/>
    <cellStyle name="' 3 3 2" xfId="143"/>
    <cellStyle name="' 3 3 3" xfId="144"/>
    <cellStyle name="' 3 3 4" xfId="145"/>
    <cellStyle name="' 3 3 5" xfId="146"/>
    <cellStyle name="' 3 3 6" xfId="147"/>
    <cellStyle name="' 3 3 7" xfId="148"/>
    <cellStyle name="' 3 3 8" xfId="149"/>
    <cellStyle name="' 3 3 9" xfId="150"/>
    <cellStyle name="' 3 4" xfId="151"/>
    <cellStyle name="' 3 5" xfId="152"/>
    <cellStyle name="' 3 6" xfId="153"/>
    <cellStyle name="' 3 7" xfId="154"/>
    <cellStyle name="' 3 8" xfId="155"/>
    <cellStyle name="' 3 9" xfId="156"/>
    <cellStyle name="' 4" xfId="1"/>
    <cellStyle name="' 4 10" xfId="157"/>
    <cellStyle name="' 4 11" xfId="158"/>
    <cellStyle name="' 4 12" xfId="159"/>
    <cellStyle name="' 4 13" xfId="160"/>
    <cellStyle name="' 4 14" xfId="161"/>
    <cellStyle name="' 4 15" xfId="162"/>
    <cellStyle name="' 4 16" xfId="163"/>
    <cellStyle name="' 4 17" xfId="164"/>
    <cellStyle name="' 4 18" xfId="165"/>
    <cellStyle name="' 4 19" xfId="166"/>
    <cellStyle name="' 4 2" xfId="167"/>
    <cellStyle name="' 4 2 10" xfId="168"/>
    <cellStyle name="' 4 2 11" xfId="169"/>
    <cellStyle name="' 4 2 12" xfId="170"/>
    <cellStyle name="' 4 2 13" xfId="171"/>
    <cellStyle name="' 4 2 14" xfId="172"/>
    <cellStyle name="' 4 2 15" xfId="173"/>
    <cellStyle name="' 4 2 16" xfId="174"/>
    <cellStyle name="' 4 2 17" xfId="175"/>
    <cellStyle name="' 4 2 18" xfId="176"/>
    <cellStyle name="' 4 2 2" xfId="177"/>
    <cellStyle name="' 4 2 3" xfId="178"/>
    <cellStyle name="' 4 2 4" xfId="179"/>
    <cellStyle name="' 4 2 5" xfId="180"/>
    <cellStyle name="' 4 2 6" xfId="181"/>
    <cellStyle name="' 4 2 7" xfId="182"/>
    <cellStyle name="' 4 2 8" xfId="183"/>
    <cellStyle name="' 4 2 9" xfId="184"/>
    <cellStyle name="' 4 20" xfId="185"/>
    <cellStyle name="' 4 21" xfId="186"/>
    <cellStyle name="' 4 3" xfId="187"/>
    <cellStyle name="' 4 3 10" xfId="188"/>
    <cellStyle name="' 4 3 11" xfId="189"/>
    <cellStyle name="' 4 3 12" xfId="190"/>
    <cellStyle name="' 4 3 13" xfId="191"/>
    <cellStyle name="' 4 3 14" xfId="192"/>
    <cellStyle name="' 4 3 15" xfId="193"/>
    <cellStyle name="' 4 3 16" xfId="194"/>
    <cellStyle name="' 4 3 17" xfId="195"/>
    <cellStyle name="' 4 3 18" xfId="196"/>
    <cellStyle name="' 4 3 2" xfId="197"/>
    <cellStyle name="' 4 3 3" xfId="198"/>
    <cellStyle name="' 4 3 4" xfId="199"/>
    <cellStyle name="' 4 3 5" xfId="200"/>
    <cellStyle name="' 4 3 6" xfId="201"/>
    <cellStyle name="' 4 3 7" xfId="202"/>
    <cellStyle name="' 4 3 8" xfId="203"/>
    <cellStyle name="' 4 3 9" xfId="204"/>
    <cellStyle name="' 4 4" xfId="205"/>
    <cellStyle name="' 4 5" xfId="206"/>
    <cellStyle name="' 4 6" xfId="207"/>
    <cellStyle name="' 4 7" xfId="208"/>
    <cellStyle name="' 4 8" xfId="209"/>
    <cellStyle name="' 4 9" xfId="210"/>
    <cellStyle name="' 5" xfId="211"/>
    <cellStyle name="' 5 10" xfId="212"/>
    <cellStyle name="' 5 11" xfId="213"/>
    <cellStyle name="' 5 12" xfId="214"/>
    <cellStyle name="' 5 13" xfId="215"/>
    <cellStyle name="' 5 14" xfId="216"/>
    <cellStyle name="' 5 15" xfId="217"/>
    <cellStyle name="' 5 16" xfId="218"/>
    <cellStyle name="' 5 17" xfId="219"/>
    <cellStyle name="' 5 18" xfId="220"/>
    <cellStyle name="' 5 19" xfId="221"/>
    <cellStyle name="' 5 2" xfId="222"/>
    <cellStyle name="' 5 2 10" xfId="223"/>
    <cellStyle name="' 5 2 11" xfId="224"/>
    <cellStyle name="' 5 2 12" xfId="225"/>
    <cellStyle name="' 5 2 13" xfId="226"/>
    <cellStyle name="' 5 2 14" xfId="227"/>
    <cellStyle name="' 5 2 15" xfId="228"/>
    <cellStyle name="' 5 2 16" xfId="229"/>
    <cellStyle name="' 5 2 17" xfId="230"/>
    <cellStyle name="' 5 2 18" xfId="231"/>
    <cellStyle name="' 5 2 2" xfId="232"/>
    <cellStyle name="' 5 2 3" xfId="233"/>
    <cellStyle name="' 5 2 4" xfId="234"/>
    <cellStyle name="' 5 2 5" xfId="235"/>
    <cellStyle name="' 5 2 6" xfId="236"/>
    <cellStyle name="' 5 2 7" xfId="237"/>
    <cellStyle name="' 5 2 8" xfId="238"/>
    <cellStyle name="' 5 2 9" xfId="239"/>
    <cellStyle name="' 5 20" xfId="240"/>
    <cellStyle name="' 5 3" xfId="241"/>
    <cellStyle name="' 5 3 10" xfId="242"/>
    <cellStyle name="' 5 3 11" xfId="243"/>
    <cellStyle name="' 5 3 12" xfId="244"/>
    <cellStyle name="' 5 3 13" xfId="245"/>
    <cellStyle name="' 5 3 14" xfId="246"/>
    <cellStyle name="' 5 3 15" xfId="247"/>
    <cellStyle name="' 5 3 16" xfId="248"/>
    <cellStyle name="' 5 3 17" xfId="249"/>
    <cellStyle name="' 5 3 18" xfId="250"/>
    <cellStyle name="' 5 3 2" xfId="251"/>
    <cellStyle name="' 5 3 3" xfId="252"/>
    <cellStyle name="' 5 3 4" xfId="253"/>
    <cellStyle name="' 5 3 5" xfId="254"/>
    <cellStyle name="' 5 3 6" xfId="255"/>
    <cellStyle name="' 5 3 7" xfId="256"/>
    <cellStyle name="' 5 3 8" xfId="257"/>
    <cellStyle name="' 5 3 9" xfId="258"/>
    <cellStyle name="' 5 4" xfId="259"/>
    <cellStyle name="' 5 5" xfId="260"/>
    <cellStyle name="' 5 6" xfId="261"/>
    <cellStyle name="' 5 7" xfId="262"/>
    <cellStyle name="' 5 8" xfId="263"/>
    <cellStyle name="' 5 9" xfId="264"/>
    <cellStyle name="' 6" xfId="265"/>
    <cellStyle name="' 6 10" xfId="266"/>
    <cellStyle name="' 6 11" xfId="267"/>
    <cellStyle name="' 6 12" xfId="268"/>
    <cellStyle name="' 6 13" xfId="269"/>
    <cellStyle name="' 6 14" xfId="270"/>
    <cellStyle name="' 6 15" xfId="271"/>
    <cellStyle name="' 6 16" xfId="272"/>
    <cellStyle name="' 6 17" xfId="273"/>
    <cellStyle name="' 6 18" xfId="274"/>
    <cellStyle name="' 6 19" xfId="275"/>
    <cellStyle name="' 6 2" xfId="276"/>
    <cellStyle name="' 6 2 10" xfId="277"/>
    <cellStyle name="' 6 2 11" xfId="278"/>
    <cellStyle name="' 6 2 12" xfId="279"/>
    <cellStyle name="' 6 2 13" xfId="280"/>
    <cellStyle name="' 6 2 14" xfId="281"/>
    <cellStyle name="' 6 2 15" xfId="282"/>
    <cellStyle name="' 6 2 16" xfId="283"/>
    <cellStyle name="' 6 2 17" xfId="284"/>
    <cellStyle name="' 6 2 18" xfId="285"/>
    <cellStyle name="' 6 2 2" xfId="286"/>
    <cellStyle name="' 6 2 3" xfId="287"/>
    <cellStyle name="' 6 2 4" xfId="288"/>
    <cellStyle name="' 6 2 5" xfId="289"/>
    <cellStyle name="' 6 2 6" xfId="290"/>
    <cellStyle name="' 6 2 7" xfId="291"/>
    <cellStyle name="' 6 2 8" xfId="292"/>
    <cellStyle name="' 6 2 9" xfId="293"/>
    <cellStyle name="' 6 20" xfId="294"/>
    <cellStyle name="' 6 3" xfId="295"/>
    <cellStyle name="' 6 3 10" xfId="296"/>
    <cellStyle name="' 6 3 11" xfId="297"/>
    <cellStyle name="' 6 3 12" xfId="298"/>
    <cellStyle name="' 6 3 13" xfId="299"/>
    <cellStyle name="' 6 3 14" xfId="300"/>
    <cellStyle name="' 6 3 15" xfId="301"/>
    <cellStyle name="' 6 3 16" xfId="302"/>
    <cellStyle name="' 6 3 17" xfId="303"/>
    <cellStyle name="' 6 3 18" xfId="304"/>
    <cellStyle name="' 6 3 2" xfId="305"/>
    <cellStyle name="' 6 3 3" xfId="306"/>
    <cellStyle name="' 6 3 4" xfId="307"/>
    <cellStyle name="' 6 3 5" xfId="308"/>
    <cellStyle name="' 6 3 6" xfId="309"/>
    <cellStyle name="' 6 3 7" xfId="310"/>
    <cellStyle name="' 6 3 8" xfId="311"/>
    <cellStyle name="' 6 3 9" xfId="312"/>
    <cellStyle name="' 6 4" xfId="313"/>
    <cellStyle name="' 6 5" xfId="314"/>
    <cellStyle name="' 6 6" xfId="315"/>
    <cellStyle name="' 6 7" xfId="316"/>
    <cellStyle name="' 6 8" xfId="317"/>
    <cellStyle name="' 6 9" xfId="318"/>
    <cellStyle name="' 7" xfId="319"/>
    <cellStyle name="' 7 10" xfId="320"/>
    <cellStyle name="' 7 11" xfId="321"/>
    <cellStyle name="' 7 12" xfId="322"/>
    <cellStyle name="' 7 13" xfId="323"/>
    <cellStyle name="' 7 14" xfId="324"/>
    <cellStyle name="' 7 15" xfId="325"/>
    <cellStyle name="' 7 16" xfId="326"/>
    <cellStyle name="' 7 17" xfId="327"/>
    <cellStyle name="' 7 18" xfId="328"/>
    <cellStyle name="' 7 2" xfId="329"/>
    <cellStyle name="' 7 3" xfId="330"/>
    <cellStyle name="' 7 4" xfId="331"/>
    <cellStyle name="' 7 5" xfId="332"/>
    <cellStyle name="' 7 6" xfId="333"/>
    <cellStyle name="' 7 7" xfId="334"/>
    <cellStyle name="' 7 8" xfId="335"/>
    <cellStyle name="' 7 9" xfId="336"/>
    <cellStyle name="' 8" xfId="337"/>
    <cellStyle name="' 9" xfId="338"/>
    <cellStyle name="_x000a_386grabber=M" xfId="339"/>
    <cellStyle name="_x000a_386grabber=M 2" xfId="340"/>
    <cellStyle name="_x000a_bidires=100_x000a_" xfId="341"/>
    <cellStyle name="_x000a_bidires=100_x000d_" xfId="342"/>
    <cellStyle name="_x000a_bidires=100_x000d_ 2" xfId="343"/>
    <cellStyle name="#" xfId="344"/>
    <cellStyle name="# ##0" xfId="345"/>
    <cellStyle name="# ##0,0" xfId="346"/>
    <cellStyle name="# 2" xfId="347"/>
    <cellStyle name="#.##0 ;(#.##0)" xfId="348"/>
    <cellStyle name="$ w/o $" xfId="349"/>
    <cellStyle name="$ w/o $ 2" xfId="350"/>
    <cellStyle name="$0" xfId="351"/>
    <cellStyle name="$0 2" xfId="352"/>
    <cellStyle name="$0.0" xfId="353"/>
    <cellStyle name="$0.0 2" xfId="354"/>
    <cellStyle name="$0.00" xfId="355"/>
    <cellStyle name="$0.00 2" xfId="356"/>
    <cellStyle name="$0_WACC GLAZOV 31.12.2008 v1" xfId="357"/>
    <cellStyle name="%" xfId="2"/>
    <cellStyle name="% 2" xfId="358"/>
    <cellStyle name="%_~9416365" xfId="359"/>
    <cellStyle name="%_~9416365 2" xfId="360"/>
    <cellStyle name="%_BP_PL_CF_Draft_BOD_2" xfId="361"/>
    <cellStyle name="%_BP_PL_CF_Draft_BOD_2 2" xfId="362"/>
    <cellStyle name="%_Model_December-2007_2013_Mar" xfId="363"/>
    <cellStyle name="%0" xfId="364"/>
    <cellStyle name="%0 2" xfId="365"/>
    <cellStyle name="%0.0" xfId="366"/>
    <cellStyle name="%0.0 2" xfId="367"/>
    <cellStyle name="%0_DTV Network model 311208 AD SENSITIVITY 24 02 09" xfId="368"/>
    <cellStyle name="%1" xfId="369"/>
    <cellStyle name="%1 2" xfId="370"/>
    <cellStyle name="%2" xfId="371"/>
    <cellStyle name="******************************************" xfId="372"/>
    <cellStyle name="****************************************** 2" xfId="373"/>
    <cellStyle name=",000" xfId="3"/>
    <cellStyle name=";;;" xfId="374"/>
    <cellStyle name=";;; 2" xfId="375"/>
    <cellStyle name="?_x0001__x0001_ ?§??_x0002_????_x000f__x0008_??f_x0006__x0010_?????yyyyyyyyyyyyyyy" xfId="376"/>
    <cellStyle name="?_x0001__x0001_ ?§??_x0002_????_x000f__x0008_??f_x0006__x0010_?????yyyyyyyyyyyyyyy 2" xfId="377"/>
    <cellStyle name="????????" xfId="378"/>
    <cellStyle name="???[0]" xfId="379"/>
    <cellStyle name="???–…?’?›‰" xfId="380"/>
    <cellStyle name="???–…?’?›‰ 2" xfId="381"/>
    <cellStyle name="???–…?’?›‰ 3" xfId="382"/>
    <cellStyle name="???–…?’?›‰ 4" xfId="383"/>
    <cellStyle name="???–…?’?›‰ 5" xfId="384"/>
    <cellStyle name="]_x000d__x000a_Setup=1_x000d__x000a_Version=1.30.172.0_x000d__x000a__x000d__x000a_[OLE]_x000d__x000a_Setup=1_x000d__x000a_Version=2.3.130.168_x000d__x000a__x000d__x000a_[Nls]_x000d__x000a_AnsiCP=1252_x000d__x000a__x000d__x000a_[Freecell]_x000d__x000a_Setup=1_x000d_" xfId="385"/>
    <cellStyle name="]_x000d__x000a_Zoomed=1_x000d__x000a_Row=0_x000d__x000a_Column=0_x000d__x000a_Height=0_x000d__x000a_Width=0_x000d__x000a_FontName=FoxFont_x000d__x000a_FontStyle=0_x000d__x000a_FontSize=9_x000d__x000a_PrtFontName=FoxPrin" xfId="386"/>
    <cellStyle name="]_x000d__x000a_Zoomed=1_x000d__x000a_Row=0_x000d__x000a_Column=0_x000d__x000a_Height=0_x000d__x000a_Width=0_x000d__x000a_FontName=FoxFont_x000d__x000a_FontStyle=0_x000d__x000a_FontSize=9_x000d__x000a_PrtFontName=FoxPrin 2" xfId="387"/>
    <cellStyle name="]_x000d__x000a_Zoomed=1_x000d__x000a_Row=0_x000d__x000a_Column=0_x000d__x000a_Height=0_x000d__x000a_Width=0_x000d__x000a_FontName=FoxFont_x000d__x000a_FontStyle=0_x000d__x000a_FontSize=9_x000d__x000a_PrtFontName=FoxPrin 3" xfId="388"/>
    <cellStyle name="]_x000d__x000a_Zoomed=1_x000d__x000a_Row=0_x000d__x000a_Column=0_x000d__x000a_Height=0_x000d__x000a_Width=0_x000d__x000a_FontName=FoxFont_x000d__x000a_FontStyle=0_x000d__x000a_FontSize=9_x000d__x000a_PrtFontName=FoxPrin 4" xfId="389"/>
    <cellStyle name="ˆ’zƒz‚›‰" xfId="390"/>
    <cellStyle name="ˆ’ŽƒŽ‚›‰" xfId="391"/>
    <cellStyle name="ˆ’ŽƒŽ‚›‰ 2" xfId="392"/>
    <cellStyle name="ˆ’ŽƒŽ‚›‰ 3" xfId="393"/>
    <cellStyle name="ˆ’ŽƒŽ‚›‰ 4" xfId="394"/>
    <cellStyle name="ˆ’ŽƒŽ‚›‰ 5" xfId="395"/>
    <cellStyle name="_ BS London " xfId="396"/>
    <cellStyle name="_ BS London  2" xfId="397"/>
    <cellStyle name="_ IS monthly1" xfId="398"/>
    <cellStyle name="_ PAJES2006" xfId="399"/>
    <cellStyle name="_ PL London" xfId="400"/>
    <cellStyle name="_ PL London 2" xfId="401"/>
    <cellStyle name="_ ТЭЦ февраль 04г" xfId="402"/>
    <cellStyle name="_% по кредитам" xfId="403"/>
    <cellStyle name="__________BK" xfId="404"/>
    <cellStyle name="__070306_UnionCalc" xfId="405"/>
    <cellStyle name="__070306_UnionCalc 2" xfId="406"/>
    <cellStyle name="__Информационный запрос за апрель 06" xfId="407"/>
    <cellStyle name="__Информационный запрос за март 06" xfId="408"/>
    <cellStyle name="__Информационный запрос за ноябрь 05" xfId="409"/>
    <cellStyle name="__Информационный запрос за Февраль 06" xfId="410"/>
    <cellStyle name="__Информационный запрос за январь 06" xfId="411"/>
    <cellStyle name="__Информационный запрос_июнь 06" xfId="412"/>
    <cellStyle name="_~0155686" xfId="413"/>
    <cellStyle name="_~0155686 2" xfId="414"/>
    <cellStyle name="_~1392760" xfId="415"/>
    <cellStyle name="_~1392760 2" xfId="416"/>
    <cellStyle name="_~1624029" xfId="417"/>
    <cellStyle name="_~1624029 2" xfId="418"/>
    <cellStyle name="_~4279805" xfId="419"/>
    <cellStyle name="_~4279805 2" xfId="420"/>
    <cellStyle name="_~5563816" xfId="421"/>
    <cellStyle name="_~5563816 2" xfId="422"/>
    <cellStyle name="_~9416365" xfId="423"/>
    <cellStyle name="_~9416365 2" xfId="424"/>
    <cellStyle name="_004003 ОАО ОГК-3 12мес.2006г." xfId="425"/>
    <cellStyle name="_004003 ОАО ОГК-3 12мес.2006г. 2" xfId="426"/>
    <cellStyle name="_01,60-65,47-53_ОС МСЗ_ВАРИАНТ окончательный" xfId="427"/>
    <cellStyle name="_03_ФЭР_ Проект_Реконструкция 12 птичников_13.02.08" xfId="5436"/>
    <cellStyle name="_051222_ОС_ГРЭС-24 (отчет от Эксперта)" xfId="428"/>
    <cellStyle name="_051228_сооружения" xfId="429"/>
    <cellStyle name="_060213_Оборудование" xfId="430"/>
    <cellStyle name="_060213_Оборудование_ИСХ_ПАРАМ_КЧХК" xfId="431"/>
    <cellStyle name="_060213_Оборудование_модели" xfId="432"/>
    <cellStyle name="_060213_Оборудование_модельИрина" xfId="433"/>
    <cellStyle name="_060213_Оборудование_модельИрина_Книга2" xfId="434"/>
    <cellStyle name="_060213_Оборудование_Оборудование" xfId="435"/>
    <cellStyle name="_060213_Оборудование_Расчет грузопод. обор." xfId="436"/>
    <cellStyle name="_060213_Оборудование_Расчет котлы паровые, водогр,теплообменники" xfId="437"/>
    <cellStyle name="_060213_Оборудование_Расчет сварочное оборуд" xfId="438"/>
    <cellStyle name="_060213_Оборудование_Расчет станки (version 1)" xfId="439"/>
    <cellStyle name="_060221_Расчет_оборудование" xfId="440"/>
    <cellStyle name="_060302_Расчет оборудование" xfId="441"/>
    <cellStyle name="_060302_Расчет оборудование_ИСХ_ПАРАМ_КЧХК" xfId="442"/>
    <cellStyle name="_060302_Расчет оборудование_модели" xfId="443"/>
    <cellStyle name="_060302_Расчет оборудование_модельИрина" xfId="444"/>
    <cellStyle name="_060302_Расчет оборудование_модельИрина_Книга2" xfId="445"/>
    <cellStyle name="_060302_Расчет оборудование_Оборудование" xfId="446"/>
    <cellStyle name="_060302_Расчет оборудование_Расчет грузопод. обор." xfId="447"/>
    <cellStyle name="_060302_Расчет оборудование_Расчет котлы паровые, водогр,теплообменники" xfId="448"/>
    <cellStyle name="_060302_Расчет оборудование_Расчет сварочное оборуд" xfId="449"/>
    <cellStyle name="_060302_Расчет оборудование_Расчет станки (version 1)" xfId="450"/>
    <cellStyle name="_060305_Расчет_оборудование" xfId="451"/>
    <cellStyle name="_060313_Расчет_Оборудование" xfId="452"/>
    <cellStyle name="_060313_Расчет_Оборудование_ИСХ_ПАРАМ_КЧХК" xfId="453"/>
    <cellStyle name="_060313_Расчет_Оборудование_модели" xfId="454"/>
    <cellStyle name="_060313_Расчет_Оборудование_модельИрина" xfId="455"/>
    <cellStyle name="_060313_Расчет_Оборудование_модельИрина_Книга2" xfId="456"/>
    <cellStyle name="_060313_Расчет_Оборудование_Оборудование" xfId="457"/>
    <cellStyle name="_060313_Расчет_Оборудование_Расчет грузопод. обор." xfId="458"/>
    <cellStyle name="_060313_Расчет_Оборудование_Расчет котлы паровые, водогр,теплообменники" xfId="459"/>
    <cellStyle name="_060313_Расчет_Оборудование_Расчет сварочное оборуд" xfId="460"/>
    <cellStyle name="_060313_Расчет_Оборудование_Расчет станки (version 1)" xfId="461"/>
    <cellStyle name="_060520_Расчет_доходный" xfId="462"/>
    <cellStyle name="_060603_Расчет_СП" xfId="463"/>
    <cellStyle name="_060614_Расчет оборудование_ТС_Староминский" xfId="464"/>
    <cellStyle name="_060614_Расчет_имущество_Староминский" xfId="465"/>
    <cellStyle name="_060614_Расчет_имущество_Староминский_ИСХ_ПАРАМ_КЧХК" xfId="466"/>
    <cellStyle name="_060614_Расчет_имущество_Староминский_модели" xfId="467"/>
    <cellStyle name="_060614_Расчет_имущество_Староминский_модельИрина" xfId="468"/>
    <cellStyle name="_060614_Расчет_имущество_Староминский_модельИрина_Книга2" xfId="469"/>
    <cellStyle name="_060614_Расчет_имущество_Староминский_Оборудование" xfId="470"/>
    <cellStyle name="_060614_Расчет_имущество_Староминский_Расчет грузопод. обор." xfId="471"/>
    <cellStyle name="_060614_Расчет_имущество_Староминский_Расчет котлы паровые, водогр,теплообменники" xfId="472"/>
    <cellStyle name="_060614_Расчет_имущество_Староминский_Расчет сварочное оборуд" xfId="473"/>
    <cellStyle name="_060614_Расчет_имущество_Староминский_Расчет станки (version 1)" xfId="474"/>
    <cellStyle name="_060725 NEW модель баланс все Со" xfId="475"/>
    <cellStyle name="_060725 NEW модель баланс все Со 2" xfId="476"/>
    <cellStyle name="_060726_Расчет зданий с НВИ на всё" xfId="477"/>
    <cellStyle name="_060804_Расчет зданий" xfId="478"/>
    <cellStyle name="_060821 n=10, Э2007 55, ИП 119, ЗС 07г 15" xfId="479"/>
    <cellStyle name="_060821 n=10, Э2007 55, ИП 119, ЗС 07г 15 2" xfId="480"/>
    <cellStyle name="_070213_Группа_13" xfId="481"/>
    <cellStyle name="_070220 Silovoe" xfId="482"/>
    <cellStyle name="_070220 Silovoe 2" xfId="483"/>
    <cellStyle name="_070409_Расчет Здания" xfId="484"/>
    <cellStyle name="_070409_Расчет Здания_ИСХ_ПАРАМ_КЧХК" xfId="485"/>
    <cellStyle name="_070409_Расчет Здания_модели" xfId="486"/>
    <cellStyle name="_070409_Расчет Здания_модельИрина" xfId="487"/>
    <cellStyle name="_070409_Расчет Здания_модельИрина_Книга2" xfId="488"/>
    <cellStyle name="_070409_Расчет Здания_Оборудование" xfId="4"/>
    <cellStyle name="_070409_Расчет Здания_Расчет грузопод. обор." xfId="489"/>
    <cellStyle name="_070409_Расчет Здания_Расчет котлы паровые, водогр,теплообменники" xfId="490"/>
    <cellStyle name="_070409_Расчет Здания_Расчет сварочное оборуд" xfId="491"/>
    <cellStyle name="_070409_Расчет Здания_Расчет станки (version 1)" xfId="492"/>
    <cellStyle name="_071215 McK input low" xfId="493"/>
    <cellStyle name="_071215 McK input low 2" xfId="494"/>
    <cellStyle name="_071215 McM input high" xfId="495"/>
    <cellStyle name="_071215 McM input high 2" xfId="496"/>
    <cellStyle name="_071220 McK-DB BASE" xfId="497"/>
    <cellStyle name="_071220 McK-DB BASE 2" xfId="498"/>
    <cellStyle name="_071220 McK-DB HIGH" xfId="499"/>
    <cellStyle name="_071220 McK-DB HIGH 2" xfId="500"/>
    <cellStyle name="_071220 McK-DB LOW" xfId="501"/>
    <cellStyle name="_071220 McK-DB LOW 2" xfId="502"/>
    <cellStyle name="_080219 Сводки" xfId="503"/>
    <cellStyle name="_080219 Сводки 2" xfId="504"/>
    <cellStyle name="_1" xfId="505"/>
    <cellStyle name="_1.Inputs &amp; Assump" xfId="506"/>
    <cellStyle name="_1.Inputs &amp; Assump 2" xfId="507"/>
    <cellStyle name="_115_Абонентская база" xfId="508"/>
    <cellStyle name="_115_Абонентская базаНовгород" xfId="509"/>
    <cellStyle name="_115_Пакет разрешительной документации" xfId="510"/>
    <cellStyle name="_120" xfId="511"/>
    <cellStyle name="_12План_Ермакь_Финансовый_Бюджет" xfId="512"/>
    <cellStyle name="_12План_Ермакь_Финансовый_Бюджет 2" xfId="513"/>
    <cellStyle name="_17.01.2008" xfId="514"/>
    <cellStyle name="_17.01.2008 2" xfId="515"/>
    <cellStyle name="_2 Копия без ТРМЗ (для презентации)" xfId="516"/>
    <cellStyle name="_2 Копия без ТРМЗ (для презентации) 2" xfId="517"/>
    <cellStyle name="_2 СF РАСШИФРОВКИ  ПРОГНОЗ PL по данным июл.цикла S&amp;OP" xfId="518"/>
    <cellStyle name="_2 СF РАСШИФРОВКИ  ПРОГНОЗ PL по данным июл.цикла S&amp;OP 2" xfId="519"/>
    <cellStyle name="_2005 - 2010 г. тарифы  амортиз. инфр." xfId="520"/>
    <cellStyle name="_2005 - 2010 г. тарифы  амортиз. инфр. 2" xfId="521"/>
    <cellStyle name="_2005_БЮДЖЕТ В4 ==11.11.==  КР Дороги, Мосты" xfId="522"/>
    <cellStyle name="_2005_БЮДЖЕТ В4 ==11.11.==  КР Дороги, Мосты 2" xfId="523"/>
    <cellStyle name="_2007.04.23_ОДР март 2007" xfId="524"/>
    <cellStyle name="_2007.04.23_ОДР март 2007 2" xfId="525"/>
    <cellStyle name="_2007-07-04Модель для оценщиков" xfId="526"/>
    <cellStyle name="_2007-07-04Модель для оценщиков 2" xfId="527"/>
    <cellStyle name="_20071206 Initial Input TGK 2" xfId="528"/>
    <cellStyle name="_20071206 Initial Input TGK 2 2" xfId="529"/>
    <cellStyle name="_2007-2001, 2007 - для бухг." xfId="530"/>
    <cellStyle name="_2007-2001, 2007 - для бухг. 2" xfId="531"/>
    <cellStyle name="_21.1краткосрочные кредиты на 31.10.2005г." xfId="532"/>
    <cellStyle name="_23.01.03_КрАЗ_изм НЗП_ноя0211мес.02" xfId="533"/>
    <cellStyle name="_24 Свод" xfId="534"/>
    <cellStyle name="_24 Свод 2" xfId="535"/>
    <cellStyle name="_25.01.2008 restored" xfId="536"/>
    <cellStyle name="_25.01.2008 restored 2" xfId="537"/>
    <cellStyle name="_26098F26" xfId="5437"/>
    <cellStyle name="_27 Свод" xfId="538"/>
    <cellStyle name="_27 Свод 2" xfId="539"/>
    <cellStyle name="_3 подхода_Приокские дали" xfId="5"/>
    <cellStyle name="_3 подхода-Арнест-итог" xfId="540"/>
    <cellStyle name="_3 подхода-ПИОГЛОБАЛ-14.09.04" xfId="541"/>
    <cellStyle name="_3 подхода-ПИОГЛОБАЛ-финал" xfId="542"/>
    <cellStyle name="_3.KZ" xfId="543"/>
    <cellStyle name="_3.KZ 2" xfId="544"/>
    <cellStyle name="_5.11.(and 5.18.2)-DTV 5 year plan (strategic business model)-Final (Dec 29th)" xfId="545"/>
    <cellStyle name="_5.11.(and 5.18.2)-DTV 5 year plan (strategic business model)-Final (Dec 29th) 2" xfId="546"/>
    <cellStyle name="_5.18.1- DTV BU08" xfId="547"/>
    <cellStyle name="_5.18.1- DTV BU08 2" xfId="548"/>
    <cellStyle name="_5.2.(and 5.3.&amp; 5.8.) - DTV reporting 2007 11months (GAAP for MTG)" xfId="549"/>
    <cellStyle name="_5.2.(and 5.3.&amp; 5.8.) - DTV reporting 2007 11months (GAAP for MTG) 2" xfId="550"/>
    <cellStyle name="_510_Долгосрочные кредиты и займы" xfId="551"/>
    <cellStyle name="_7-3 17-03-05" xfId="552"/>
    <cellStyle name="_97" xfId="553"/>
    <cellStyle name="_97 2" xfId="554"/>
    <cellStyle name="_an_izn" xfId="555"/>
    <cellStyle name="_Appendixes_Rolf Esteit_final" xfId="556"/>
    <cellStyle name="_Asset_Valuation_Model" xfId="557"/>
    <cellStyle name="_assumptions" xfId="558"/>
    <cellStyle name="_Auto_" xfId="559"/>
    <cellStyle name="_AZS-Service PPA 2007 Oct 01" xfId="560"/>
    <cellStyle name="_AZS-Service PPA 2007 Oct 01 2" xfId="561"/>
    <cellStyle name="_B06_target_2610" xfId="562"/>
    <cellStyle name="_B06_target_2610 2" xfId="563"/>
    <cellStyle name="_Barnaul-Vecher" xfId="564"/>
    <cellStyle name="_BI IAS FS 012206" xfId="565"/>
    <cellStyle name="_BI IAS FS 111205" xfId="566"/>
    <cellStyle name="_BI IAS FS 1-6 2006" xfId="567"/>
    <cellStyle name="_BI IAS FS 291105" xfId="568"/>
    <cellStyle name="_BK Sever StndAlone FS 05182006" xfId="569"/>
    <cellStyle name="_Book1" xfId="570"/>
    <cellStyle name="_Book1 2" xfId="571"/>
    <cellStyle name="_Book11" xfId="572"/>
    <cellStyle name="_Book11 2" xfId="573"/>
    <cellStyle name="_Book2" xfId="574"/>
    <cellStyle name="_Book2 2" xfId="575"/>
    <cellStyle name="_Borlas model 25_03_v3 update from Grizik" xfId="576"/>
    <cellStyle name="_Borlas model 25_03_v3 update from Grizik 2" xfId="577"/>
    <cellStyle name="_BP_CF" xfId="578"/>
    <cellStyle name="_BP_PL_CF_Draft_BOD_2" xfId="579"/>
    <cellStyle name="_BP_PL_CF_Draft_BOD_2 2" xfId="580"/>
    <cellStyle name="_BT IAS FS 1-6 2006" xfId="581"/>
    <cellStyle name="_Budget presentation back up DTV_ver2" xfId="582"/>
    <cellStyle name="_calculation_CHAMP" xfId="583"/>
    <cellStyle name="_Capacity market_11.01.2007" xfId="584"/>
    <cellStyle name="_Capacity market_11.01.2007 2" xfId="585"/>
    <cellStyle name="_CAPEX" xfId="586"/>
    <cellStyle name="_CAPEX 2" xfId="587"/>
    <cellStyle name="_Capex 2005 19 07 05 ПК" xfId="588"/>
    <cellStyle name="_Capex 2005-2006 workover" xfId="589"/>
    <cellStyle name="_Capex_Assumptions_070706" xfId="590"/>
    <cellStyle name="_Capex_Assumptions_070706_CKBA_06_12_2" xfId="591"/>
    <cellStyle name="_Capex_Assumptions_070706_DCF_AME_26.11.07" xfId="592"/>
    <cellStyle name="_Capex_Assumptions_070706_Discount rate NZ" xfId="593"/>
    <cellStyle name="_Capex_Assumptions_070706_FinancialModel 14.11.07" xfId="594"/>
    <cellStyle name="_Capex_Assumptions_070706_SI_MA_NL" xfId="595"/>
    <cellStyle name="_Cash flow_9m_2006" xfId="596"/>
    <cellStyle name="_Cash flow_9m_2006 2" xfId="597"/>
    <cellStyle name="_CFS_ Q4_2006" xfId="598"/>
    <cellStyle name="_ChE London-NEW!" xfId="599"/>
    <cellStyle name="_ChE London-NEW! 2" xfId="600"/>
    <cellStyle name="_Chicken_Draft_AG" xfId="601"/>
    <cellStyle name="_Chicken_Draft_AG 2" xfId="602"/>
    <cellStyle name="_Client base 1" xfId="603"/>
    <cellStyle name="_Client base 1 2" xfId="604"/>
    <cellStyle name="_Column1" xfId="5438"/>
    <cellStyle name="_Column1_Допущения" xfId="5439"/>
    <cellStyle name="_Column2" xfId="5440"/>
    <cellStyle name="_Column3" xfId="5441"/>
    <cellStyle name="_Column4" xfId="5442"/>
    <cellStyle name="_Column4_Допущения" xfId="5443"/>
    <cellStyle name="_Column5" xfId="5444"/>
    <cellStyle name="_Column5_Vertriebsgesellschaften" xfId="605"/>
    <cellStyle name="_Column5_Vertriebsgesellschaften 2" xfId="606"/>
    <cellStyle name="_Column6" xfId="5445"/>
    <cellStyle name="_Column7" xfId="5446"/>
    <cellStyle name="_Comma" xfId="607"/>
    <cellStyle name="_Comparatives_exp" xfId="608"/>
    <cellStyle name="_Comparatives_exp 2" xfId="609"/>
    <cellStyle name="_Comps_Valuation Dec 2005" xfId="610"/>
    <cellStyle name="_Comstar UTS 19 05 08 margin" xfId="611"/>
    <cellStyle name="_Comstar UTS 19 05 08 margin 2" xfId="612"/>
    <cellStyle name="_Comstar UTS_consolidated_5" xfId="613"/>
    <cellStyle name="_Comstar UTS_consolidated_5 2" xfId="614"/>
    <cellStyle name="_Comstar_MA_220808_NL_6с" xfId="615"/>
    <cellStyle name="_Comstar_MA_220808_NL_6с 2" xfId="616"/>
    <cellStyle name="_Comstar_MA_NL_2008_1" xfId="617"/>
    <cellStyle name="_Comstar_MA_NL_2008_1 2" xfId="618"/>
    <cellStyle name="_Condition-2020" xfId="619"/>
    <cellStyle name="_Condition-2020 2" xfId="620"/>
    <cellStyle name="_Condition-23-08-05" xfId="621"/>
    <cellStyle name="_Copy of Book1" xfId="622"/>
    <cellStyle name="_Copy of CORBINA model GT incl syn2" xfId="623"/>
    <cellStyle name="_Copy of CORBINA model GT incl syn2 2" xfId="624"/>
    <cellStyle name="_Copy of Model_Cherepovetskiy azot_v.18" xfId="625"/>
    <cellStyle name="_Copy of Model_Cherepovetskiy azot_v.18 2" xfId="626"/>
    <cellStyle name="_Copy of OGK-4_DCF" xfId="627"/>
    <cellStyle name="_Copy of OGK-4_DCF 2" xfId="628"/>
    <cellStyle name="_copy of Rostelecom_WACC_300908" xfId="629"/>
    <cellStyle name="_copy of Rostelecom_WACC_300908 2" xfId="630"/>
    <cellStyle name="_Copy of Tartar_advisers_input_rus_3c" xfId="631"/>
    <cellStyle name="_Copy of Tartar_advisers_input_rus_3c 2" xfId="632"/>
    <cellStyle name="_Corbina 2006 DCF v 1" xfId="633"/>
    <cellStyle name="_Corbina 2006 DCF v 1 2" xfId="634"/>
    <cellStyle name="_Corbina_Model 04 03 08" xfId="635"/>
    <cellStyle name="_Corbina_Model 04 03 08 2" xfId="636"/>
    <cellStyle name="_Corbina_Model 15.07" xfId="637"/>
    <cellStyle name="_Corbina_Model 15.07 2" xfId="638"/>
    <cellStyle name="_CPI foodimp" xfId="639"/>
    <cellStyle name="_CTC and HTV Licenses Impairment tests summary" xfId="640"/>
    <cellStyle name="_Currency" xfId="641"/>
    <cellStyle name="_Currency 2" xfId="642"/>
    <cellStyle name="_Currency 3" xfId="643"/>
    <cellStyle name="_Currency 4" xfId="644"/>
    <cellStyle name="_Currency 5" xfId="645"/>
    <cellStyle name="_CurrencySpace" xfId="646"/>
    <cellStyle name="_Dalsvyaz_Total" xfId="647"/>
    <cellStyle name="_Dashboard March 2008_v" xfId="648"/>
    <cellStyle name="_Data" xfId="5447"/>
    <cellStyle name="_Data 2" xfId="5448"/>
    <cellStyle name="_Data comparison 11.12.2007" xfId="649"/>
    <cellStyle name="_Data comparison 11.12.2007 2" xfId="650"/>
    <cellStyle name="_databook2" xfId="651"/>
    <cellStyle name="_databook2 2" xfId="652"/>
    <cellStyle name="_DCF" xfId="653"/>
    <cellStyle name="_DCF SM 09-10-06" xfId="654"/>
    <cellStyle name="_DCF VIP 26.11.2004" xfId="655"/>
    <cellStyle name="_DCF_ A.Z._01.04.2007" xfId="656"/>
    <cellStyle name="_DCF_01.01.2006_IFTC" xfId="657"/>
    <cellStyle name="_DCF_7 (Рынок,150%)" xfId="658"/>
    <cellStyle name="_DCF_7 дней" xfId="659"/>
    <cellStyle name="_DCF_Aerocom_01.08.2006" xfId="660"/>
    <cellStyle name="_DCF_Aerocom_03.08.06" xfId="661"/>
    <cellStyle name="_DCF_Dixis_11" xfId="662"/>
    <cellStyle name="_DCF_Germanyi_AZ_v3" xfId="663"/>
    <cellStyle name="_DCF_Germanyi_AZ_v3 2" xfId="664"/>
    <cellStyle name="_DCF_KGOK" xfId="665"/>
    <cellStyle name="_DCF_Kovcheg_5" xfId="666"/>
    <cellStyle name="_DCF_Lensvyaz_final_NW Telecom" xfId="667"/>
    <cellStyle name="_DCF_Lensvyaz_Oibtda" xfId="668"/>
    <cellStyle name="_DCF_NNG_D&amp;M" xfId="669"/>
    <cellStyle name="_DCF_NNG_D&amp;M reviewerred Ella" xfId="670"/>
    <cellStyle name="_DCF_NORSI_01.04.06" xfId="671"/>
    <cellStyle name="_DCF_Novoil_01.04.2006" xfId="672"/>
    <cellStyle name="_DCF_OZSK_01.04.2006" xfId="673"/>
    <cellStyle name="_DCF_Penza_GSM_V1" xfId="674"/>
    <cellStyle name="_DCF_Rostelecom" xfId="675"/>
    <cellStyle name="_DCF_RTS" xfId="676"/>
    <cellStyle name="_DCF_Svyaz_Final" xfId="677"/>
    <cellStyle name="_DCF_Venevmaslozavod" xfId="678"/>
    <cellStyle name="_DCF_YGF" xfId="679"/>
    <cellStyle name="_DCF_ВКУ" xfId="680"/>
    <cellStyle name="_DCF_ВКУ 26%" xfId="681"/>
    <cellStyle name="_DCF_ДСК-3_акции_01.01.2005" xfId="682"/>
    <cellStyle name="_DCF_ДСК-3_имущ.комплекс" xfId="683"/>
    <cellStyle name="_DCF_Земляной_вал" xfId="684"/>
    <cellStyle name="_DCF_имущ.комплекс" xfId="685"/>
    <cellStyle name="_DCF_МЗЖБИиТ" xfId="686"/>
    <cellStyle name="_DCF_Стекольный завод" xfId="687"/>
    <cellStyle name="_DCF_Тулачермет" xfId="688"/>
    <cellStyle name="_DCF-В" xfId="689"/>
    <cellStyle name="_DD Model v3" xfId="690"/>
    <cellStyle name="_DD Model v3 2" xfId="691"/>
    <cellStyle name="_Deals_2006-2008" xfId="692"/>
    <cellStyle name="_Deals_2006-2008 2" xfId="693"/>
    <cellStyle name="_Deals_2006-2008 minority stakes" xfId="694"/>
    <cellStyle name="_Deals_2006-2008 minority stakes 2" xfId="695"/>
    <cellStyle name="_Debt Model" xfId="696"/>
    <cellStyle name="_Debts quarterly07-08" xfId="697"/>
    <cellStyle name="_Debts quarterly07-08 2" xfId="698"/>
    <cellStyle name="_Discount rate NZ" xfId="699"/>
    <cellStyle name="_Discount rate NZ 2" xfId="700"/>
    <cellStyle name="_Distribution expenses break up 2008 (BU model by city&amp;Ostankino costs)" xfId="701"/>
    <cellStyle name="_Distribution expenses break up 2008 (BU model by city&amp;Ostankino costs) 2" xfId="702"/>
    <cellStyle name="_Distribution model RSK v 33" xfId="703"/>
    <cellStyle name="_Distribution model RSK v 33 2" xfId="704"/>
    <cellStyle name="_DMT817 Transaction Comps FTA 060907" xfId="705"/>
    <cellStyle name="_DMT817 Transaction Comps FTA 060907 2" xfId="706"/>
    <cellStyle name="_DMT817 Transaction Comps Professional Publishing 060803" xfId="707"/>
    <cellStyle name="_DMT817 Transaction Comps Professional Publishing 060803 2" xfId="708"/>
    <cellStyle name="_DMT823 Transaction Comps 060828" xfId="709"/>
    <cellStyle name="_DMT823 Transaction Comps 060828 2" xfId="710"/>
    <cellStyle name="_DMT823 Transactions Comps 060824 Dinesh" xfId="711"/>
    <cellStyle name="_DMT823 Transactions Comps 060824 Dinesh 2" xfId="712"/>
    <cellStyle name="_DMZ" xfId="713"/>
    <cellStyle name="_DMZ 2" xfId="714"/>
    <cellStyle name="_Dohodny_podhod_Soglasovanie_Zarubezhstroy_01.10.2005" xfId="715"/>
    <cellStyle name="_domestic_applience" xfId="716"/>
    <cellStyle name="_Donau_GRF_2005_audited_280206" xfId="717"/>
    <cellStyle name="_Donau_GRF_2005_audited_280206 2" xfId="718"/>
    <cellStyle name="_Donau_GRF_2005_audited_280206_CKBA_06_12_2" xfId="719"/>
    <cellStyle name="_Donau_GRF_2005_audited_280206_CKBA_06_12_2 2" xfId="720"/>
    <cellStyle name="_Donau_GRF_2005_audited_280206_DCF_AME_26.11.07" xfId="721"/>
    <cellStyle name="_Donau_GRF_2005_audited_280206_DCF_AME_26.11.07 2" xfId="722"/>
    <cellStyle name="_Donau_GRF_2005_audited_280206_FinancialModel 14.11.07" xfId="723"/>
    <cellStyle name="_Donau_GRF_2005_audited_280206_FinancialModel 14.11.07 2" xfId="724"/>
    <cellStyle name="_Donau_GRF_2005_audited_280206_Lenta DCF Databook 2009" xfId="725"/>
    <cellStyle name="_Donau_GRF_2005_audited_280206_Lenta DCF Databook 2009 2" xfId="726"/>
    <cellStyle name="_Donau_GRF_2005_audited_280206_UralChim_WACC_1" xfId="727"/>
    <cellStyle name="_Donau_GRF_2005_audited_280206_UralChim_WACC_1 2" xfId="728"/>
    <cellStyle name="_Draft calc  IrkutskNP PPA Sep 07" xfId="729"/>
    <cellStyle name="_Draft calc  IrkutskNP PPA Sep 07 2" xfId="730"/>
    <cellStyle name="_Draft calc  Irkutsk-Terminal PPA Sep 07" xfId="731"/>
    <cellStyle name="_Draft calc  Irkutsk-Terminal PPA Sep 07 2" xfId="732"/>
    <cellStyle name="_DTV Model-P108-2nd draft" xfId="733"/>
    <cellStyle name="_DTV Model-P108-2nd draft 2" xfId="734"/>
    <cellStyle name="_DTV Network model 311208 AD SENSITIVITY 24 02 09" xfId="735"/>
    <cellStyle name="_DTV Network model 311208 AD SENSITIVITY 24 02 09 2" xfId="736"/>
    <cellStyle name="_DTV pro-forma 4Q 2007" xfId="737"/>
    <cellStyle name="_DTV pro-forma 4Q 2007 2" xfId="738"/>
    <cellStyle name="_DTV reporting 2007 new" xfId="739"/>
    <cellStyle name="_DTV reporting 2007 new 2" xfId="740"/>
    <cellStyle name="_EBITDA Bridge Template1" xfId="741"/>
    <cellStyle name="_EBITDA Bridge Template1 2" xfId="742"/>
    <cellStyle name="_el_prc1" xfId="743"/>
    <cellStyle name="_Elia Output Template 19DEC2007 v2" xfId="744"/>
    <cellStyle name="_Elia Output Template 19DEC2007 v2 2" xfId="745"/>
    <cellStyle name="_Elia Output Template 23DEC2007 Submitted" xfId="746"/>
    <cellStyle name="_Elia Output Template 23DEC2007 Submitted 2" xfId="747"/>
    <cellStyle name="_Elia Output_modified_new" xfId="748"/>
    <cellStyle name="_Elia Output_modified_new 2" xfId="749"/>
    <cellStyle name="_EWUB_GRF_2005_unaudited_250206" xfId="750"/>
    <cellStyle name="_EWUB_GRF_2005_unaudited_250206 2" xfId="751"/>
    <cellStyle name="_EWUB_GRF_2005_unaudited_250206_CKBA_06_12_2" xfId="752"/>
    <cellStyle name="_EWUB_GRF_2005_unaudited_250206_CKBA_06_12_2 2" xfId="753"/>
    <cellStyle name="_EWUB_GRF_2005_unaudited_250206_DCF_AME_26.11.07" xfId="754"/>
    <cellStyle name="_EWUB_GRF_2005_unaudited_250206_DCF_AME_26.11.07 2" xfId="755"/>
    <cellStyle name="_EWUB_GRF_2005_unaudited_250206_FinancialModel 14.11.07" xfId="756"/>
    <cellStyle name="_EWUB_GRF_2005_unaudited_250206_FinancialModel 14.11.07 2" xfId="757"/>
    <cellStyle name="_EWUB_GRF_2005_unaudited_250206_Lenta DCF Databook 2009" xfId="758"/>
    <cellStyle name="_EWUB_GRF_2005_unaudited_250206_Lenta DCF Databook 2009 2" xfId="759"/>
    <cellStyle name="_EWUB_GRF_2005_unaudited_250206_UralChim_WACC_1" xfId="760"/>
    <cellStyle name="_EWUB_GRF_2005_unaudited_250206_UralChim_WACC_1 2" xfId="761"/>
    <cellStyle name="_excel for BM" xfId="762"/>
    <cellStyle name="_excel for board" xfId="763"/>
    <cellStyle name="_Expenses of InGok Traders" xfId="764"/>
    <cellStyle name="_Expenses of InGok Traders 2" xfId="765"/>
    <cellStyle name="_FA_muz_05 2 вар" xfId="766"/>
    <cellStyle name="_FA_Smith_acquisition_latest" xfId="767"/>
    <cellStyle name="_FA_UBM_01.04.2007" xfId="768"/>
    <cellStyle name="_FFF" xfId="769"/>
    <cellStyle name="_FFF 2" xfId="770"/>
    <cellStyle name="_FFF__Внесение мин удобрений (2010г)(6419172_к-628-09-2_108_628-ра_09_03_2010)" xfId="771"/>
    <cellStyle name="_FFF__Внесение мин удобрений (2010г)(6419172_к-628-09-2_108_628-ра_09_03_2010) 2" xfId="772"/>
    <cellStyle name="_FFF_17_0" xfId="773"/>
    <cellStyle name="_FFF_17_0_1" xfId="774"/>
    <cellStyle name="_FFF_CKBA_06_12_2" xfId="775"/>
    <cellStyle name="_FFF_CKBA_06_12_2 2" xfId="776"/>
    <cellStyle name="_FFF_DCF_AME_26.11.07" xfId="777"/>
    <cellStyle name="_FFF_DCF_AME_26.11.07 2" xfId="778"/>
    <cellStyle name="_FFF_FinancialModel 14.11.07" xfId="779"/>
    <cellStyle name="_FFF_FinancialModel 14.11.07 2" xfId="780"/>
    <cellStyle name="_FFF_Lenta DCF Databook 2009" xfId="781"/>
    <cellStyle name="_FFF_Lenta DCF Databook 2009 2" xfId="782"/>
    <cellStyle name="_FFF_New Form10_2" xfId="783"/>
    <cellStyle name="_FFF_New Form10_2 2" xfId="784"/>
    <cellStyle name="_FFF_New Form10_2__Внесение мин удобрений (2010г)(6419172_к-628-09-2_108_628-ра_09_03_2010)" xfId="785"/>
    <cellStyle name="_FFF_New Form10_2__Внесение мин удобрений (2010г)(6419172_к-628-09-2_108_628-ра_09_03_2010) 2" xfId="786"/>
    <cellStyle name="_FFF_New Form10_2_CKBA_06_12_2" xfId="787"/>
    <cellStyle name="_FFF_New Form10_2_CKBA_06_12_2 2" xfId="788"/>
    <cellStyle name="_FFF_New Form10_2_DCF_AME_26.11.07" xfId="789"/>
    <cellStyle name="_FFF_New Form10_2_DCF_AME_26.11.07 2" xfId="790"/>
    <cellStyle name="_FFF_New Form10_2_FinancialModel 14.11.07" xfId="791"/>
    <cellStyle name="_FFF_New Form10_2_FinancialModel 14.11.07 2" xfId="792"/>
    <cellStyle name="_FFF_New Form10_2_Lenta DCF Databook 2009" xfId="793"/>
    <cellStyle name="_FFF_New Form10_2_Lenta DCF Databook 2009 2" xfId="794"/>
    <cellStyle name="_FFF_New Form10_2_UralChim_WACC_1" xfId="795"/>
    <cellStyle name="_FFF_New Form10_2_UralChim_WACC_1 2" xfId="796"/>
    <cellStyle name="_FFF_New Form10_2_З_О 12" xfId="797"/>
    <cellStyle name="_FFF_New Form10_2_Предпосылки к стратегии" xfId="798"/>
    <cellStyle name="_FFF_New Form10_2_Слайды к презентации" xfId="799"/>
    <cellStyle name="_FFF_Nsi" xfId="800"/>
    <cellStyle name="_FFF_Nsi 2" xfId="801"/>
    <cellStyle name="_FFF_Nsi__Внесение мин удобрений (2010г)(6419172_к-628-09-2_108_628-ра_09_03_2010)" xfId="802"/>
    <cellStyle name="_FFF_Nsi__Внесение мин удобрений (2010г)(6419172_к-628-09-2_108_628-ра_09_03_2010) 2" xfId="803"/>
    <cellStyle name="_FFF_Nsi_1" xfId="804"/>
    <cellStyle name="_FFF_Nsi_1 2" xfId="805"/>
    <cellStyle name="_FFF_Nsi_1__Внесение мин удобрений (2010г)(6419172_к-628-09-2_108_628-ра_09_03_2010)" xfId="806"/>
    <cellStyle name="_FFF_Nsi_1__Внесение мин удобрений (2010г)(6419172_к-628-09-2_108_628-ра_09_03_2010) 2" xfId="807"/>
    <cellStyle name="_FFF_Nsi_1_CKBA_06_12_2" xfId="808"/>
    <cellStyle name="_FFF_Nsi_1_CKBA_06_12_2 2" xfId="809"/>
    <cellStyle name="_FFF_Nsi_1_DCF_AME_26.11.07" xfId="810"/>
    <cellStyle name="_FFF_Nsi_1_DCF_AME_26.11.07 2" xfId="811"/>
    <cellStyle name="_FFF_Nsi_1_FinancialModel 14.11.07" xfId="812"/>
    <cellStyle name="_FFF_Nsi_1_FinancialModel 14.11.07 2" xfId="813"/>
    <cellStyle name="_FFF_Nsi_1_Lenta DCF Databook 2009" xfId="814"/>
    <cellStyle name="_FFF_Nsi_1_Lenta DCF Databook 2009 2" xfId="815"/>
    <cellStyle name="_FFF_Nsi_1_UralChim_WACC_1" xfId="816"/>
    <cellStyle name="_FFF_Nsi_1_UralChim_WACC_1 2" xfId="817"/>
    <cellStyle name="_FFF_Nsi_1_З_О 12" xfId="818"/>
    <cellStyle name="_FFF_Nsi_1_Предпосылки к стратегии" xfId="819"/>
    <cellStyle name="_FFF_Nsi_1_Слайды к презентации" xfId="820"/>
    <cellStyle name="_FFF_Nsi_139" xfId="821"/>
    <cellStyle name="_FFF_Nsi_139 2" xfId="822"/>
    <cellStyle name="_FFF_Nsi_139__Внесение мин удобрений (2010г)(6419172_к-628-09-2_108_628-ра_09_03_2010)" xfId="823"/>
    <cellStyle name="_FFF_Nsi_139__Внесение мин удобрений (2010г)(6419172_к-628-09-2_108_628-ра_09_03_2010) 2" xfId="824"/>
    <cellStyle name="_FFF_Nsi_139_CKBA_06_12_2" xfId="825"/>
    <cellStyle name="_FFF_Nsi_139_CKBA_06_12_2 2" xfId="826"/>
    <cellStyle name="_FFF_Nsi_139_DCF_AME_26.11.07" xfId="827"/>
    <cellStyle name="_FFF_Nsi_139_DCF_AME_26.11.07 2" xfId="828"/>
    <cellStyle name="_FFF_Nsi_139_FinancialModel 14.11.07" xfId="829"/>
    <cellStyle name="_FFF_Nsi_139_FinancialModel 14.11.07 2" xfId="830"/>
    <cellStyle name="_FFF_Nsi_139_Lenta DCF Databook 2009" xfId="831"/>
    <cellStyle name="_FFF_Nsi_139_Lenta DCF Databook 2009 2" xfId="832"/>
    <cellStyle name="_FFF_Nsi_139_UralChim_WACC_1" xfId="833"/>
    <cellStyle name="_FFF_Nsi_139_UralChim_WACC_1 2" xfId="834"/>
    <cellStyle name="_FFF_Nsi_139_З_О 12" xfId="835"/>
    <cellStyle name="_FFF_Nsi_139_Предпосылки к стратегии" xfId="836"/>
    <cellStyle name="_FFF_Nsi_139_Слайды к презентации" xfId="837"/>
    <cellStyle name="_FFF_Nsi_140" xfId="838"/>
    <cellStyle name="_FFF_Nsi_140 2" xfId="839"/>
    <cellStyle name="_FFF_Nsi_140(Зах)" xfId="840"/>
    <cellStyle name="_FFF_Nsi_140(Зах) 2" xfId="841"/>
    <cellStyle name="_FFF_Nsi_140(Зах)__Внесение мин удобрений (2010г)(6419172_к-628-09-2_108_628-ра_09_03_2010)" xfId="842"/>
    <cellStyle name="_FFF_Nsi_140(Зах)__Внесение мин удобрений (2010г)(6419172_к-628-09-2_108_628-ра_09_03_2010) 2" xfId="843"/>
    <cellStyle name="_FFF_Nsi_140(Зах)_CKBA_06_12_2" xfId="844"/>
    <cellStyle name="_FFF_Nsi_140(Зах)_CKBA_06_12_2 2" xfId="845"/>
    <cellStyle name="_FFF_Nsi_140(Зах)_DCF_AME_26.11.07" xfId="846"/>
    <cellStyle name="_FFF_Nsi_140(Зах)_DCF_AME_26.11.07 2" xfId="847"/>
    <cellStyle name="_FFF_Nsi_140(Зах)_FinancialModel 14.11.07" xfId="848"/>
    <cellStyle name="_FFF_Nsi_140(Зах)_FinancialModel 14.11.07 2" xfId="849"/>
    <cellStyle name="_FFF_Nsi_140(Зах)_Lenta DCF Databook 2009" xfId="850"/>
    <cellStyle name="_FFF_Nsi_140(Зах)_Lenta DCF Databook 2009 2" xfId="851"/>
    <cellStyle name="_FFF_Nsi_140(Зах)_UralChim_WACC_1" xfId="852"/>
    <cellStyle name="_FFF_Nsi_140(Зах)_UralChim_WACC_1 2" xfId="853"/>
    <cellStyle name="_FFF_Nsi_140(Зах)_З_О 12" xfId="854"/>
    <cellStyle name="_FFF_Nsi_140(Зах)_Предпосылки к стратегии" xfId="855"/>
    <cellStyle name="_FFF_Nsi_140(Зах)_Слайды к презентации" xfId="856"/>
    <cellStyle name="_FFF_Nsi_140__Внесение мин удобрений (2010г)(6419172_к-628-09-2_108_628-ра_09_03_2010)" xfId="857"/>
    <cellStyle name="_FFF_Nsi_140__Внесение мин удобрений (2010г)(6419172_к-628-09-2_108_628-ра_09_03_2010) 2" xfId="858"/>
    <cellStyle name="_FFF_Nsi_140_CKBA_06_12_2" xfId="859"/>
    <cellStyle name="_FFF_Nsi_140_CKBA_06_12_2 2" xfId="860"/>
    <cellStyle name="_FFF_Nsi_140_DCF_AME_26.11.07" xfId="861"/>
    <cellStyle name="_FFF_Nsi_140_DCF_AME_26.11.07 2" xfId="862"/>
    <cellStyle name="_FFF_Nsi_140_FinancialModel 14.11.07" xfId="863"/>
    <cellStyle name="_FFF_Nsi_140_FinancialModel 14.11.07 2" xfId="864"/>
    <cellStyle name="_FFF_Nsi_140_Lenta DCF Databook 2009" xfId="865"/>
    <cellStyle name="_FFF_Nsi_140_Lenta DCF Databook 2009 2" xfId="866"/>
    <cellStyle name="_FFF_Nsi_140_mod" xfId="867"/>
    <cellStyle name="_FFF_Nsi_140_mod 2" xfId="868"/>
    <cellStyle name="_FFF_Nsi_140_mod__Внесение мин удобрений (2010г)(6419172_к-628-09-2_108_628-ра_09_03_2010)" xfId="869"/>
    <cellStyle name="_FFF_Nsi_140_mod__Внесение мин удобрений (2010г)(6419172_к-628-09-2_108_628-ра_09_03_2010) 2" xfId="870"/>
    <cellStyle name="_FFF_Nsi_140_mod_CKBA_06_12_2" xfId="871"/>
    <cellStyle name="_FFF_Nsi_140_mod_CKBA_06_12_2 2" xfId="872"/>
    <cellStyle name="_FFF_Nsi_140_mod_DCF_AME_26.11.07" xfId="873"/>
    <cellStyle name="_FFF_Nsi_140_mod_DCF_AME_26.11.07 2" xfId="874"/>
    <cellStyle name="_FFF_Nsi_140_mod_FinancialModel 14.11.07" xfId="875"/>
    <cellStyle name="_FFF_Nsi_140_mod_FinancialModel 14.11.07 2" xfId="876"/>
    <cellStyle name="_FFF_Nsi_140_mod_Lenta DCF Databook 2009" xfId="877"/>
    <cellStyle name="_FFF_Nsi_140_mod_Lenta DCF Databook 2009 2" xfId="878"/>
    <cellStyle name="_FFF_Nsi_140_mod_UralChim_WACC_1" xfId="879"/>
    <cellStyle name="_FFF_Nsi_140_mod_UralChim_WACC_1 2" xfId="880"/>
    <cellStyle name="_FFF_Nsi_140_mod_З_О 12" xfId="881"/>
    <cellStyle name="_FFF_Nsi_140_mod_Предпосылки к стратегии" xfId="882"/>
    <cellStyle name="_FFF_Nsi_140_mod_Слайды к презентации" xfId="883"/>
    <cellStyle name="_FFF_Nsi_140_UralChim_WACC_1" xfId="884"/>
    <cellStyle name="_FFF_Nsi_140_UralChim_WACC_1 2" xfId="885"/>
    <cellStyle name="_FFF_Nsi_140_З_О 12" xfId="886"/>
    <cellStyle name="_FFF_Nsi_140_Предпосылки к стратегии" xfId="887"/>
    <cellStyle name="_FFF_Nsi_140_Слайды к презентации" xfId="888"/>
    <cellStyle name="_FFF_Nsi_CKBA_06_12_2" xfId="889"/>
    <cellStyle name="_FFF_Nsi_CKBA_06_12_2 2" xfId="890"/>
    <cellStyle name="_FFF_Nsi_DCF_AME_26.11.07" xfId="891"/>
    <cellStyle name="_FFF_Nsi_DCF_AME_26.11.07 2" xfId="892"/>
    <cellStyle name="_FFF_Nsi_FinancialModel 14.11.07" xfId="893"/>
    <cellStyle name="_FFF_Nsi_FinancialModel 14.11.07 2" xfId="894"/>
    <cellStyle name="_FFF_Nsi_Lenta DCF Databook 2009" xfId="895"/>
    <cellStyle name="_FFF_Nsi_Lenta DCF Databook 2009 2" xfId="896"/>
    <cellStyle name="_FFF_Nsi_UralChim_WACC_1" xfId="897"/>
    <cellStyle name="_FFF_Nsi_UralChim_WACC_1 2" xfId="898"/>
    <cellStyle name="_FFF_Nsi_З_О 12" xfId="899"/>
    <cellStyle name="_FFF_Nsi_Предпосылки к стратегии" xfId="900"/>
    <cellStyle name="_FFF_Nsi_Слайды к презентации" xfId="901"/>
    <cellStyle name="_FFF_Summary" xfId="902"/>
    <cellStyle name="_FFF_Summary 2" xfId="903"/>
    <cellStyle name="_FFF_Summary__Внесение мин удобрений (2010г)(6419172_к-628-09-2_108_628-ра_09_03_2010)" xfId="904"/>
    <cellStyle name="_FFF_Summary__Внесение мин удобрений (2010г)(6419172_к-628-09-2_108_628-ра_09_03_2010) 2" xfId="905"/>
    <cellStyle name="_FFF_Summary_CKBA_06_12_2" xfId="906"/>
    <cellStyle name="_FFF_Summary_CKBA_06_12_2 2" xfId="907"/>
    <cellStyle name="_FFF_Summary_DCF_AME_26.11.07" xfId="908"/>
    <cellStyle name="_FFF_Summary_DCF_AME_26.11.07 2" xfId="909"/>
    <cellStyle name="_FFF_Summary_FinancialModel 14.11.07" xfId="910"/>
    <cellStyle name="_FFF_Summary_FinancialModel 14.11.07 2" xfId="911"/>
    <cellStyle name="_FFF_Summary_Lenta DCF Databook 2009" xfId="912"/>
    <cellStyle name="_FFF_Summary_Lenta DCF Databook 2009 2" xfId="913"/>
    <cellStyle name="_FFF_Summary_UralChim_WACC_1" xfId="914"/>
    <cellStyle name="_FFF_Summary_UralChim_WACC_1 2" xfId="915"/>
    <cellStyle name="_FFF_Summary_З_О 12" xfId="916"/>
    <cellStyle name="_FFF_Summary_Предпосылки к стратегии" xfId="917"/>
    <cellStyle name="_FFF_Summary_Слайды к презентации" xfId="918"/>
    <cellStyle name="_FFF_Tax_form_1кв_3" xfId="919"/>
    <cellStyle name="_FFF_Tax_form_1кв_3 2" xfId="920"/>
    <cellStyle name="_FFF_Tax_form_1кв_3__Внесение мин удобрений (2010г)(6419172_к-628-09-2_108_628-ра_09_03_2010)" xfId="921"/>
    <cellStyle name="_FFF_Tax_form_1кв_3__Внесение мин удобрений (2010г)(6419172_к-628-09-2_108_628-ра_09_03_2010) 2" xfId="922"/>
    <cellStyle name="_FFF_Tax_form_1кв_3_CKBA_06_12_2" xfId="923"/>
    <cellStyle name="_FFF_Tax_form_1кв_3_CKBA_06_12_2 2" xfId="924"/>
    <cellStyle name="_FFF_Tax_form_1кв_3_DCF_AME_26.11.07" xfId="925"/>
    <cellStyle name="_FFF_Tax_form_1кв_3_DCF_AME_26.11.07 2" xfId="926"/>
    <cellStyle name="_FFF_Tax_form_1кв_3_FinancialModel 14.11.07" xfId="927"/>
    <cellStyle name="_FFF_Tax_form_1кв_3_FinancialModel 14.11.07 2" xfId="928"/>
    <cellStyle name="_FFF_Tax_form_1кв_3_Lenta DCF Databook 2009" xfId="929"/>
    <cellStyle name="_FFF_Tax_form_1кв_3_Lenta DCF Databook 2009 2" xfId="930"/>
    <cellStyle name="_FFF_Tax_form_1кв_3_UralChim_WACC_1" xfId="931"/>
    <cellStyle name="_FFF_Tax_form_1кв_3_UralChim_WACC_1 2" xfId="932"/>
    <cellStyle name="_FFF_Tax_form_1кв_3_З_О 12" xfId="933"/>
    <cellStyle name="_FFF_Tax_form_1кв_3_Предпосылки к стратегии" xfId="934"/>
    <cellStyle name="_FFF_Tax_form_1кв_3_Слайды к презентации" xfId="935"/>
    <cellStyle name="_FFF_UralChim_WACC_1" xfId="936"/>
    <cellStyle name="_FFF_UralChim_WACC_1 2" xfId="937"/>
    <cellStyle name="_FFF_БКЭ" xfId="938"/>
    <cellStyle name="_FFF_БКЭ 2" xfId="939"/>
    <cellStyle name="_FFF_БКЭ__Внесение мин удобрений (2010г)(6419172_к-628-09-2_108_628-ра_09_03_2010)" xfId="940"/>
    <cellStyle name="_FFF_БКЭ__Внесение мин удобрений (2010г)(6419172_к-628-09-2_108_628-ра_09_03_2010) 2" xfId="941"/>
    <cellStyle name="_FFF_БКЭ_CKBA_06_12_2" xfId="942"/>
    <cellStyle name="_FFF_БКЭ_CKBA_06_12_2 2" xfId="943"/>
    <cellStyle name="_FFF_БКЭ_DCF_AME_26.11.07" xfId="944"/>
    <cellStyle name="_FFF_БКЭ_DCF_AME_26.11.07 2" xfId="945"/>
    <cellStyle name="_FFF_БКЭ_FinancialModel 14.11.07" xfId="946"/>
    <cellStyle name="_FFF_БКЭ_FinancialModel 14.11.07 2" xfId="947"/>
    <cellStyle name="_FFF_БКЭ_Lenta DCF Databook 2009" xfId="948"/>
    <cellStyle name="_FFF_БКЭ_Lenta DCF Databook 2009 2" xfId="949"/>
    <cellStyle name="_FFF_БКЭ_UralChim_WACC_1" xfId="950"/>
    <cellStyle name="_FFF_БКЭ_UralChim_WACC_1 2" xfId="951"/>
    <cellStyle name="_FFF_БКЭ_З_О 12" xfId="952"/>
    <cellStyle name="_FFF_БКЭ_Предпосылки к стратегии" xfId="953"/>
    <cellStyle name="_FFF_БКЭ_Слайды к презентации" xfId="954"/>
    <cellStyle name="_FFF_З_О 12" xfId="955"/>
    <cellStyle name="_FFF_Перечень названий форм" xfId="956"/>
    <cellStyle name="_FFF_Предпосылки к стратегии" xfId="957"/>
    <cellStyle name="_FFF_Слайды к презентации" xfId="958"/>
    <cellStyle name="_Fin analysis Marta" xfId="959"/>
    <cellStyle name="_Fin analysis Marta 2" xfId="960"/>
    <cellStyle name="_Final_Book_010301" xfId="961"/>
    <cellStyle name="_Final_Book_010301 2" xfId="962"/>
    <cellStyle name="_Final_Book_010301__Внесение мин удобрений (2010г)(6419172_к-628-09-2_108_628-ра_09_03_2010)" xfId="963"/>
    <cellStyle name="_Final_Book_010301__Внесение мин удобрений (2010г)(6419172_к-628-09-2_108_628-ра_09_03_2010) 2" xfId="964"/>
    <cellStyle name="_Final_Book_010301_17_0" xfId="965"/>
    <cellStyle name="_Final_Book_010301_17_0_1" xfId="966"/>
    <cellStyle name="_Final_Book_010301_CKBA_06_12_2" xfId="967"/>
    <cellStyle name="_Final_Book_010301_CKBA_06_12_2 2" xfId="968"/>
    <cellStyle name="_Final_Book_010301_DCF_AME_26.11.07" xfId="969"/>
    <cellStyle name="_Final_Book_010301_DCF_AME_26.11.07 2" xfId="970"/>
    <cellStyle name="_Final_Book_010301_FinancialModel 14.11.07" xfId="971"/>
    <cellStyle name="_Final_Book_010301_FinancialModel 14.11.07 2" xfId="972"/>
    <cellStyle name="_Final_Book_010301_Lenta DCF Databook 2009" xfId="973"/>
    <cellStyle name="_Final_Book_010301_Lenta DCF Databook 2009 2" xfId="974"/>
    <cellStyle name="_Final_Book_010301_New Form10_2" xfId="975"/>
    <cellStyle name="_Final_Book_010301_New Form10_2 2" xfId="976"/>
    <cellStyle name="_Final_Book_010301_New Form10_2__Внесение мин удобрений (2010г)(6419172_к-628-09-2_108_628-ра_09_03_2010)" xfId="977"/>
    <cellStyle name="_Final_Book_010301_New Form10_2__Внесение мин удобрений (2010г)(6419172_к-628-09-2_108_628-ра_09_03_2010) 2" xfId="978"/>
    <cellStyle name="_Final_Book_010301_New Form10_2_CKBA_06_12_2" xfId="979"/>
    <cellStyle name="_Final_Book_010301_New Form10_2_CKBA_06_12_2 2" xfId="980"/>
    <cellStyle name="_Final_Book_010301_New Form10_2_DCF_AME_26.11.07" xfId="981"/>
    <cellStyle name="_Final_Book_010301_New Form10_2_DCF_AME_26.11.07 2" xfId="982"/>
    <cellStyle name="_Final_Book_010301_New Form10_2_FinancialModel 14.11.07" xfId="983"/>
    <cellStyle name="_Final_Book_010301_New Form10_2_FinancialModel 14.11.07 2" xfId="984"/>
    <cellStyle name="_Final_Book_010301_New Form10_2_Lenta DCF Databook 2009" xfId="985"/>
    <cellStyle name="_Final_Book_010301_New Form10_2_Lenta DCF Databook 2009 2" xfId="986"/>
    <cellStyle name="_Final_Book_010301_New Form10_2_UralChim_WACC_1" xfId="987"/>
    <cellStyle name="_Final_Book_010301_New Form10_2_UralChim_WACC_1 2" xfId="988"/>
    <cellStyle name="_Final_Book_010301_New Form10_2_З_О 12" xfId="989"/>
    <cellStyle name="_Final_Book_010301_New Form10_2_Предпосылки к стратегии" xfId="990"/>
    <cellStyle name="_Final_Book_010301_New Form10_2_Слайды к презентации" xfId="991"/>
    <cellStyle name="_Final_Book_010301_Nsi" xfId="992"/>
    <cellStyle name="_Final_Book_010301_Nsi 2" xfId="993"/>
    <cellStyle name="_Final_Book_010301_Nsi__Внесение мин удобрений (2010г)(6419172_к-628-09-2_108_628-ра_09_03_2010)" xfId="994"/>
    <cellStyle name="_Final_Book_010301_Nsi__Внесение мин удобрений (2010г)(6419172_к-628-09-2_108_628-ра_09_03_2010) 2" xfId="995"/>
    <cellStyle name="_Final_Book_010301_Nsi_1" xfId="996"/>
    <cellStyle name="_Final_Book_010301_Nsi_1 2" xfId="997"/>
    <cellStyle name="_Final_Book_010301_Nsi_1__Внесение мин удобрений (2010г)(6419172_к-628-09-2_108_628-ра_09_03_2010)" xfId="998"/>
    <cellStyle name="_Final_Book_010301_Nsi_1__Внесение мин удобрений (2010г)(6419172_к-628-09-2_108_628-ра_09_03_2010) 2" xfId="999"/>
    <cellStyle name="_Final_Book_010301_Nsi_1_CKBA_06_12_2" xfId="1000"/>
    <cellStyle name="_Final_Book_010301_Nsi_1_CKBA_06_12_2 2" xfId="1001"/>
    <cellStyle name="_Final_Book_010301_Nsi_1_DCF_AME_26.11.07" xfId="1002"/>
    <cellStyle name="_Final_Book_010301_Nsi_1_DCF_AME_26.11.07 2" xfId="1003"/>
    <cellStyle name="_Final_Book_010301_Nsi_1_FinancialModel 14.11.07" xfId="1004"/>
    <cellStyle name="_Final_Book_010301_Nsi_1_FinancialModel 14.11.07 2" xfId="1005"/>
    <cellStyle name="_Final_Book_010301_Nsi_1_Lenta DCF Databook 2009" xfId="1006"/>
    <cellStyle name="_Final_Book_010301_Nsi_1_Lenta DCF Databook 2009 2" xfId="1007"/>
    <cellStyle name="_Final_Book_010301_Nsi_1_UralChim_WACC_1" xfId="1008"/>
    <cellStyle name="_Final_Book_010301_Nsi_1_UralChim_WACC_1 2" xfId="1009"/>
    <cellStyle name="_Final_Book_010301_Nsi_1_З_О 12" xfId="1010"/>
    <cellStyle name="_Final_Book_010301_Nsi_1_Предпосылки к стратегии" xfId="1011"/>
    <cellStyle name="_Final_Book_010301_Nsi_1_Слайды к презентации" xfId="1012"/>
    <cellStyle name="_Final_Book_010301_Nsi_139" xfId="1013"/>
    <cellStyle name="_Final_Book_010301_Nsi_139 2" xfId="1014"/>
    <cellStyle name="_Final_Book_010301_Nsi_139__Внесение мин удобрений (2010г)(6419172_к-628-09-2_108_628-ра_09_03_2010)" xfId="1015"/>
    <cellStyle name="_Final_Book_010301_Nsi_139__Внесение мин удобрений (2010г)(6419172_к-628-09-2_108_628-ра_09_03_2010) 2" xfId="1016"/>
    <cellStyle name="_Final_Book_010301_Nsi_139_CKBA_06_12_2" xfId="1017"/>
    <cellStyle name="_Final_Book_010301_Nsi_139_CKBA_06_12_2 2" xfId="1018"/>
    <cellStyle name="_Final_Book_010301_Nsi_139_DCF_AME_26.11.07" xfId="1019"/>
    <cellStyle name="_Final_Book_010301_Nsi_139_DCF_AME_26.11.07 2" xfId="1020"/>
    <cellStyle name="_Final_Book_010301_Nsi_139_FinancialModel 14.11.07" xfId="1021"/>
    <cellStyle name="_Final_Book_010301_Nsi_139_FinancialModel 14.11.07 2" xfId="1022"/>
    <cellStyle name="_Final_Book_010301_Nsi_139_Lenta DCF Databook 2009" xfId="1023"/>
    <cellStyle name="_Final_Book_010301_Nsi_139_Lenta DCF Databook 2009 2" xfId="1024"/>
    <cellStyle name="_Final_Book_010301_Nsi_139_UralChim_WACC_1" xfId="1025"/>
    <cellStyle name="_Final_Book_010301_Nsi_139_UralChim_WACC_1 2" xfId="1026"/>
    <cellStyle name="_Final_Book_010301_Nsi_139_З_О 12" xfId="1027"/>
    <cellStyle name="_Final_Book_010301_Nsi_139_Предпосылки к стратегии" xfId="1028"/>
    <cellStyle name="_Final_Book_010301_Nsi_139_Слайды к презентации" xfId="1029"/>
    <cellStyle name="_Final_Book_010301_Nsi_140" xfId="1030"/>
    <cellStyle name="_Final_Book_010301_Nsi_140 2" xfId="1031"/>
    <cellStyle name="_Final_Book_010301_Nsi_140(Зах)" xfId="1032"/>
    <cellStyle name="_Final_Book_010301_Nsi_140(Зах) 2" xfId="1033"/>
    <cellStyle name="_Final_Book_010301_Nsi_140(Зах)__Внесение мин удобрений (2010г)(6419172_к-628-09-2_108_628-ра_09_03_2010)" xfId="1034"/>
    <cellStyle name="_Final_Book_010301_Nsi_140(Зах)__Внесение мин удобрений (2010г)(6419172_к-628-09-2_108_628-ра_09_03_2010) 2" xfId="1035"/>
    <cellStyle name="_Final_Book_010301_Nsi_140(Зах)_CKBA_06_12_2" xfId="1036"/>
    <cellStyle name="_Final_Book_010301_Nsi_140(Зах)_CKBA_06_12_2 2" xfId="1037"/>
    <cellStyle name="_Final_Book_010301_Nsi_140(Зах)_DCF_AME_26.11.07" xfId="1038"/>
    <cellStyle name="_Final_Book_010301_Nsi_140(Зах)_DCF_AME_26.11.07 2" xfId="1039"/>
    <cellStyle name="_Final_Book_010301_Nsi_140(Зах)_FinancialModel 14.11.07" xfId="1040"/>
    <cellStyle name="_Final_Book_010301_Nsi_140(Зах)_FinancialModel 14.11.07 2" xfId="1041"/>
    <cellStyle name="_Final_Book_010301_Nsi_140(Зах)_Lenta DCF Databook 2009" xfId="1042"/>
    <cellStyle name="_Final_Book_010301_Nsi_140(Зах)_Lenta DCF Databook 2009 2" xfId="1043"/>
    <cellStyle name="_Final_Book_010301_Nsi_140(Зах)_UralChim_WACC_1" xfId="1044"/>
    <cellStyle name="_Final_Book_010301_Nsi_140(Зах)_UralChim_WACC_1 2" xfId="1045"/>
    <cellStyle name="_Final_Book_010301_Nsi_140(Зах)_З_О 12" xfId="1046"/>
    <cellStyle name="_Final_Book_010301_Nsi_140(Зах)_Предпосылки к стратегии" xfId="1047"/>
    <cellStyle name="_Final_Book_010301_Nsi_140(Зах)_Слайды к презентации" xfId="1048"/>
    <cellStyle name="_Final_Book_010301_Nsi_140__Внесение мин удобрений (2010г)(6419172_к-628-09-2_108_628-ра_09_03_2010)" xfId="1049"/>
    <cellStyle name="_Final_Book_010301_Nsi_140__Внесение мин удобрений (2010г)(6419172_к-628-09-2_108_628-ра_09_03_2010) 2" xfId="1050"/>
    <cellStyle name="_Final_Book_010301_Nsi_140_CKBA_06_12_2" xfId="1051"/>
    <cellStyle name="_Final_Book_010301_Nsi_140_CKBA_06_12_2 2" xfId="1052"/>
    <cellStyle name="_Final_Book_010301_Nsi_140_DCF_AME_26.11.07" xfId="1053"/>
    <cellStyle name="_Final_Book_010301_Nsi_140_DCF_AME_26.11.07 2" xfId="1054"/>
    <cellStyle name="_Final_Book_010301_Nsi_140_FinancialModel 14.11.07" xfId="1055"/>
    <cellStyle name="_Final_Book_010301_Nsi_140_FinancialModel 14.11.07 2" xfId="1056"/>
    <cellStyle name="_Final_Book_010301_Nsi_140_Lenta DCF Databook 2009" xfId="1057"/>
    <cellStyle name="_Final_Book_010301_Nsi_140_Lenta DCF Databook 2009 2" xfId="1058"/>
    <cellStyle name="_Final_Book_010301_Nsi_140_mod" xfId="1059"/>
    <cellStyle name="_Final_Book_010301_Nsi_140_mod 2" xfId="1060"/>
    <cellStyle name="_Final_Book_010301_Nsi_140_mod__Внесение мин удобрений (2010г)(6419172_к-628-09-2_108_628-ра_09_03_2010)" xfId="1061"/>
    <cellStyle name="_Final_Book_010301_Nsi_140_mod__Внесение мин удобрений (2010г)(6419172_к-628-09-2_108_628-ра_09_03_2010) 2" xfId="1062"/>
    <cellStyle name="_Final_Book_010301_Nsi_140_mod_CKBA_06_12_2" xfId="1063"/>
    <cellStyle name="_Final_Book_010301_Nsi_140_mod_CKBA_06_12_2 2" xfId="1064"/>
    <cellStyle name="_Final_Book_010301_Nsi_140_mod_DCF_AME_26.11.07" xfId="1065"/>
    <cellStyle name="_Final_Book_010301_Nsi_140_mod_DCF_AME_26.11.07 2" xfId="1066"/>
    <cellStyle name="_Final_Book_010301_Nsi_140_mod_FinancialModel 14.11.07" xfId="1067"/>
    <cellStyle name="_Final_Book_010301_Nsi_140_mod_FinancialModel 14.11.07 2" xfId="1068"/>
    <cellStyle name="_Final_Book_010301_Nsi_140_mod_Lenta DCF Databook 2009" xfId="1069"/>
    <cellStyle name="_Final_Book_010301_Nsi_140_mod_Lenta DCF Databook 2009 2" xfId="1070"/>
    <cellStyle name="_Final_Book_010301_Nsi_140_mod_UralChim_WACC_1" xfId="1071"/>
    <cellStyle name="_Final_Book_010301_Nsi_140_mod_UralChim_WACC_1 2" xfId="1072"/>
    <cellStyle name="_Final_Book_010301_Nsi_140_mod_З_О 12" xfId="1073"/>
    <cellStyle name="_Final_Book_010301_Nsi_140_mod_Предпосылки к стратегии" xfId="1074"/>
    <cellStyle name="_Final_Book_010301_Nsi_140_mod_Слайды к презентации" xfId="1075"/>
    <cellStyle name="_Final_Book_010301_Nsi_140_UralChim_WACC_1" xfId="1076"/>
    <cellStyle name="_Final_Book_010301_Nsi_140_UralChim_WACC_1 2" xfId="1077"/>
    <cellStyle name="_Final_Book_010301_Nsi_140_З_О 12" xfId="1078"/>
    <cellStyle name="_Final_Book_010301_Nsi_140_Предпосылки к стратегии" xfId="1079"/>
    <cellStyle name="_Final_Book_010301_Nsi_140_Слайды к презентации" xfId="1080"/>
    <cellStyle name="_Final_Book_010301_Nsi_CKBA_06_12_2" xfId="1081"/>
    <cellStyle name="_Final_Book_010301_Nsi_CKBA_06_12_2 2" xfId="1082"/>
    <cellStyle name="_Final_Book_010301_Nsi_DCF_AME_26.11.07" xfId="1083"/>
    <cellStyle name="_Final_Book_010301_Nsi_DCF_AME_26.11.07 2" xfId="1084"/>
    <cellStyle name="_Final_Book_010301_Nsi_FinancialModel 14.11.07" xfId="1085"/>
    <cellStyle name="_Final_Book_010301_Nsi_FinancialModel 14.11.07 2" xfId="1086"/>
    <cellStyle name="_Final_Book_010301_Nsi_Lenta DCF Databook 2009" xfId="1087"/>
    <cellStyle name="_Final_Book_010301_Nsi_Lenta DCF Databook 2009 2" xfId="1088"/>
    <cellStyle name="_Final_Book_010301_Nsi_UralChim_WACC_1" xfId="1089"/>
    <cellStyle name="_Final_Book_010301_Nsi_UralChim_WACC_1 2" xfId="1090"/>
    <cellStyle name="_Final_Book_010301_Nsi_З_О 12" xfId="1091"/>
    <cellStyle name="_Final_Book_010301_Nsi_Предпосылки к стратегии" xfId="1092"/>
    <cellStyle name="_Final_Book_010301_Nsi_Слайды к презентации" xfId="1093"/>
    <cellStyle name="_Final_Book_010301_Summary" xfId="1094"/>
    <cellStyle name="_Final_Book_010301_Summary 2" xfId="1095"/>
    <cellStyle name="_Final_Book_010301_Summary__Внесение мин удобрений (2010г)(6419172_к-628-09-2_108_628-ра_09_03_2010)" xfId="1096"/>
    <cellStyle name="_Final_Book_010301_Summary__Внесение мин удобрений (2010г)(6419172_к-628-09-2_108_628-ра_09_03_2010) 2" xfId="1097"/>
    <cellStyle name="_Final_Book_010301_Summary_CKBA_06_12_2" xfId="1098"/>
    <cellStyle name="_Final_Book_010301_Summary_CKBA_06_12_2 2" xfId="1099"/>
    <cellStyle name="_Final_Book_010301_Summary_DCF_AME_26.11.07" xfId="1100"/>
    <cellStyle name="_Final_Book_010301_Summary_DCF_AME_26.11.07 2" xfId="1101"/>
    <cellStyle name="_Final_Book_010301_Summary_FinancialModel 14.11.07" xfId="1102"/>
    <cellStyle name="_Final_Book_010301_Summary_FinancialModel 14.11.07 2" xfId="1103"/>
    <cellStyle name="_Final_Book_010301_Summary_Lenta DCF Databook 2009" xfId="1104"/>
    <cellStyle name="_Final_Book_010301_Summary_Lenta DCF Databook 2009 2" xfId="1105"/>
    <cellStyle name="_Final_Book_010301_Summary_UralChim_WACC_1" xfId="1106"/>
    <cellStyle name="_Final_Book_010301_Summary_UralChim_WACC_1 2" xfId="1107"/>
    <cellStyle name="_Final_Book_010301_Summary_З_О 12" xfId="1108"/>
    <cellStyle name="_Final_Book_010301_Summary_Предпосылки к стратегии" xfId="1109"/>
    <cellStyle name="_Final_Book_010301_Summary_Слайды к презентации" xfId="1110"/>
    <cellStyle name="_Final_Book_010301_Tax_form_1кв_3" xfId="1111"/>
    <cellStyle name="_Final_Book_010301_Tax_form_1кв_3 2" xfId="1112"/>
    <cellStyle name="_Final_Book_010301_Tax_form_1кв_3__Внесение мин удобрений (2010г)(6419172_к-628-09-2_108_628-ра_09_03_2010)" xfId="1113"/>
    <cellStyle name="_Final_Book_010301_Tax_form_1кв_3__Внесение мин удобрений (2010г)(6419172_к-628-09-2_108_628-ра_09_03_2010) 2" xfId="1114"/>
    <cellStyle name="_Final_Book_010301_Tax_form_1кв_3_CKBA_06_12_2" xfId="1115"/>
    <cellStyle name="_Final_Book_010301_Tax_form_1кв_3_CKBA_06_12_2 2" xfId="1116"/>
    <cellStyle name="_Final_Book_010301_Tax_form_1кв_3_DCF_AME_26.11.07" xfId="1117"/>
    <cellStyle name="_Final_Book_010301_Tax_form_1кв_3_DCF_AME_26.11.07 2" xfId="1118"/>
    <cellStyle name="_Final_Book_010301_Tax_form_1кв_3_FinancialModel 14.11.07" xfId="1119"/>
    <cellStyle name="_Final_Book_010301_Tax_form_1кв_3_FinancialModel 14.11.07 2" xfId="1120"/>
    <cellStyle name="_Final_Book_010301_Tax_form_1кв_3_Lenta DCF Databook 2009" xfId="1121"/>
    <cellStyle name="_Final_Book_010301_Tax_form_1кв_3_Lenta DCF Databook 2009 2" xfId="1122"/>
    <cellStyle name="_Final_Book_010301_Tax_form_1кв_3_UralChim_WACC_1" xfId="1123"/>
    <cellStyle name="_Final_Book_010301_Tax_form_1кв_3_UralChim_WACC_1 2" xfId="1124"/>
    <cellStyle name="_Final_Book_010301_Tax_form_1кв_3_З_О 12" xfId="1125"/>
    <cellStyle name="_Final_Book_010301_Tax_form_1кв_3_Предпосылки к стратегии" xfId="1126"/>
    <cellStyle name="_Final_Book_010301_Tax_form_1кв_3_Слайды к презентации" xfId="1127"/>
    <cellStyle name="_Final_Book_010301_UralChim_WACC_1" xfId="1128"/>
    <cellStyle name="_Final_Book_010301_UralChim_WACC_1 2" xfId="1129"/>
    <cellStyle name="_Final_Book_010301_БКЭ" xfId="1130"/>
    <cellStyle name="_Final_Book_010301_БКЭ 2" xfId="1131"/>
    <cellStyle name="_Final_Book_010301_БКЭ__Внесение мин удобрений (2010г)(6419172_к-628-09-2_108_628-ра_09_03_2010)" xfId="1132"/>
    <cellStyle name="_Final_Book_010301_БКЭ__Внесение мин удобрений (2010г)(6419172_к-628-09-2_108_628-ра_09_03_2010) 2" xfId="1133"/>
    <cellStyle name="_Final_Book_010301_БКЭ_CKBA_06_12_2" xfId="1134"/>
    <cellStyle name="_Final_Book_010301_БКЭ_CKBA_06_12_2 2" xfId="1135"/>
    <cellStyle name="_Final_Book_010301_БКЭ_DCF_AME_26.11.07" xfId="1136"/>
    <cellStyle name="_Final_Book_010301_БКЭ_DCF_AME_26.11.07 2" xfId="1137"/>
    <cellStyle name="_Final_Book_010301_БКЭ_FinancialModel 14.11.07" xfId="1138"/>
    <cellStyle name="_Final_Book_010301_БКЭ_FinancialModel 14.11.07 2" xfId="1139"/>
    <cellStyle name="_Final_Book_010301_БКЭ_Lenta DCF Databook 2009" xfId="1140"/>
    <cellStyle name="_Final_Book_010301_БКЭ_Lenta DCF Databook 2009 2" xfId="1141"/>
    <cellStyle name="_Final_Book_010301_БКЭ_UralChim_WACC_1" xfId="1142"/>
    <cellStyle name="_Final_Book_010301_БКЭ_UralChim_WACC_1 2" xfId="1143"/>
    <cellStyle name="_Final_Book_010301_БКЭ_З_О 12" xfId="1144"/>
    <cellStyle name="_Final_Book_010301_БКЭ_Предпосылки к стратегии" xfId="1145"/>
    <cellStyle name="_Final_Book_010301_БКЭ_Слайды к презентации" xfId="1146"/>
    <cellStyle name="_Final_Book_010301_З_О 12" xfId="1147"/>
    <cellStyle name="_Final_Book_010301_Перечень названий форм" xfId="1148"/>
    <cellStyle name="_Final_Book_010301_Предпосылки к стратегии" xfId="1149"/>
    <cellStyle name="_Final_Book_010301_Слайды к презентации" xfId="1150"/>
    <cellStyle name="_Finance leases" xfId="1151"/>
    <cellStyle name="_FinStat" xfId="1152"/>
    <cellStyle name="_FinStat 2" xfId="1153"/>
    <cellStyle name="_Fixed" xfId="1154"/>
    <cellStyle name="_Fixed 2" xfId="1155"/>
    <cellStyle name="_Fixed_1" xfId="1156"/>
    <cellStyle name="_Fixed_1 2" xfId="1157"/>
    <cellStyle name="_For Prod" xfId="1158"/>
    <cellStyle name="_For Prod 2" xfId="1159"/>
    <cellStyle name="_FT11111_31_03_2004" xfId="1160"/>
    <cellStyle name="_FT11111_31_03_2004 2" xfId="1161"/>
    <cellStyle name="_GFS October 05 AR analysis" xfId="1162"/>
    <cellStyle name="_GPB model_AFS_11" xfId="1163"/>
    <cellStyle name="_GPB model_AFS_11 2" xfId="1164"/>
    <cellStyle name="_GPB model_v21" xfId="1165"/>
    <cellStyle name="_GPB model_v21 2" xfId="1166"/>
    <cellStyle name="_Grossmart_DCF_05.09" xfId="1167"/>
    <cellStyle name="_Grossmart_DCF_05.09 2" xfId="1168"/>
    <cellStyle name="_Guta support" xfId="1169"/>
    <cellStyle name="_Guta support 2" xfId="1170"/>
    <cellStyle name="_Guta support_CKBA_06_12_2" xfId="1171"/>
    <cellStyle name="_Guta support_CKBA_06_12_2 2" xfId="1172"/>
    <cellStyle name="_Guta support_DCF_AME_26.11.07" xfId="1173"/>
    <cellStyle name="_Guta support_DCF_AME_26.11.07 2" xfId="1174"/>
    <cellStyle name="_Guta support_FinancialModel 14.11.07" xfId="1175"/>
    <cellStyle name="_Guta support_FinancialModel 14.11.07 2" xfId="1176"/>
    <cellStyle name="_Guta support_Lenta DCF Databook 2009" xfId="1177"/>
    <cellStyle name="_Guta support_Lenta DCF Databook 2009 2" xfId="1178"/>
    <cellStyle name="_Guta support_UralChim_WACC_1" xfId="1179"/>
    <cellStyle name="_Guta support_UralChim_WACC_1 2" xfId="1180"/>
    <cellStyle name="_header_grey" xfId="1181"/>
    <cellStyle name="_header_grey 2" xfId="1182"/>
    <cellStyle name="_header_italic" xfId="1183"/>
    <cellStyle name="_header_italic 2" xfId="1184"/>
    <cellStyle name="_header_vertical" xfId="1185"/>
    <cellStyle name="_Heading_16 Detail of Key Metrics_mario marco" xfId="1186"/>
    <cellStyle name="_Highlight" xfId="1187"/>
    <cellStyle name="_Highlight 2" xfId="1188"/>
    <cellStyle name="_HTV Vladivostok Synergetic adj3" xfId="1189"/>
    <cellStyle name="_HTV Vladivostok Synergetic adj3 2" xfId="1190"/>
    <cellStyle name="_Hydro Model 26.02.2007" xfId="1191"/>
    <cellStyle name="_Hydro Model 26.02.2007 2" xfId="1192"/>
    <cellStyle name="_IAS FS1" xfId="1193"/>
    <cellStyle name="_Identification_PTC" xfId="1194"/>
    <cellStyle name="_IG Cons IAS FS 8 months 2005" xfId="1195"/>
    <cellStyle name="_IG Cons IFRS FS 12 months 2005 links 031406" xfId="1196"/>
    <cellStyle name="_infl" xfId="1197"/>
    <cellStyle name="_Input TD" xfId="1198"/>
    <cellStyle name="_Input TD " xfId="1199"/>
    <cellStyle name="_Input TD  2" xfId="1200"/>
    <cellStyle name="_Input TD _1" xfId="1201"/>
    <cellStyle name="_Input TD _1 2" xfId="1202"/>
    <cellStyle name="_Input TD 2" xfId="1203"/>
    <cellStyle name="_Input TD 3" xfId="1204"/>
    <cellStyle name="_Input TI" xfId="1205"/>
    <cellStyle name="_Input TI 2" xfId="1206"/>
    <cellStyle name="_Inputs" xfId="1207"/>
    <cellStyle name="_Inputs &amp; Assumptions" xfId="1208"/>
    <cellStyle name="_Inputs &amp; Assumptions 2" xfId="1209"/>
    <cellStyle name="_Inputs &amp; Assumptions_1" xfId="1210"/>
    <cellStyle name="_Inputs &amp; Assumptions_1 2" xfId="1211"/>
    <cellStyle name="_Inputs 2" xfId="1212"/>
    <cellStyle name="_Inputs 3" xfId="1213"/>
    <cellStyle name="_INQUIRY_ННЗ" xfId="1214"/>
    <cellStyle name="_Intangible assets_Smith_final" xfId="1215"/>
    <cellStyle name="_Integra Group Audit 2005_PwC Proposed Adjustments_051806" xfId="1216"/>
    <cellStyle name="_Integra KRS IAS FS 1H" xfId="1217"/>
    <cellStyle name="_Inventory provision adjustments" xfId="1218"/>
    <cellStyle name="_Inventory provision adjustments 2" xfId="1219"/>
    <cellStyle name="_IPO_2007-2011" xfId="1220"/>
    <cellStyle name="_IPO_2007-2011 2" xfId="1221"/>
    <cellStyle name="_IPr_TGK_2005" xfId="1222"/>
    <cellStyle name="_IPr_TGK_2005 2" xfId="1223"/>
    <cellStyle name="_IPr_TGK_2005_4q0" xfId="1224"/>
    <cellStyle name="_IPr_TGK_2005_4q0 2" xfId="1225"/>
    <cellStyle name="_IrNP Model 2007_Sept-27" xfId="1226"/>
    <cellStyle name="_IrNP Model 2007_Sept-27 2" xfId="1227"/>
    <cellStyle name="_IRNP_Dataset Aug 9" xfId="1228"/>
    <cellStyle name="_IRNP_Dataset Aug 9 2" xfId="1229"/>
    <cellStyle name="_Irterminal PPA 2007 Sep 28 for sending" xfId="1230"/>
    <cellStyle name="_Irterminal PPA 2007 Sep 28 for sending 2" xfId="1231"/>
    <cellStyle name="_IS 2006" xfId="1232"/>
    <cellStyle name="_Jay_June 06 UCN_EY_7" xfId="1233"/>
    <cellStyle name="_Jay_June 06 UCN_EY_7_CKBA_06_12_2" xfId="1234"/>
    <cellStyle name="_Jay_June 06 UCN_EY_7_DCF_AME_26.11.07" xfId="1235"/>
    <cellStyle name="_Jay_June 06 UCN_EY_7_Discount rate NZ" xfId="1236"/>
    <cellStyle name="_Jay_June 06 UCN_EY_7_FinancialModel 14.11.07" xfId="1237"/>
    <cellStyle name="_Jay_June 06 UCN_EY_7_SI_MA_NL" xfId="1238"/>
    <cellStyle name="_JV Model2" xfId="1239"/>
    <cellStyle name="_JV Model2 2" xfId="1240"/>
    <cellStyle name="_Key Business Plan Indicators2" xfId="1241"/>
    <cellStyle name="_Krasnodonugol DCF model_v 0_September 3 2005" xfId="1242"/>
    <cellStyle name="_Krasnodonugol DCF model_v 0_September 3 2005 2" xfId="1243"/>
    <cellStyle name="_Krasnodonugol DCF model_v 0_September 3 2005_CKBA_06_12_2" xfId="1244"/>
    <cellStyle name="_Krasnodonugol DCF model_v 0_September 3 2005_CKBA_06_12_2 2" xfId="1245"/>
    <cellStyle name="_Krasnodonugol DCF model_v 0_September 3 2005_DCF_AME_26.11.07" xfId="1246"/>
    <cellStyle name="_Krasnodonugol DCF model_v 0_September 3 2005_DCF_AME_26.11.07 2" xfId="1247"/>
    <cellStyle name="_Krasnodonugol DCF model_v 0_September 3 2005_FinancialModel 14.11.07" xfId="1248"/>
    <cellStyle name="_Krasnodonugol DCF model_v 0_September 3 2005_FinancialModel 14.11.07 2" xfId="1249"/>
    <cellStyle name="_Krasnodonugol DCF model_v 0_September 3 2005_Lenta DCF Databook 2009" xfId="1250"/>
    <cellStyle name="_Krasnodonugol DCF model_v 0_September 3 2005_Lenta DCF Databook 2009 2" xfId="1251"/>
    <cellStyle name="_Krasnodonugol DCF model_v 0_September 3 2005_UralChim_WACC_1" xfId="1252"/>
    <cellStyle name="_Krasnodonugol DCF model_v 0_September 3 2005_UralChim_WACC_1 2" xfId="1253"/>
    <cellStyle name="_KRIOGENMASH_WACC_31.03.08" xfId="1254"/>
    <cellStyle name="_KRIOGENMASH_WACC_31.03.08 2" xfId="1255"/>
    <cellStyle name="_KZ_DashBoard_03_2008" xfId="1256"/>
    <cellStyle name="_Lenta DCF model v24" xfId="1257"/>
    <cellStyle name="_Lenta DCF model v24 2" xfId="1258"/>
    <cellStyle name="_Lenta fin projections 2005-2010 06082008 v6_2_1 by IFRS data" xfId="1259"/>
    <cellStyle name="_Lenta fin projections 2005-2010 06082008 v6_2_1 by IFRS data 2" xfId="1260"/>
    <cellStyle name="_Lenta fin projections 2005-2010 12032007" xfId="1261"/>
    <cellStyle name="_Lenta fin projections 2005-2010 12032007 2" xfId="1262"/>
    <cellStyle name="_Lenta fin projections 2005-2010 20022007 (simple) compl to coven 09_10" xfId="1263"/>
    <cellStyle name="_Lenta fin projections 2005-2010 20022007 (simple) compl to coven 09_10 2" xfId="1264"/>
    <cellStyle name="_Lenta fin projections 2005-2010 30072008  v6 VS" xfId="1265"/>
    <cellStyle name="_Lenta fin projections 2005-2010 30072008  v6 VS 2" xfId="1266"/>
    <cellStyle name="_LFL_Sales for 2001-2006" xfId="1267"/>
    <cellStyle name="_LFL_Sales for 2001-2006 2" xfId="1268"/>
    <cellStyle name="_LFL_Sales for 2001-2006_CKBA_06_12_2" xfId="1269"/>
    <cellStyle name="_LFL_Sales for 2001-2006_CKBA_06_12_2 2" xfId="1270"/>
    <cellStyle name="_LFL_Sales for 2001-2006_DCF_AME_26.11.07" xfId="1271"/>
    <cellStyle name="_LFL_Sales for 2001-2006_DCF_AME_26.11.07 2" xfId="1272"/>
    <cellStyle name="_LFL_Sales for 2001-2006_FinancialModel 14.11.07" xfId="1273"/>
    <cellStyle name="_LFL_Sales for 2001-2006_FinancialModel 14.11.07 2" xfId="1274"/>
    <cellStyle name="_LFL_Sales for 2001-2006_Lenta DCF Databook 2009" xfId="1275"/>
    <cellStyle name="_LFL_Sales for 2001-2006_Lenta DCF Databook 2009 2" xfId="1276"/>
    <cellStyle name="_LFL_Sales for 2001-2006_UralChim_WACC_1" xfId="1277"/>
    <cellStyle name="_LFL_Sales for 2001-2006_UralChim_WACC_1 2" xfId="1278"/>
    <cellStyle name="_License Final_20.01.2006 1" xfId="1279"/>
    <cellStyle name="_Licenses" xfId="1280"/>
    <cellStyle name="_LimaReportTable_TT Workbook (V06032007) - Leo_TT Workbook Template - v2" xfId="1281"/>
    <cellStyle name="_LimaReportTable_TT Workbook (V06032007) - Leo_TT Workbook Template - v2 2" xfId="1282"/>
    <cellStyle name="_lising" xfId="1283"/>
    <cellStyle name="_List_of_companies" xfId="1284"/>
    <cellStyle name="_LT drilling model 26.05.06" xfId="1285"/>
    <cellStyle name="_LT KRS model 07.06.06" xfId="1286"/>
    <cellStyle name="_LT KRS model 17.06.06 main v2" xfId="1287"/>
    <cellStyle name="_LT KRS model 26.05.06" xfId="1288"/>
    <cellStyle name="_LT model 08-11-05 P75 approved Integra KRS" xfId="1289"/>
    <cellStyle name="_LT model 08-11-05 P75 approved Integra KRS ver 3" xfId="1290"/>
    <cellStyle name="_LT model 17 05 2006 v2" xfId="1291"/>
    <cellStyle name="_LT model 21-06-06 AL" xfId="1292"/>
    <cellStyle name="_LT model Геофизика 06.06.06" xfId="1293"/>
    <cellStyle name="_LT model Геофизика 26.05.06" xfId="1294"/>
    <cellStyle name="_Luxury Goods Comps latest" xfId="1295"/>
    <cellStyle name="_Luxury Goods Comps latest 2" xfId="1296"/>
    <cellStyle name="_m_Uralmash-BO_2q05" xfId="1297"/>
    <cellStyle name="_MA_Ср.Калитн." xfId="1298"/>
    <cellStyle name="_macro 2012 var 1" xfId="1299"/>
    <cellStyle name="_macro 2020" xfId="1300"/>
    <cellStyle name="_macro 2020 2" xfId="1301"/>
    <cellStyle name="_Maifair_model_160506_values_2" xfId="1302"/>
    <cellStyle name="_Maifair_model_160506_values_2_CKBA_06_12_2" xfId="1303"/>
    <cellStyle name="_Maifair_model_160506_values_2_DCF_AME_26.11.07" xfId="1304"/>
    <cellStyle name="_Maifair_model_160506_values_2_Discount rate NZ" xfId="1305"/>
    <cellStyle name="_Maifair_model_160506_values_2_FinancialModel 14.11.07" xfId="1306"/>
    <cellStyle name="_Maifair_model_160506_values_2_Lenta DCF Databook 2009" xfId="1307"/>
    <cellStyle name="_Maifair_model_160506_values_2_SI_MA_NL" xfId="1308"/>
    <cellStyle name="_Maifair_model_160506_values_2_UralChim_WACC_1" xfId="1309"/>
    <cellStyle name="_Mapping A8 BS" xfId="1310"/>
    <cellStyle name="_Mapping A8 BS 2" xfId="1311"/>
    <cellStyle name="_Market approach&amp;WACC" xfId="1312"/>
    <cellStyle name="_Market approach&amp;WACC 2" xfId="1313"/>
    <cellStyle name="_Market Approach_YT" xfId="1314"/>
    <cellStyle name="_Market Approach_YT 2" xfId="1315"/>
    <cellStyle name="_May report 9 06 06" xfId="1316"/>
    <cellStyle name="_MGOK model v.1.11 (old prices)" xfId="1317"/>
    <cellStyle name="_MGOK model v.1.11 (old prices) 2" xfId="1318"/>
    <cellStyle name="_model" xfId="1319"/>
    <cellStyle name="_Model 08.08.06" xfId="1320"/>
    <cellStyle name="_Model 08.08.06 2" xfId="1321"/>
    <cellStyle name="_Model 08.08.06_CKBA_06_12_2" xfId="1322"/>
    <cellStyle name="_Model 08.08.06_CKBA_06_12_2 2" xfId="1323"/>
    <cellStyle name="_Model 08.08.06_DCF_AME_26.11.07" xfId="1324"/>
    <cellStyle name="_Model 08.08.06_DCF_AME_26.11.07 2" xfId="1325"/>
    <cellStyle name="_Model 08.08.06_FinancialModel 14.11.07" xfId="1326"/>
    <cellStyle name="_Model 08.08.06_FinancialModel 14.11.07 2" xfId="1327"/>
    <cellStyle name="_Model 08.08.06_Lenta DCF Databook 2009" xfId="1328"/>
    <cellStyle name="_Model 08.08.06_Lenta DCF Databook 2009 2" xfId="1329"/>
    <cellStyle name="_Model 08.08.06_UralChim_WACC_1" xfId="1330"/>
    <cellStyle name="_Model 08.08.06_UralChim_WACC_1 2" xfId="1331"/>
    <cellStyle name="_model 2" xfId="1332"/>
    <cellStyle name="_model 3" xfId="1333"/>
    <cellStyle name="_Model Corrected 14.07.2006_Final" xfId="1334"/>
    <cellStyle name="_model v11_simple_1_1" xfId="1335"/>
    <cellStyle name="_model v11_simple_1_1_CKBA_06_12_2" xfId="1336"/>
    <cellStyle name="_model v11_simple_1_1_DCF_AME_26.11.07" xfId="1337"/>
    <cellStyle name="_model v11_simple_1_1_Discount rate NZ" xfId="1338"/>
    <cellStyle name="_model v11_simple_1_1_FinancialModel 14.11.07" xfId="1339"/>
    <cellStyle name="_model v11_simple_1_1_SI_MA_NL" xfId="1340"/>
    <cellStyle name="_model v12_simple_1_3" xfId="1341"/>
    <cellStyle name="_Model_December-2007_2013_Mar" xfId="1342"/>
    <cellStyle name="_Model_December-2007_2013_Mar 2" xfId="1343"/>
    <cellStyle name="_Model_example" xfId="1344"/>
    <cellStyle name="_Model_NNG_1" xfId="1345"/>
    <cellStyle name="_MODEL_OS_v october17" xfId="1346"/>
    <cellStyle name="_MOSENERGO OG" xfId="1347"/>
    <cellStyle name="_MOSENERGO OG 2" xfId="1348"/>
    <cellStyle name="_MR13_3009" xfId="1349"/>
    <cellStyle name="_MR13_3009 2" xfId="1350"/>
    <cellStyle name="_MTS FY05 Budget - CF Prel 041120_Группа_new_tax" xfId="1351"/>
    <cellStyle name="_MTS FY05 Budget - CF Prel 041120_Группа_new_tax 2" xfId="1352"/>
    <cellStyle name="_MTS SM FI 040918" xfId="1353"/>
    <cellStyle name="_MTS SM FI 040918 2" xfId="1354"/>
    <cellStyle name="_MTS_05-13 Model 28.03.06_strategic plans" xfId="1355"/>
    <cellStyle name="_MTS_05-13 Model 28.03.06_strategic plans 2" xfId="1356"/>
    <cellStyle name="_Multiple" xfId="1357"/>
    <cellStyle name="_Multiple 2" xfId="1358"/>
    <cellStyle name="_Multiple 3" xfId="1359"/>
    <cellStyle name="_Multiple 4" xfId="1360"/>
    <cellStyle name="_MultipleSpace" xfId="1361"/>
    <cellStyle name="_MultipleSpace 2" xfId="1362"/>
    <cellStyle name="_MultipleSpace 3" xfId="1363"/>
    <cellStyle name="_MultipleSpace 4" xfId="1364"/>
    <cellStyle name="_MultipleSpace 5" xfId="1365"/>
    <cellStyle name="_Nefteyugansk model new leasing 29.07.2005" xfId="1366"/>
    <cellStyle name="_Nera_Tartar Output Template 23DEC2007 Submitted" xfId="1367"/>
    <cellStyle name="_Nera_Tartar Output Template 23DEC2007 Submitted 2" xfId="1368"/>
    <cellStyle name="_New_Sofi" xfId="1369"/>
    <cellStyle name="_New_Sofi 2" xfId="1370"/>
    <cellStyle name="_New_Sofi__Внесение мин удобрений (2010г)(6419172_к-628-09-2_108_628-ра_09_03_2010)" xfId="1371"/>
    <cellStyle name="_New_Sofi__Внесение мин удобрений (2010г)(6419172_к-628-09-2_108_628-ра_09_03_2010) 2" xfId="1372"/>
    <cellStyle name="_New_Sofi_17_0" xfId="1373"/>
    <cellStyle name="_New_Sofi_17_0_1" xfId="1374"/>
    <cellStyle name="_New_Sofi_CKBA_06_12_2" xfId="1375"/>
    <cellStyle name="_New_Sofi_CKBA_06_12_2 2" xfId="1376"/>
    <cellStyle name="_New_Sofi_DCF_AME_26.11.07" xfId="1377"/>
    <cellStyle name="_New_Sofi_DCF_AME_26.11.07 2" xfId="1378"/>
    <cellStyle name="_New_Sofi_FFF" xfId="1379"/>
    <cellStyle name="_New_Sofi_FFF 2" xfId="1380"/>
    <cellStyle name="_New_Sofi_FFF__Внесение мин удобрений (2010г)(6419172_к-628-09-2_108_628-ра_09_03_2010)" xfId="1381"/>
    <cellStyle name="_New_Sofi_FFF__Внесение мин удобрений (2010г)(6419172_к-628-09-2_108_628-ра_09_03_2010) 2" xfId="1382"/>
    <cellStyle name="_New_Sofi_FFF_CKBA_06_12_2" xfId="1383"/>
    <cellStyle name="_New_Sofi_FFF_CKBA_06_12_2 2" xfId="1384"/>
    <cellStyle name="_New_Sofi_FFF_DCF_AME_26.11.07" xfId="1385"/>
    <cellStyle name="_New_Sofi_FFF_DCF_AME_26.11.07 2" xfId="1386"/>
    <cellStyle name="_New_Sofi_FFF_FinancialModel 14.11.07" xfId="1387"/>
    <cellStyle name="_New_Sofi_FFF_FinancialModel 14.11.07 2" xfId="1388"/>
    <cellStyle name="_New_Sofi_FFF_Lenta DCF Databook 2009" xfId="1389"/>
    <cellStyle name="_New_Sofi_FFF_Lenta DCF Databook 2009 2" xfId="1390"/>
    <cellStyle name="_New_Sofi_FFF_UralChim_WACC_1" xfId="1391"/>
    <cellStyle name="_New_Sofi_FFF_UralChim_WACC_1 2" xfId="1392"/>
    <cellStyle name="_New_Sofi_FFF_З_О 12" xfId="1393"/>
    <cellStyle name="_New_Sofi_FFF_Предпосылки к стратегии" xfId="1394"/>
    <cellStyle name="_New_Sofi_FFF_Слайды к презентации" xfId="1395"/>
    <cellStyle name="_New_Sofi_FinancialModel 14.11.07" xfId="1396"/>
    <cellStyle name="_New_Sofi_FinancialModel 14.11.07 2" xfId="1397"/>
    <cellStyle name="_New_Sofi_Lenta DCF Databook 2009" xfId="1398"/>
    <cellStyle name="_New_Sofi_Lenta DCF Databook 2009 2" xfId="1399"/>
    <cellStyle name="_New_Sofi_New Form10_2" xfId="1400"/>
    <cellStyle name="_New_Sofi_New Form10_2 2" xfId="1401"/>
    <cellStyle name="_New_Sofi_New Form10_2__Внесение мин удобрений (2010г)(6419172_к-628-09-2_108_628-ра_09_03_2010)" xfId="1402"/>
    <cellStyle name="_New_Sofi_New Form10_2__Внесение мин удобрений (2010г)(6419172_к-628-09-2_108_628-ра_09_03_2010) 2" xfId="1403"/>
    <cellStyle name="_New_Sofi_New Form10_2_CKBA_06_12_2" xfId="1404"/>
    <cellStyle name="_New_Sofi_New Form10_2_CKBA_06_12_2 2" xfId="1405"/>
    <cellStyle name="_New_Sofi_New Form10_2_DCF_AME_26.11.07" xfId="1406"/>
    <cellStyle name="_New_Sofi_New Form10_2_DCF_AME_26.11.07 2" xfId="1407"/>
    <cellStyle name="_New_Sofi_New Form10_2_FinancialModel 14.11.07" xfId="1408"/>
    <cellStyle name="_New_Sofi_New Form10_2_FinancialModel 14.11.07 2" xfId="1409"/>
    <cellStyle name="_New_Sofi_New Form10_2_Lenta DCF Databook 2009" xfId="1410"/>
    <cellStyle name="_New_Sofi_New Form10_2_Lenta DCF Databook 2009 2" xfId="1411"/>
    <cellStyle name="_New_Sofi_New Form10_2_UralChim_WACC_1" xfId="1412"/>
    <cellStyle name="_New_Sofi_New Form10_2_UralChim_WACC_1 2" xfId="1413"/>
    <cellStyle name="_New_Sofi_New Form10_2_З_О 12" xfId="1414"/>
    <cellStyle name="_New_Sofi_New Form10_2_Предпосылки к стратегии" xfId="1415"/>
    <cellStyle name="_New_Sofi_New Form10_2_Слайды к презентации" xfId="1416"/>
    <cellStyle name="_New_Sofi_Nsi" xfId="1417"/>
    <cellStyle name="_New_Sofi_Nsi 2" xfId="1418"/>
    <cellStyle name="_New_Sofi_Nsi__Внесение мин удобрений (2010г)(6419172_к-628-09-2_108_628-ра_09_03_2010)" xfId="1419"/>
    <cellStyle name="_New_Sofi_Nsi__Внесение мин удобрений (2010г)(6419172_к-628-09-2_108_628-ра_09_03_2010) 2" xfId="1420"/>
    <cellStyle name="_New_Sofi_Nsi_1" xfId="1421"/>
    <cellStyle name="_New_Sofi_Nsi_1 2" xfId="1422"/>
    <cellStyle name="_New_Sofi_Nsi_1__Внесение мин удобрений (2010г)(6419172_к-628-09-2_108_628-ра_09_03_2010)" xfId="1423"/>
    <cellStyle name="_New_Sofi_Nsi_1__Внесение мин удобрений (2010г)(6419172_к-628-09-2_108_628-ра_09_03_2010) 2" xfId="1424"/>
    <cellStyle name="_New_Sofi_Nsi_1_CKBA_06_12_2" xfId="1425"/>
    <cellStyle name="_New_Sofi_Nsi_1_CKBA_06_12_2 2" xfId="1426"/>
    <cellStyle name="_New_Sofi_Nsi_1_DCF_AME_26.11.07" xfId="1427"/>
    <cellStyle name="_New_Sofi_Nsi_1_DCF_AME_26.11.07 2" xfId="1428"/>
    <cellStyle name="_New_Sofi_Nsi_1_FinancialModel 14.11.07" xfId="1429"/>
    <cellStyle name="_New_Sofi_Nsi_1_FinancialModel 14.11.07 2" xfId="1430"/>
    <cellStyle name="_New_Sofi_Nsi_1_Lenta DCF Databook 2009" xfId="1431"/>
    <cellStyle name="_New_Sofi_Nsi_1_Lenta DCF Databook 2009 2" xfId="1432"/>
    <cellStyle name="_New_Sofi_Nsi_1_UralChim_WACC_1" xfId="1433"/>
    <cellStyle name="_New_Sofi_Nsi_1_UralChim_WACC_1 2" xfId="1434"/>
    <cellStyle name="_New_Sofi_Nsi_1_З_О 12" xfId="1435"/>
    <cellStyle name="_New_Sofi_Nsi_1_Предпосылки к стратегии" xfId="1436"/>
    <cellStyle name="_New_Sofi_Nsi_1_Слайды к презентации" xfId="1437"/>
    <cellStyle name="_New_Sofi_Nsi_139" xfId="1438"/>
    <cellStyle name="_New_Sofi_Nsi_139 2" xfId="1439"/>
    <cellStyle name="_New_Sofi_Nsi_139__Внесение мин удобрений (2010г)(6419172_к-628-09-2_108_628-ра_09_03_2010)" xfId="1440"/>
    <cellStyle name="_New_Sofi_Nsi_139__Внесение мин удобрений (2010г)(6419172_к-628-09-2_108_628-ра_09_03_2010) 2" xfId="1441"/>
    <cellStyle name="_New_Sofi_Nsi_139_CKBA_06_12_2" xfId="1442"/>
    <cellStyle name="_New_Sofi_Nsi_139_CKBA_06_12_2 2" xfId="1443"/>
    <cellStyle name="_New_Sofi_Nsi_139_DCF_AME_26.11.07" xfId="1444"/>
    <cellStyle name="_New_Sofi_Nsi_139_DCF_AME_26.11.07 2" xfId="1445"/>
    <cellStyle name="_New_Sofi_Nsi_139_FinancialModel 14.11.07" xfId="1446"/>
    <cellStyle name="_New_Sofi_Nsi_139_FinancialModel 14.11.07 2" xfId="1447"/>
    <cellStyle name="_New_Sofi_Nsi_139_Lenta DCF Databook 2009" xfId="1448"/>
    <cellStyle name="_New_Sofi_Nsi_139_Lenta DCF Databook 2009 2" xfId="1449"/>
    <cellStyle name="_New_Sofi_Nsi_139_UralChim_WACC_1" xfId="1450"/>
    <cellStyle name="_New_Sofi_Nsi_139_UralChim_WACC_1 2" xfId="1451"/>
    <cellStyle name="_New_Sofi_Nsi_139_З_О 12" xfId="1452"/>
    <cellStyle name="_New_Sofi_Nsi_139_Предпосылки к стратегии" xfId="1453"/>
    <cellStyle name="_New_Sofi_Nsi_139_Слайды к презентации" xfId="1454"/>
    <cellStyle name="_New_Sofi_Nsi_140" xfId="1455"/>
    <cellStyle name="_New_Sofi_Nsi_140 2" xfId="1456"/>
    <cellStyle name="_New_Sofi_Nsi_140(Зах)" xfId="1457"/>
    <cellStyle name="_New_Sofi_Nsi_140(Зах) 2" xfId="1458"/>
    <cellStyle name="_New_Sofi_Nsi_140(Зах)__Внесение мин удобрений (2010г)(6419172_к-628-09-2_108_628-ра_09_03_2010)" xfId="1459"/>
    <cellStyle name="_New_Sofi_Nsi_140(Зах)__Внесение мин удобрений (2010г)(6419172_к-628-09-2_108_628-ра_09_03_2010) 2" xfId="1460"/>
    <cellStyle name="_New_Sofi_Nsi_140(Зах)_CKBA_06_12_2" xfId="1461"/>
    <cellStyle name="_New_Sofi_Nsi_140(Зах)_CKBA_06_12_2 2" xfId="1462"/>
    <cellStyle name="_New_Sofi_Nsi_140(Зах)_DCF_AME_26.11.07" xfId="1463"/>
    <cellStyle name="_New_Sofi_Nsi_140(Зах)_DCF_AME_26.11.07 2" xfId="1464"/>
    <cellStyle name="_New_Sofi_Nsi_140(Зах)_FinancialModel 14.11.07" xfId="1465"/>
    <cellStyle name="_New_Sofi_Nsi_140(Зах)_FinancialModel 14.11.07 2" xfId="1466"/>
    <cellStyle name="_New_Sofi_Nsi_140(Зах)_Lenta DCF Databook 2009" xfId="1467"/>
    <cellStyle name="_New_Sofi_Nsi_140(Зах)_Lenta DCF Databook 2009 2" xfId="1468"/>
    <cellStyle name="_New_Sofi_Nsi_140(Зах)_UralChim_WACC_1" xfId="1469"/>
    <cellStyle name="_New_Sofi_Nsi_140(Зах)_UralChim_WACC_1 2" xfId="1470"/>
    <cellStyle name="_New_Sofi_Nsi_140(Зах)_З_О 12" xfId="1471"/>
    <cellStyle name="_New_Sofi_Nsi_140(Зах)_Предпосылки к стратегии" xfId="1472"/>
    <cellStyle name="_New_Sofi_Nsi_140(Зах)_Слайды к презентации" xfId="1473"/>
    <cellStyle name="_New_Sofi_Nsi_140__Внесение мин удобрений (2010г)(6419172_к-628-09-2_108_628-ра_09_03_2010)" xfId="1474"/>
    <cellStyle name="_New_Sofi_Nsi_140__Внесение мин удобрений (2010г)(6419172_к-628-09-2_108_628-ра_09_03_2010) 2" xfId="1475"/>
    <cellStyle name="_New_Sofi_Nsi_140_CKBA_06_12_2" xfId="1476"/>
    <cellStyle name="_New_Sofi_Nsi_140_CKBA_06_12_2 2" xfId="1477"/>
    <cellStyle name="_New_Sofi_Nsi_140_DCF_AME_26.11.07" xfId="1478"/>
    <cellStyle name="_New_Sofi_Nsi_140_DCF_AME_26.11.07 2" xfId="1479"/>
    <cellStyle name="_New_Sofi_Nsi_140_FinancialModel 14.11.07" xfId="1480"/>
    <cellStyle name="_New_Sofi_Nsi_140_FinancialModel 14.11.07 2" xfId="1481"/>
    <cellStyle name="_New_Sofi_Nsi_140_Lenta DCF Databook 2009" xfId="1482"/>
    <cellStyle name="_New_Sofi_Nsi_140_Lenta DCF Databook 2009 2" xfId="1483"/>
    <cellStyle name="_New_Sofi_Nsi_140_mod" xfId="1484"/>
    <cellStyle name="_New_Sofi_Nsi_140_mod 2" xfId="1485"/>
    <cellStyle name="_New_Sofi_Nsi_140_mod__Внесение мин удобрений (2010г)(6419172_к-628-09-2_108_628-ра_09_03_2010)" xfId="1486"/>
    <cellStyle name="_New_Sofi_Nsi_140_mod__Внесение мин удобрений (2010г)(6419172_к-628-09-2_108_628-ра_09_03_2010) 2" xfId="1487"/>
    <cellStyle name="_New_Sofi_Nsi_140_mod_CKBA_06_12_2" xfId="1488"/>
    <cellStyle name="_New_Sofi_Nsi_140_mod_CKBA_06_12_2 2" xfId="1489"/>
    <cellStyle name="_New_Sofi_Nsi_140_mod_DCF_AME_26.11.07" xfId="1490"/>
    <cellStyle name="_New_Sofi_Nsi_140_mod_DCF_AME_26.11.07 2" xfId="1491"/>
    <cellStyle name="_New_Sofi_Nsi_140_mod_FinancialModel 14.11.07" xfId="1492"/>
    <cellStyle name="_New_Sofi_Nsi_140_mod_FinancialModel 14.11.07 2" xfId="1493"/>
    <cellStyle name="_New_Sofi_Nsi_140_mod_Lenta DCF Databook 2009" xfId="1494"/>
    <cellStyle name="_New_Sofi_Nsi_140_mod_Lenta DCF Databook 2009 2" xfId="1495"/>
    <cellStyle name="_New_Sofi_Nsi_140_mod_UralChim_WACC_1" xfId="1496"/>
    <cellStyle name="_New_Sofi_Nsi_140_mod_UralChim_WACC_1 2" xfId="1497"/>
    <cellStyle name="_New_Sofi_Nsi_140_mod_З_О 12" xfId="1498"/>
    <cellStyle name="_New_Sofi_Nsi_140_mod_Предпосылки к стратегии" xfId="1499"/>
    <cellStyle name="_New_Sofi_Nsi_140_mod_Слайды к презентации" xfId="1500"/>
    <cellStyle name="_New_Sofi_Nsi_140_UralChim_WACC_1" xfId="1501"/>
    <cellStyle name="_New_Sofi_Nsi_140_UralChim_WACC_1 2" xfId="1502"/>
    <cellStyle name="_New_Sofi_Nsi_140_З_О 12" xfId="1503"/>
    <cellStyle name="_New_Sofi_Nsi_140_Предпосылки к стратегии" xfId="1504"/>
    <cellStyle name="_New_Sofi_Nsi_140_Слайды к презентации" xfId="1505"/>
    <cellStyle name="_New_Sofi_Nsi_CKBA_06_12_2" xfId="1506"/>
    <cellStyle name="_New_Sofi_Nsi_CKBA_06_12_2 2" xfId="1507"/>
    <cellStyle name="_New_Sofi_Nsi_DCF_AME_26.11.07" xfId="1508"/>
    <cellStyle name="_New_Sofi_Nsi_DCF_AME_26.11.07 2" xfId="1509"/>
    <cellStyle name="_New_Sofi_Nsi_FinancialModel 14.11.07" xfId="1510"/>
    <cellStyle name="_New_Sofi_Nsi_FinancialModel 14.11.07 2" xfId="1511"/>
    <cellStyle name="_New_Sofi_Nsi_Lenta DCF Databook 2009" xfId="1512"/>
    <cellStyle name="_New_Sofi_Nsi_Lenta DCF Databook 2009 2" xfId="1513"/>
    <cellStyle name="_New_Sofi_Nsi_UralChim_WACC_1" xfId="1514"/>
    <cellStyle name="_New_Sofi_Nsi_UralChim_WACC_1 2" xfId="1515"/>
    <cellStyle name="_New_Sofi_Nsi_З_О 12" xfId="1516"/>
    <cellStyle name="_New_Sofi_Nsi_Предпосылки к стратегии" xfId="1517"/>
    <cellStyle name="_New_Sofi_Nsi_Слайды к презентации" xfId="1518"/>
    <cellStyle name="_New_Sofi_Summary" xfId="1519"/>
    <cellStyle name="_New_Sofi_Summary 2" xfId="1520"/>
    <cellStyle name="_New_Sofi_Summary__Внесение мин удобрений (2010г)(6419172_к-628-09-2_108_628-ра_09_03_2010)" xfId="1521"/>
    <cellStyle name="_New_Sofi_Summary__Внесение мин удобрений (2010г)(6419172_к-628-09-2_108_628-ра_09_03_2010) 2" xfId="1522"/>
    <cellStyle name="_New_Sofi_Summary_CKBA_06_12_2" xfId="1523"/>
    <cellStyle name="_New_Sofi_Summary_CKBA_06_12_2 2" xfId="1524"/>
    <cellStyle name="_New_Sofi_Summary_DCF_AME_26.11.07" xfId="1525"/>
    <cellStyle name="_New_Sofi_Summary_DCF_AME_26.11.07 2" xfId="1526"/>
    <cellStyle name="_New_Sofi_Summary_FinancialModel 14.11.07" xfId="1527"/>
    <cellStyle name="_New_Sofi_Summary_FinancialModel 14.11.07 2" xfId="1528"/>
    <cellStyle name="_New_Sofi_Summary_Lenta DCF Databook 2009" xfId="1529"/>
    <cellStyle name="_New_Sofi_Summary_Lenta DCF Databook 2009 2" xfId="1530"/>
    <cellStyle name="_New_Sofi_Summary_UralChim_WACC_1" xfId="1531"/>
    <cellStyle name="_New_Sofi_Summary_UralChim_WACC_1 2" xfId="1532"/>
    <cellStyle name="_New_Sofi_Summary_З_О 12" xfId="1533"/>
    <cellStyle name="_New_Sofi_Summary_Предпосылки к стратегии" xfId="1534"/>
    <cellStyle name="_New_Sofi_Summary_Слайды к презентации" xfId="1535"/>
    <cellStyle name="_New_Sofi_Tax_form_1кв_3" xfId="1536"/>
    <cellStyle name="_New_Sofi_Tax_form_1кв_3 2" xfId="1537"/>
    <cellStyle name="_New_Sofi_Tax_form_1кв_3__Внесение мин удобрений (2010г)(6419172_к-628-09-2_108_628-ра_09_03_2010)" xfId="1538"/>
    <cellStyle name="_New_Sofi_Tax_form_1кв_3__Внесение мин удобрений (2010г)(6419172_к-628-09-2_108_628-ра_09_03_2010) 2" xfId="1539"/>
    <cellStyle name="_New_Sofi_Tax_form_1кв_3_CKBA_06_12_2" xfId="1540"/>
    <cellStyle name="_New_Sofi_Tax_form_1кв_3_CKBA_06_12_2 2" xfId="1541"/>
    <cellStyle name="_New_Sofi_Tax_form_1кв_3_DCF_AME_26.11.07" xfId="1542"/>
    <cellStyle name="_New_Sofi_Tax_form_1кв_3_DCF_AME_26.11.07 2" xfId="1543"/>
    <cellStyle name="_New_Sofi_Tax_form_1кв_3_FinancialModel 14.11.07" xfId="1544"/>
    <cellStyle name="_New_Sofi_Tax_form_1кв_3_FinancialModel 14.11.07 2" xfId="1545"/>
    <cellStyle name="_New_Sofi_Tax_form_1кв_3_Lenta DCF Databook 2009" xfId="1546"/>
    <cellStyle name="_New_Sofi_Tax_form_1кв_3_Lenta DCF Databook 2009 2" xfId="1547"/>
    <cellStyle name="_New_Sofi_Tax_form_1кв_3_UralChim_WACC_1" xfId="1548"/>
    <cellStyle name="_New_Sofi_Tax_form_1кв_3_UralChim_WACC_1 2" xfId="1549"/>
    <cellStyle name="_New_Sofi_Tax_form_1кв_3_З_О 12" xfId="1550"/>
    <cellStyle name="_New_Sofi_Tax_form_1кв_3_Предпосылки к стратегии" xfId="1551"/>
    <cellStyle name="_New_Sofi_Tax_form_1кв_3_Слайды к презентации" xfId="1552"/>
    <cellStyle name="_New_Sofi_UralChim_WACC_1" xfId="1553"/>
    <cellStyle name="_New_Sofi_UralChim_WACC_1 2" xfId="1554"/>
    <cellStyle name="_New_Sofi_БКЭ" xfId="1555"/>
    <cellStyle name="_New_Sofi_БКЭ 2" xfId="1556"/>
    <cellStyle name="_New_Sofi_БКЭ__Внесение мин удобрений (2010г)(6419172_к-628-09-2_108_628-ра_09_03_2010)" xfId="1557"/>
    <cellStyle name="_New_Sofi_БКЭ__Внесение мин удобрений (2010г)(6419172_к-628-09-2_108_628-ра_09_03_2010) 2" xfId="1558"/>
    <cellStyle name="_New_Sofi_БКЭ_CKBA_06_12_2" xfId="1559"/>
    <cellStyle name="_New_Sofi_БКЭ_CKBA_06_12_2 2" xfId="1560"/>
    <cellStyle name="_New_Sofi_БКЭ_DCF_AME_26.11.07" xfId="1561"/>
    <cellStyle name="_New_Sofi_БКЭ_DCF_AME_26.11.07 2" xfId="1562"/>
    <cellStyle name="_New_Sofi_БКЭ_FinancialModel 14.11.07" xfId="1563"/>
    <cellStyle name="_New_Sofi_БКЭ_FinancialModel 14.11.07 2" xfId="1564"/>
    <cellStyle name="_New_Sofi_БКЭ_Lenta DCF Databook 2009" xfId="1565"/>
    <cellStyle name="_New_Sofi_БКЭ_Lenta DCF Databook 2009 2" xfId="1566"/>
    <cellStyle name="_New_Sofi_БКЭ_UralChim_WACC_1" xfId="1567"/>
    <cellStyle name="_New_Sofi_БКЭ_UralChim_WACC_1 2" xfId="1568"/>
    <cellStyle name="_New_Sofi_БКЭ_З_О 12" xfId="1569"/>
    <cellStyle name="_New_Sofi_БКЭ_Предпосылки к стратегии" xfId="1570"/>
    <cellStyle name="_New_Sofi_БКЭ_Слайды к презентации" xfId="1571"/>
    <cellStyle name="_New_Sofi_З_О 12" xfId="1572"/>
    <cellStyle name="_New_Sofi_Перечень названий форм" xfId="1573"/>
    <cellStyle name="_New_Sofi_Предпосылки к стратегии" xfId="1574"/>
    <cellStyle name="_New_Sofi_Слайды к презентации" xfId="1575"/>
    <cellStyle name="_Noncurrent assets" xfId="1576"/>
    <cellStyle name="_Noncurrent assets 2" xfId="1577"/>
    <cellStyle name="_Note 23_cost 9m06" xfId="1578"/>
    <cellStyle name="_Note 23_cost 9m06 2" xfId="1579"/>
    <cellStyle name="_Notes to IFRS FS 061306" xfId="1580"/>
    <cellStyle name="_NPO BT September 05 AR analysis" xfId="1581"/>
    <cellStyle name="_NPV_Magnit" xfId="1582"/>
    <cellStyle name="_Nsi" xfId="1583"/>
    <cellStyle name="_Nsi 2" xfId="1584"/>
    <cellStyle name="_Nsi__Внесение мин удобрений (2010г)(6419172_к-628-09-2_108_628-ра_09_03_2010)" xfId="1585"/>
    <cellStyle name="_Nsi__Внесение мин удобрений (2010г)(6419172_к-628-09-2_108_628-ра_09_03_2010) 2" xfId="1586"/>
    <cellStyle name="_Nsi_CKBA_06_12_2" xfId="1587"/>
    <cellStyle name="_Nsi_CKBA_06_12_2 2" xfId="1588"/>
    <cellStyle name="_Nsi_DCF_AME_26.11.07" xfId="1589"/>
    <cellStyle name="_Nsi_DCF_AME_26.11.07 2" xfId="1590"/>
    <cellStyle name="_Nsi_FinancialModel 14.11.07" xfId="1591"/>
    <cellStyle name="_Nsi_FinancialModel 14.11.07 2" xfId="1592"/>
    <cellStyle name="_Nsi_Lenta DCF Databook 2009" xfId="1593"/>
    <cellStyle name="_Nsi_Lenta DCF Databook 2009 2" xfId="1594"/>
    <cellStyle name="_Nsi_UralChim_WACC_1" xfId="1595"/>
    <cellStyle name="_Nsi_UralChim_WACC_1 2" xfId="1596"/>
    <cellStyle name="_Nsi_З_О 12" xfId="1597"/>
    <cellStyle name="_Nsi_Предпосылки к стратегии" xfId="1598"/>
    <cellStyle name="_Nsi_Слайды к презентации" xfId="1599"/>
    <cellStyle name="_Nutritek support" xfId="1600"/>
    <cellStyle name="_Nutritek support 2" xfId="1601"/>
    <cellStyle name="_Nutritek support_CKBA_06_12_2" xfId="1602"/>
    <cellStyle name="_Nutritek support_CKBA_06_12_2 2" xfId="1603"/>
    <cellStyle name="_Nutritek support_DCF_AME_26.11.07" xfId="1604"/>
    <cellStyle name="_Nutritek support_DCF_AME_26.11.07 2" xfId="1605"/>
    <cellStyle name="_Nutritek support_FinancialModel 14.11.07" xfId="1606"/>
    <cellStyle name="_Nutritek support_FinancialModel 14.11.07 2" xfId="1607"/>
    <cellStyle name="_Nutritek support_Lenta DCF Databook 2009" xfId="1608"/>
    <cellStyle name="_Nutritek support_Lenta DCF Databook 2009 2" xfId="1609"/>
    <cellStyle name="_Nutritek support_UralChim_WACC_1" xfId="1610"/>
    <cellStyle name="_Nutritek support_UralChim_WACC_1 2" xfId="1611"/>
    <cellStyle name="_O.0412.HZ-reviewed_TT Workbook (V06032007) - Leo_TT Workbook Template - v2_TT Workbook 25OCT07" xfId="1612"/>
    <cellStyle name="_O.0412.HZ-reviewed_TT Workbook (V06032007) - Leo_TT Workbook Template - v2_TT Workbook 25OCT07 2" xfId="1613"/>
    <cellStyle name="_O_TT Workbook (V06032007)" xfId="1614"/>
    <cellStyle name="_O_TT Workbook (V06032007) 2" xfId="1615"/>
    <cellStyle name="_OGK-1 model 12.01.2008" xfId="1616"/>
    <cellStyle name="_OGK-1 model 12.01.2008 2" xfId="1617"/>
    <cellStyle name="_OGK-3 model_v 5" xfId="1618"/>
    <cellStyle name="_OGK-3 model_v 5 2" xfId="1619"/>
    <cellStyle name="_OGK-4_DCF_v36_AP_28.12.07 with updates" xfId="1620"/>
    <cellStyle name="_OGK-4_DCF_v36_AP_28.12.07 with updates 2" xfId="1621"/>
    <cellStyle name="_OMK valuation model draft" xfId="1622"/>
    <cellStyle name="_OMK valuation model draft 2" xfId="1623"/>
    <cellStyle name="_Operation activity" xfId="1624"/>
    <cellStyle name="_Operation activity 2" xfId="1625"/>
    <cellStyle name="_OS_Chuvashiya" xfId="1626"/>
    <cellStyle name="_Other exp 25-27_1 manual" xfId="1627"/>
    <cellStyle name="_Other exp 25-27_1 manual 2" xfId="1628"/>
    <cellStyle name="_OTS IAS FS 1-6 2006" xfId="1629"/>
    <cellStyle name="_Output by plant 06-07" xfId="1630"/>
    <cellStyle name="_Output by plant 06-07 2" xfId="1631"/>
    <cellStyle name="_OWHB_GRF_2005_audited_280206" xfId="1632"/>
    <cellStyle name="_OWHB_GRF_2005_audited_280206 2" xfId="1633"/>
    <cellStyle name="_OWHB_GRF_2005_audited_280206_CKBA_06_12_2" xfId="1634"/>
    <cellStyle name="_OWHB_GRF_2005_audited_280206_CKBA_06_12_2 2" xfId="1635"/>
    <cellStyle name="_OWHB_GRF_2005_audited_280206_DCF_AME_26.11.07" xfId="1636"/>
    <cellStyle name="_OWHB_GRF_2005_audited_280206_DCF_AME_26.11.07 2" xfId="1637"/>
    <cellStyle name="_OWHB_GRF_2005_audited_280206_FinancialModel 14.11.07" xfId="1638"/>
    <cellStyle name="_OWHB_GRF_2005_audited_280206_FinancialModel 14.11.07 2" xfId="1639"/>
    <cellStyle name="_OWHB_GRF_2005_audited_280206_Lenta DCF Databook 2009" xfId="1640"/>
    <cellStyle name="_OWHB_GRF_2005_audited_280206_Lenta DCF Databook 2009 2" xfId="1641"/>
    <cellStyle name="_OWHB_GRF_2005_audited_280206_UralChim_WACC_1" xfId="1642"/>
    <cellStyle name="_OWHB_GRF_2005_audited_280206_UralChim_WACC_1 2" xfId="1643"/>
    <cellStyle name="_Oценка затратный подход" xfId="1644"/>
    <cellStyle name="_P&amp;L" xfId="1645"/>
    <cellStyle name="_P&amp;L 2" xfId="1646"/>
    <cellStyle name="_P&amp;L, Balance check file" xfId="1647"/>
    <cellStyle name="_P&amp;L, Balance check file 2" xfId="1648"/>
    <cellStyle name="_P&amp;L_Lenta DCF model v24" xfId="1649"/>
    <cellStyle name="_P&amp;L_Lenta DCF model v24 2" xfId="1650"/>
    <cellStyle name="_P_Hebei China Steel 2003 - 2004" xfId="1651"/>
    <cellStyle name="_P_Hebei China Steel 2003 - 2004 2" xfId="1652"/>
    <cellStyle name="_P_O.0412.HZ-reviewed" xfId="1653"/>
    <cellStyle name="_P_O.0412.HZ-reviewed 2" xfId="1654"/>
    <cellStyle name="_pack_9mes_2007_ХГРЭС" xfId="1655"/>
    <cellStyle name="_pack_9mes_2007_ХГРЭС 2" xfId="1656"/>
    <cellStyle name="_pack_new_2006_089_GusinoozGRES_3569011205" xfId="1657"/>
    <cellStyle name="_pack_new_2006_089_GusinoozGRES_3569011205 2" xfId="1658"/>
    <cellStyle name="_payroll_Hebei China Steel 2003 - 2004" xfId="1659"/>
    <cellStyle name="_payroll_Hebei China Steel 2003 - 2004 2" xfId="1660"/>
    <cellStyle name="_Percent" xfId="1661"/>
    <cellStyle name="_Percent 2" xfId="1662"/>
    <cellStyle name="_Percent 3" xfId="1663"/>
    <cellStyle name="_Percent 4" xfId="1664"/>
    <cellStyle name="_Percent_Discount rate NZ" xfId="1665"/>
    <cellStyle name="_Percent_SI_MA_NL" xfId="1666"/>
    <cellStyle name="_Percent_WACC NK alliance exploration and production v3" xfId="1667"/>
    <cellStyle name="_PercentSpace" xfId="1668"/>
    <cellStyle name="_PercentSpace 2" xfId="1669"/>
    <cellStyle name="_PercentSpace 3" xfId="1670"/>
    <cellStyle name="_PercentSpace 4" xfId="1671"/>
    <cellStyle name="_PL CTC Media Corp_ E&amp;Y Q2 2007" xfId="1672"/>
    <cellStyle name="_PL2" xfId="1673"/>
    <cellStyle name="_PL2 2" xfId="1674"/>
    <cellStyle name="_PMKU_Balance Sheet_preliminary" xfId="1675"/>
    <cellStyle name="_PMKU_Income Statement_preliminary" xfId="1676"/>
    <cellStyle name="_PNBK IAS FS 04.12.2006" xfId="1677"/>
    <cellStyle name="_PPA IRNP Aug 30" xfId="1678"/>
    <cellStyle name="_PPA IRNP Aug 30 2" xfId="1679"/>
    <cellStyle name="_PPA_Sakhatelecom_011007" xfId="1680"/>
    <cellStyle name="_PPA_Valuation_Model_RPZ_25.01" xfId="1681"/>
    <cellStyle name="_Proforma 7m 06.12.2007" xfId="1682"/>
    <cellStyle name="_Proforma 7m 06.12.2007 2" xfId="1683"/>
    <cellStyle name="_Project Samovar Databook 1506 v3" xfId="1684"/>
    <cellStyle name="_Project Samovar Databook 1506 v3 2" xfId="1685"/>
    <cellStyle name="_PTCM BP RG" xfId="1686"/>
    <cellStyle name="_PTCM BP RG 2" xfId="1687"/>
    <cellStyle name="_Reconciliation_Anton_Ерлан" xfId="1688"/>
    <cellStyle name="_Reconciliation_Anton_Ерлан 2" xfId="1689"/>
    <cellStyle name="_Revaluation of Finished goods" xfId="1690"/>
    <cellStyle name="_Revaluation of Finished goods 2" xfId="1691"/>
    <cellStyle name="_Revenue_Budget Performance_2008" xfId="1692"/>
    <cellStyle name="_Revenues FY" xfId="1693"/>
    <cellStyle name="_Revenues FY 2" xfId="1694"/>
    <cellStyle name="_RJE10_Calculation" xfId="1695"/>
    <cellStyle name="_RJE10_Calculation 2" xfId="1696"/>
    <cellStyle name="_RO Model v.3.9 - Final Draft (02.11.06)" xfId="1697"/>
    <cellStyle name="_RO Model v.3.9 - Final Draft (02.11.06) 2" xfId="1698"/>
    <cellStyle name="_Row4_PPA HCST - Valuation IPRnD_Summary_220607_1100" xfId="1699"/>
    <cellStyle name="_Row4_PPA HCST - Valuation IPRnD_Summary_220607_1100 2" xfId="1700"/>
    <cellStyle name="_RP-2000" xfId="1701"/>
    <cellStyle name="_RP-2000 2" xfId="1702"/>
    <cellStyle name="_SamaraNP Model 2007 v1" xfId="1703"/>
    <cellStyle name="_SamaraNP Model 2007 v1 2" xfId="1704"/>
    <cellStyle name="_Sheet1" xfId="1705"/>
    <cellStyle name="_Sheet1 2" xfId="1706"/>
    <cellStyle name="_Sheet2" xfId="1707"/>
    <cellStyle name="_Sholoh_exhibits" xfId="1708"/>
    <cellStyle name="_Sholoh_exhibits 2" xfId="1709"/>
    <cellStyle name="_Sholohovskaya_DCF_4 (до 2011)" xfId="1710"/>
    <cellStyle name="_Sholohovskaya_DCF_4 (до 2011) 2" xfId="1711"/>
    <cellStyle name="_SIBUR MU DCF 080214 v17 OG" xfId="1712"/>
    <cellStyle name="_SIBUR MU DCF 080214 v17 OG 2" xfId="1713"/>
    <cellStyle name="_SILUR_DCF_3" xfId="1714"/>
    <cellStyle name="_SILUR_DCF_3 2" xfId="1715"/>
    <cellStyle name="_silur_exhibits" xfId="1716"/>
    <cellStyle name="_silur_exhibits 2" xfId="1717"/>
    <cellStyle name="_SMNG PPA 2007 Model ZY" xfId="1718"/>
    <cellStyle name="_SMNG PPA 2007 Model ZY 2" xfId="1719"/>
    <cellStyle name="_SNProd PPA 2007 BS_Aug 31" xfId="1720"/>
    <cellStyle name="_SNProd PPA 2007 BS_Aug 31 2" xfId="1721"/>
    <cellStyle name="_SNProd PPA 2007 Oct 01 draft numbers" xfId="1722"/>
    <cellStyle name="_SNProd PPA 2007 Oct 01 draft numbers 2" xfId="1723"/>
    <cellStyle name="_SS PPA Model 2" xfId="1724"/>
    <cellStyle name="_SS PPA Model 2 2" xfId="1725"/>
    <cellStyle name="_steel EM update 2_AK" xfId="1726"/>
    <cellStyle name="_steel EM update 2_AK 2" xfId="1727"/>
    <cellStyle name="_SubHeading_16 Detail of Key Metrics_mario marco" xfId="1728"/>
    <cellStyle name="_sum up" xfId="1729"/>
    <cellStyle name="_sum up 2" xfId="1730"/>
    <cellStyle name="_support" xfId="1731"/>
    <cellStyle name="_support 2" xfId="1732"/>
    <cellStyle name="_support_CKBA_06_12_2" xfId="1733"/>
    <cellStyle name="_support_CKBA_06_12_2 2" xfId="1734"/>
    <cellStyle name="_support_DCF_AME_26.11.07" xfId="1735"/>
    <cellStyle name="_support_DCF_AME_26.11.07 2" xfId="1736"/>
    <cellStyle name="_support_FinancialModel 14.11.07" xfId="1737"/>
    <cellStyle name="_support_FinancialModel 14.11.07 2" xfId="1738"/>
    <cellStyle name="_support_Lenta DCF Databook 2009" xfId="1739"/>
    <cellStyle name="_support_Lenta DCF Databook 2009 2" xfId="1740"/>
    <cellStyle name="_support_UralChim_WACC_1" xfId="1741"/>
    <cellStyle name="_support_UralChim_WACC_1 2" xfId="1742"/>
    <cellStyle name="_Synthesis of the 6 plants 2008-01-09" xfId="1743"/>
    <cellStyle name="_Synthesis of the 6 plants 2008-01-09 2" xfId="1744"/>
    <cellStyle name="_SZNP - Eqiuty Roll" xfId="1745"/>
    <cellStyle name="_SZNP - Eqiuty Roll 2" xfId="1746"/>
    <cellStyle name="_SZNP - rasshifrovki-002000-333" xfId="1747"/>
    <cellStyle name="_SZNP - rasshifrovki-002000-333 2" xfId="1748"/>
    <cellStyle name="_SZNP - TRS-092000" xfId="1749"/>
    <cellStyle name="_SZNP - TRS-092000 2" xfId="1750"/>
    <cellStyle name="_TableHead" xfId="1751"/>
    <cellStyle name="_TableHead 2" xfId="1752"/>
    <cellStyle name="_TableHead_16 Detail of Key Metrics_mario marco" xfId="1753"/>
    <cellStyle name="_TableRowHead" xfId="1754"/>
    <cellStyle name="_TableRowHead 2" xfId="1755"/>
    <cellStyle name="_TableSuperHead_Water, IntGas and Other" xfId="1756"/>
    <cellStyle name="_TableSuperHead_Water, IntGas and Other 2" xfId="1757"/>
    <cellStyle name="_Tander_IPO_support" xfId="1758"/>
    <cellStyle name="_Tander_IPO_support 2" xfId="1759"/>
    <cellStyle name="_Tander_IPO_support_CKBA_06_12_2" xfId="1760"/>
    <cellStyle name="_Tander_IPO_support_CKBA_06_12_2 2" xfId="1761"/>
    <cellStyle name="_Tander_IPO_support_DCF_AME_26.11.07" xfId="1762"/>
    <cellStyle name="_Tander_IPO_support_DCF_AME_26.11.07 2" xfId="1763"/>
    <cellStyle name="_Tander_IPO_support_FinancialModel 14.11.07" xfId="1764"/>
    <cellStyle name="_Tander_IPO_support_FinancialModel 14.11.07 2" xfId="1765"/>
    <cellStyle name="_Tander_IPO_support_Lenta DCF Databook 2009" xfId="1766"/>
    <cellStyle name="_Tander_IPO_support_Lenta DCF Databook 2009 2" xfId="1767"/>
    <cellStyle name="_Tander_IPO_support_UralChim_WACC_1" xfId="1768"/>
    <cellStyle name="_Tander_IPO_support_UralChim_WACC_1 2" xfId="1769"/>
    <cellStyle name="_Tartar Deloitte input" xfId="1770"/>
    <cellStyle name="_Tartar Deloitte input 2" xfId="1771"/>
    <cellStyle name="_Tartar model 10.01.2008_v3" xfId="1772"/>
    <cellStyle name="_Tartar model 10.01.2008_v3 2" xfId="1773"/>
    <cellStyle name="_Tartar model 10.01.2008_v3_Tartar model 13.01.2008_v2" xfId="1774"/>
    <cellStyle name="_Tartar model 10.01.2008_v3_Tartar model 13.01.2008_v2 2" xfId="1775"/>
    <cellStyle name="_TB1" xfId="1776"/>
    <cellStyle name="_TDI4765 Eastern Europe_Transaction Comps 070912" xfId="1777"/>
    <cellStyle name="_TDI4765 Eastern Europe_Transaction Comps 070912 2" xfId="1778"/>
    <cellStyle name="_Tech Input 18.12.2007" xfId="1779"/>
    <cellStyle name="_Tech Input 18.12.2007 2" xfId="1780"/>
    <cellStyle name="_template" xfId="1781"/>
    <cellStyle name="_template 2" xfId="1782"/>
    <cellStyle name="_Template на 31.07.06г (16.08.06)" xfId="1783"/>
    <cellStyle name="_Template_conversion" xfId="1784"/>
    <cellStyle name="_TGK-1" xfId="1785"/>
    <cellStyle name="_TGK-1 2" xfId="1786"/>
    <cellStyle name="_TGK-невский" xfId="1787"/>
    <cellStyle name="_TGK-невский 2" xfId="1788"/>
    <cellStyle name="_UBS Flame valuation model v53 - FINAL" xfId="1789"/>
    <cellStyle name="_UralChim_WACC_1" xfId="1790"/>
    <cellStyle name="_UralChim_WACC_1 2" xfId="1791"/>
    <cellStyle name="_URBO IAS FS 051806" xfId="1792"/>
    <cellStyle name="_URBO IAS FS 1-6 2006" xfId="1793"/>
    <cellStyle name="_URBO NCA" xfId="1794"/>
    <cellStyle name="_URBO_IAS FS 9month05" xfId="1795"/>
    <cellStyle name="_URBO-BI Group 2003-2004 012506" xfId="1796"/>
    <cellStyle name="_UZHM WACC 30.06.08" xfId="1797"/>
    <cellStyle name="_UZHM WACC 30.06.08 2" xfId="1798"/>
    <cellStyle name="_v-2013-2030- 2b17.01.11Нах-cpiнов. курс inn 1-2-Е1xls" xfId="1799"/>
    <cellStyle name="_Valuation of Assembled Workforce_18.06.07" xfId="1800"/>
    <cellStyle name="_Valuation of Assembled Workforce_18.06.07 2" xfId="1801"/>
    <cellStyle name="_valuation Sokos adj2" xfId="1802"/>
    <cellStyle name="_WACC ATZ 1" xfId="1803"/>
    <cellStyle name="_WACC ATZ 1 2" xfId="1804"/>
    <cellStyle name="_WACC Energy" xfId="1805"/>
    <cellStyle name="_WACC Energy 2" xfId="1806"/>
    <cellStyle name="_WACC SMK 2007 v.3.0" xfId="1807"/>
    <cellStyle name="_WACC SMK 2007 v.3.0 2" xfId="1808"/>
    <cellStyle name="_WACC support" xfId="1809"/>
    <cellStyle name="_WACC support 2" xfId="1810"/>
    <cellStyle name="_WACC_calculations_3" xfId="1811"/>
    <cellStyle name="_WACC_calculations_3 2" xfId="1812"/>
    <cellStyle name="_waccDIXI" xfId="1813"/>
    <cellStyle name="_waccDIXI 2" xfId="1814"/>
    <cellStyle name="_waccDIXI_CKBA_06_12_2" xfId="1815"/>
    <cellStyle name="_waccDIXI_CKBA_06_12_2 2" xfId="1816"/>
    <cellStyle name="_waccDIXI_DCF_AME_26.11.07" xfId="1817"/>
    <cellStyle name="_waccDIXI_DCF_AME_26.11.07 2" xfId="1818"/>
    <cellStyle name="_waccDIXI_FinancialModel 14.11.07" xfId="1819"/>
    <cellStyle name="_waccDIXI_FinancialModel 14.11.07 2" xfId="1820"/>
    <cellStyle name="_waccDIXI_Lenta DCF Databook 2009" xfId="1821"/>
    <cellStyle name="_waccDIXI_Lenta DCF Databook 2009 2" xfId="1822"/>
    <cellStyle name="_waccDIXI_UralChim_WACC_1" xfId="1823"/>
    <cellStyle name="_waccDIXI_UralChim_WACC_1 2" xfId="1824"/>
    <cellStyle name="_wc" xfId="1825"/>
    <cellStyle name="_wc 2" xfId="1826"/>
    <cellStyle name="_WC_Assumptions_100706 " xfId="1827"/>
    <cellStyle name="_WC_Assumptions_100706 _CKBA_06_12_2" xfId="1828"/>
    <cellStyle name="_WC_Assumptions_100706 _DCF_AME_26.11.07" xfId="1829"/>
    <cellStyle name="_WC_Assumptions_100706 _Discount rate NZ" xfId="1830"/>
    <cellStyle name="_WC_Assumptions_100706 _FinancialModel 14.11.07" xfId="1831"/>
    <cellStyle name="_WC_Assumptions_100706 _SI_MA_NL" xfId="1832"/>
    <cellStyle name="_wire line CapEx" xfId="1833"/>
    <cellStyle name="_Zatratny_podhod_01.01.2006_IFTC" xfId="1834"/>
    <cellStyle name="_Агро 27 мая" xfId="1835"/>
    <cellStyle name="_Альбом бюджетных и аналитических форм" xfId="1836"/>
    <cellStyle name="_Альбом бюджетных и аналитических форм 2" xfId="1837"/>
    <cellStyle name="_Альянс дебиторская задолженность (23-11-05)" xfId="1838"/>
    <cellStyle name="_амортизация" xfId="1839"/>
    <cellStyle name="_амортизация 2" xfId="1840"/>
    <cellStyle name="_Анализ дебеторской задолженности на 31.12.05" xfId="1841"/>
    <cellStyle name="_Анализ Долговой позиции на 2005 г" xfId="1842"/>
    <cellStyle name="_Анализ Долговой позиции на 2005 г 2" xfId="1843"/>
    <cellStyle name="_Анализ использования ремонтов в 2005 (ауд)" xfId="1844"/>
    <cellStyle name="_Анализ использования ремонтов в 2005 (ауд) 2" xfId="1845"/>
    <cellStyle name="_Анализ КТП_регионы" xfId="1846"/>
    <cellStyle name="_Анализ КТП_регионы 2" xfId="1847"/>
    <cellStyle name="_аннуитет" xfId="1848"/>
    <cellStyle name="_АОЗ на 30.06.06" xfId="1849"/>
    <cellStyle name="_Б10 2007" xfId="1850"/>
    <cellStyle name="_Б10 2007 2" xfId="1851"/>
    <cellStyle name="_банкоматы" xfId="1852"/>
    <cellStyle name="_БДДС ГОиТ_декабрь" xfId="1853"/>
    <cellStyle name="_БДДС ГОиТ_декабрь 2" xfId="1854"/>
    <cellStyle name="_БДДС Картэкс_декабрь" xfId="1855"/>
    <cellStyle name="_БДДС Картэкс_декабрь 2" xfId="1856"/>
    <cellStyle name="_БДР 20062007" xfId="1857"/>
    <cellStyle name="_БДР 20062007 2" xfId="1858"/>
    <cellStyle name="_Бизнес план Интегра КРС_2005 октябрь" xfId="1859"/>
    <cellStyle name="_Бизнес план Интегра КРС_2005 октябрь_АХС Бизнес план 2006 собств.техн." xfId="1860"/>
    <cellStyle name="_Бизнес план Интегра КРС_2005 октябрь_Бизнес-план 2006 Интегра КРС Нягань (Имущество)" xfId="1861"/>
    <cellStyle name="_Бизнес план Интегра КРС_2005 октябрь_Ванюгин общ.вопросы" xfId="1862"/>
    <cellStyle name="_Бизнес план Интегра КРС_2005 октябрь_ОТ и ПБ Бизнес план. 2006 г собств.техн." xfId="1863"/>
    <cellStyle name="_Бизнес план Интегра КРС_2005 октябрь_ПП прогноз" xfId="1864"/>
    <cellStyle name="_Бизнес план Интегра КРС_2005 октябрь_расшифровка ГСМ к БП 2006" xfId="1865"/>
    <cellStyle name="_бизнес-план на 2005 год" xfId="1866"/>
    <cellStyle name="_бизнес-план на 2005 год 2" xfId="1867"/>
    <cellStyle name="_Бизнес-план_ПРОЕКТ" xfId="1868"/>
    <cellStyle name="_БП Мосэнерго 2008-2011г." xfId="1869"/>
    <cellStyle name="_БП Мосэнерго 2008-2011г. 2" xfId="1870"/>
    <cellStyle name="_БП ОГЭ август 8" xfId="1871"/>
    <cellStyle name="_БПр" xfId="1872"/>
    <cellStyle name="_БПр_ЗПИФ" xfId="1873"/>
    <cellStyle name="_БПУ план-факт ИЮНЬ_2009 г." xfId="1874"/>
    <cellStyle name="_брукс" xfId="1875"/>
    <cellStyle name="_БСА и Манеж доходный" xfId="1876"/>
    <cellStyle name="_бюджет для ННГФ" xfId="1877"/>
    <cellStyle name="_БЮДЖЕТ формат" xfId="1878"/>
    <cellStyle name="_бюджет_модель_2007-2009-09-11-06 нф" xfId="1879"/>
    <cellStyle name="_бюджет_модель_2007-2009-09-11-06 нф 2" xfId="1880"/>
    <cellStyle name="_бюджет_открытые_с_25-10-06_до_31-12-06-ПЭО" xfId="1881"/>
    <cellStyle name="_бюджет_открытые_с_25-10-06_до_31-12-06-ПЭО 2" xfId="1882"/>
    <cellStyle name="_бюджет_открытые_с_25-10-06_до_31-12-06-ПЭО нф" xfId="1883"/>
    <cellStyle name="_бюджет_открытые_с_25-10-06_до_31-12-06-ПЭО нф 2" xfId="1884"/>
    <cellStyle name="_бюджет_открытые-известные_в_2007-1-ПЭО нф" xfId="1885"/>
    <cellStyle name="_бюджет_открытые-известные_в_2007-1-ПЭО нф 2" xfId="1886"/>
    <cellStyle name="_бюджет_открытые-известные_в_2007-2-ПЭО нф" xfId="1887"/>
    <cellStyle name="_бюджет_открытые-известные_в_2007-2-ПЭО нф 2" xfId="1888"/>
    <cellStyle name="_бюджет_открытые-известные_в_2008-ПЭО нф" xfId="1889"/>
    <cellStyle name="_бюджет_открытые-известные_в_2008-ПЭО нф 2" xfId="1890"/>
    <cellStyle name="_бюджет_СЕТИ-Действующие_2007-11" xfId="1891"/>
    <cellStyle name="_бюджет_СЕТИ-Действующие_2007-11 2" xfId="1892"/>
    <cellStyle name="_бюджет_СЕТИ-Действующие_2007-11 нф" xfId="1893"/>
    <cellStyle name="_бюджет_СЕТИ-Действующие_2007-11 нф 2" xfId="1894"/>
    <cellStyle name="_бюджет_СЕТИ-Инвестиционные_2007-11 нф" xfId="1895"/>
    <cellStyle name="_бюджет_СЕТИ-Инвестиционные_2007-11 нф 2" xfId="1896"/>
    <cellStyle name="_В разрезе кредитных соглашений (субсидии)" xfId="1897"/>
    <cellStyle name="_вариант 3 ПК_SOP -разведенный-для бюджета 3_прогноз с июня_уточн ЗИП" xfId="1898"/>
    <cellStyle name="_вариант 3 ПК_SOP -разведенный-для бюджета 3_прогноз с июня_уточн ЗИП 2" xfId="1899"/>
    <cellStyle name="_Ввод" xfId="1900"/>
    <cellStyle name="_Ввод 2" xfId="1901"/>
    <cellStyle name="_Ввод 2 2" xfId="1902"/>
    <cellStyle name="_Ввод 2 2 2" xfId="1903"/>
    <cellStyle name="_Ввод 2 2 3" xfId="1904"/>
    <cellStyle name="_Ввод 2 3" xfId="1905"/>
    <cellStyle name="_Ввод 2 4" xfId="1906"/>
    <cellStyle name="_Ввод 3" xfId="1907"/>
    <cellStyle name="_Ввод 3 2" xfId="1908"/>
    <cellStyle name="_Ввод 3 3" xfId="1909"/>
    <cellStyle name="_Векселя - расчет" xfId="1910"/>
    <cellStyle name="_Векселя - расчет 2" xfId="1911"/>
    <cellStyle name="_Векселя - расчет 3" xfId="1912"/>
    <cellStyle name="_Векселя - расчет 4" xfId="1913"/>
    <cellStyle name="_Векселя - расчет 5" xfId="1914"/>
    <cellStyle name="_Векселя - расчет_ИСХ_ПАРАМ_Галоген" xfId="1915"/>
    <cellStyle name="_Векселя - расчет_Книга2" xfId="1916"/>
    <cellStyle name="_Векселя - расчет_модельИрина" xfId="1917"/>
    <cellStyle name="_Векселя - расчет_модельИрина_Книга2" xfId="1918"/>
    <cellStyle name="_Векселя - расчет_Оборудование" xfId="1919"/>
    <cellStyle name="_Векселя - расчет_Расчет" xfId="1920"/>
    <cellStyle name="_Векселя - расчет_Расчет_Gabler" xfId="1921"/>
    <cellStyle name="_Векселя - расчет_Расчет_Gabler1" xfId="1922"/>
    <cellStyle name="_Векселя - расчет_Сооружения" xfId="1923"/>
    <cellStyle name="_Внешний износ" xfId="1924"/>
    <cellStyle name="_Внешний износ 2" xfId="1925"/>
    <cellStyle name="_ВНИИБТ БИ Анализ ТМЦ свод" xfId="1926"/>
    <cellStyle name="_Все поправки" xfId="1927"/>
    <cellStyle name="_Гончарный 2006" xfId="1928"/>
    <cellStyle name="_График капвложений" xfId="1929"/>
    <cellStyle name="_График капвложений 2" xfId="1930"/>
    <cellStyle name="_ГФС дебиторская задолженность на 1.11.05с комментарием" xfId="1931"/>
    <cellStyle name="_ДДП" xfId="1932"/>
    <cellStyle name="_деньги по кап" xfId="1933"/>
    <cellStyle name="_Дефляторы МЭРТ - май 2008 г" xfId="1934"/>
    <cellStyle name="_Дефляторы МЭРТ - май 2008 г 2" xfId="1935"/>
    <cellStyle name="_Диагностика оборудования  2006 г." xfId="1936"/>
    <cellStyle name="_Диагностика оборудования  2006 г._АХС Бизнес план 2006 собств.техн." xfId="1937"/>
    <cellStyle name="_Диагностика оборудования  2006 г._Бизнес-план 2006 Интегра КРС Нягань (Имущество)" xfId="1938"/>
    <cellStyle name="_Диагностика оборудования  2006 г._Ванюгин общ.вопросы" xfId="1939"/>
    <cellStyle name="_Диагностика оборудования  2006 г._ОТ и ПБ Бизнес план. 2006 г собств.техн." xfId="1940"/>
    <cellStyle name="_Диагностика оборудования  2006 г._ПП прогноз" xfId="1941"/>
    <cellStyle name="_Диагностика оборудования  2006 г._расшифровка ГСМ к БП 2006" xfId="1942"/>
    <cellStyle name="_дивиденды" xfId="1943"/>
    <cellStyle name="_Динамика мощности ГЭС" xfId="1944"/>
    <cellStyle name="_Динамика мощности ГЭС 2" xfId="1945"/>
    <cellStyle name="_для Любы" xfId="1946"/>
    <cellStyle name="_для Любы 2" xfId="1947"/>
    <cellStyle name="_Дозакл 5 мес.2000" xfId="1948"/>
    <cellStyle name="_Доходный и сравнительный по недвижимости без НДС" xfId="1949"/>
    <cellStyle name="_Доходный подход_Брянск_07.10.2005" xfId="1950"/>
    <cellStyle name="_доходный_оценка" xfId="1951"/>
    <cellStyle name="_Доходный_сериалы_без олигарха" xfId="1952"/>
    <cellStyle name="_Ежедневный отчет" xfId="1953"/>
    <cellStyle name="_Запрос (пп 5.3, 7.2-7.4, 7.6, 7.8-7.9)" xfId="1954"/>
    <cellStyle name="_Запрос 25.3_9 мес 2006" xfId="1955"/>
    <cellStyle name="_Запрос 25.3_9 мес 2006 2" xfId="1956"/>
    <cellStyle name="_Запрос_Центр НЭО_08.05.07" xfId="1957"/>
    <cellStyle name="_Затратный" xfId="1958"/>
    <cellStyle name="_Затратный подход" xfId="1959"/>
    <cellStyle name="_Из Астрахани" xfId="1960"/>
    <cellStyle name="_Из Астрахани_ИСХ_ПАРАМ_КЧХК" xfId="1961"/>
    <cellStyle name="_Из Астрахани_модели" xfId="1962"/>
    <cellStyle name="_Из Астрахани_модельИрина" xfId="1963"/>
    <cellStyle name="_Из Астрахани_модельИрина_Книга2" xfId="1964"/>
    <cellStyle name="_Из Астрахани_Оборудование" xfId="1965"/>
    <cellStyle name="_Из Астрахани_Расчет грузопод. обор." xfId="1966"/>
    <cellStyle name="_Из Астрахани_Расчет котлы паровые, водогр,теплообменники" xfId="1967"/>
    <cellStyle name="_Из Астрахани_Расчет сварочное оборуд" xfId="1968"/>
    <cellStyle name="_Из Астрахани_Расчет станки (version 1)" xfId="1969"/>
    <cellStyle name="_Имущественный комплекс_МСЗ" xfId="1970"/>
    <cellStyle name="_Инвестиционная программа подробно" xfId="1971"/>
    <cellStyle name="_Инвестиционная программа подробно 2" xfId="1972"/>
    <cellStyle name="_Индекс Ко-Инвест" xfId="1973"/>
    <cellStyle name="_Индексы ИРИП" xfId="1974"/>
    <cellStyle name="_Индексы ИРИП_ИСХ_ПАРАМ_КЧХК" xfId="1975"/>
    <cellStyle name="_Индексы ИРИП_модели" xfId="1976"/>
    <cellStyle name="_Индексы ИРИП_модельИрина" xfId="1977"/>
    <cellStyle name="_Индексы ИРИП_модельИрина_Книга2" xfId="1978"/>
    <cellStyle name="_Индексы ИРИП_Оборудование" xfId="1979"/>
    <cellStyle name="_Индексы ИРИП_Расчет грузопод. обор." xfId="1980"/>
    <cellStyle name="_Индексы ИРИП_Расчет котлы паровые, водогр,теплообменники" xfId="1981"/>
    <cellStyle name="_Индексы ИРИП_Расчет сварочное оборуд" xfId="1982"/>
    <cellStyle name="_Индексы ИРИП_Расчет станки (version 1)" xfId="1983"/>
    <cellStyle name="_Индексы СМР" xfId="1984"/>
    <cellStyle name="_ИННА Фин модель 280807 с новым планом продаж с сервисом" xfId="1985"/>
    <cellStyle name="_ИННА Фин модель 280807 с новым планом продаж с сервисом 2" xfId="1986"/>
    <cellStyle name="_инфляция" xfId="1987"/>
    <cellStyle name="_Информационный запрос 121505" xfId="1988"/>
    <cellStyle name="_Информационный запрос за июнь НОВЫЙ" xfId="1989"/>
    <cellStyle name="_Информационный запрос Интегра КРС за декабрь 2005 г" xfId="1990"/>
    <cellStyle name="_Информационный запрос Интегра КРС за январь 2005 г" xfId="1991"/>
    <cellStyle name="_Информационный запрос_templ2 ate май" xfId="1992"/>
    <cellStyle name="_Информационный запрос_template" xfId="1993"/>
    <cellStyle name="_Информационный запрос_template v2" xfId="1994"/>
    <cellStyle name="_Информационный запрос_template v2 (31.07.06)" xfId="1995"/>
    <cellStyle name="_Информационный запрос_template май" xfId="1996"/>
    <cellStyle name="_Информационный запрос_июнь 06" xfId="1997"/>
    <cellStyle name="_ИП 17032006" xfId="1998"/>
    <cellStyle name="_ИП 17032006 2" xfId="1999"/>
    <cellStyle name="_ИП, ПП для финмодели ВЭК" xfId="2000"/>
    <cellStyle name="_ИП, ПП для финмодели ВЭК 2" xfId="2001"/>
    <cellStyle name="_ИСХОДНЫЕ ПАРАМ СУАЛ" xfId="2002"/>
    <cellStyle name="_Итог" xfId="2003"/>
    <cellStyle name="_Кавказ - пример" xfId="2004"/>
    <cellStyle name="_Кавказ - пример 2" xfId="2005"/>
    <cellStyle name="_Кавказ - пример 3" xfId="2006"/>
    <cellStyle name="_Кавказ - пример 4" xfId="2007"/>
    <cellStyle name="_Кавказ - пример 5" xfId="2008"/>
    <cellStyle name="_Кавказ - пример_ИСХ_ПАРАМ_Галоген" xfId="2009"/>
    <cellStyle name="_Кавказ - пример_Книга2" xfId="2010"/>
    <cellStyle name="_Кавказ - пример_модельИрина" xfId="2011"/>
    <cellStyle name="_Кавказ - пример_модельИрина_Книга2" xfId="2012"/>
    <cellStyle name="_Кавказ - пример_Оборудование" xfId="2013"/>
    <cellStyle name="_Кавказ - пример_Расчет" xfId="2014"/>
    <cellStyle name="_Кавказ - пример_Расчет_Gabler" xfId="2015"/>
    <cellStyle name="_Кавказ - пример_Расчет_Gabler1" xfId="2016"/>
    <cellStyle name="_Кавказ - пример_Сооружения" xfId="2017"/>
    <cellStyle name="_КАПЕКС" xfId="2018"/>
    <cellStyle name="_КАПЕКС 2" xfId="2019"/>
    <cellStyle name="_КВ освоение 2006 27 04 06" xfId="2020"/>
    <cellStyle name="_КК_сметный расчет" xfId="2021"/>
    <cellStyle name="_Книга1" xfId="2022"/>
    <cellStyle name="_Книга1 (2)" xfId="2023"/>
    <cellStyle name="_Книга1 (2) 2" xfId="2024"/>
    <cellStyle name="_Книга1 2" xfId="2025"/>
    <cellStyle name="_Книга1 3" xfId="2026"/>
    <cellStyle name="_Книга1_120" xfId="2027"/>
    <cellStyle name="_Книга1_DCF_01.01.2006_IFTC" xfId="2028"/>
    <cellStyle name="_Книга1_DCF_Soglasovanie_01.01.2006_Delta" xfId="2029"/>
    <cellStyle name="_Книга1_DCF_TKB_01.04.2006" xfId="2030"/>
    <cellStyle name="_Книга1_DCF_Кокс_исправлен" xfId="2031"/>
    <cellStyle name="_Книга1_Dohodny_podhod_Soglasovanie" xfId="2032"/>
    <cellStyle name="_Книга1_Dohodny_podhod_Soglasovanie_09.11.2005" xfId="2033"/>
    <cellStyle name="_Книга1_Dohodny_podhod_Soglasovanie_Zarubezhstroy_01.10.2005" xfId="2034"/>
    <cellStyle name="_Книга1_ExpValCalc01.04.2006" xfId="2035"/>
    <cellStyle name="_Книга1_Finanaliz_CHPC_01.01.2007" xfId="2036"/>
    <cellStyle name="_Книга1_Market_Company_Licence" xfId="2037"/>
    <cellStyle name="_Книга1_Soglasovanie_01.10.2005" xfId="2038"/>
    <cellStyle name="_Книга1_Zatratny_podhod_01.01.2006_IFTC" xfId="2039"/>
    <cellStyle name="_Книга1_Zatratny_podhod_01.04.2006_3 SSU" xfId="2040"/>
    <cellStyle name="_Книга1_Дельта-доходный подход и согласование" xfId="2041"/>
    <cellStyle name="_Книга1_Для расчета амортизации-Ульяновск" xfId="2042"/>
    <cellStyle name="_Книга1_ЗП_TKB_01.04.2006" xfId="2043"/>
    <cellStyle name="_Книга1_Копия Dohodny_podhod_Soglasovanie_Zarubezhstroy_01.10.2005" xfId="2044"/>
    <cellStyle name="_Книга1_МЧА_01.10.2005" xfId="2045"/>
    <cellStyle name="_Книга1_МЧА_MIR_01.10.2005" xfId="2046"/>
    <cellStyle name="_Книга1_МЧА_MODUL_01.10.2005" xfId="2047"/>
    <cellStyle name="_Книга1_МЧА_ZARUBEZSTROY_01.10.2005" xfId="2048"/>
    <cellStyle name="_Книга1_Согласование_02.11.2005" xfId="2049"/>
    <cellStyle name="_Книга1_Сравнительный подход - медиа_Чебоксары" xfId="2050"/>
    <cellStyle name="_Книга1_Фин.вложения_TKB_01.04.2006" xfId="2051"/>
    <cellStyle name="_Книга2" xfId="2052"/>
    <cellStyle name="_Книга2 2" xfId="2053"/>
    <cellStyle name="_Книга3" xfId="2054"/>
    <cellStyle name="_Книга3 2" xfId="2055"/>
    <cellStyle name="_Книга3__Внесение мин удобрений (2010г)(6419172_к-628-09-2_108_628-ра_09_03_2010)" xfId="2056"/>
    <cellStyle name="_Книга3__Внесение мин удобрений (2010г)(6419172_к-628-09-2_108_628-ра_09_03_2010) 2" xfId="2057"/>
    <cellStyle name="_Книга3_17_0" xfId="2058"/>
    <cellStyle name="_Книга3_17_0_1" xfId="2059"/>
    <cellStyle name="_Книга3_CKBA_06_12_2" xfId="2060"/>
    <cellStyle name="_Книга3_CKBA_06_12_2 2" xfId="2061"/>
    <cellStyle name="_Книга3_DCF_AME_26.11.07" xfId="2062"/>
    <cellStyle name="_Книга3_DCF_AME_26.11.07 2" xfId="2063"/>
    <cellStyle name="_Книга3_FinancialModel 14.11.07" xfId="2064"/>
    <cellStyle name="_Книга3_FinancialModel 14.11.07 2" xfId="2065"/>
    <cellStyle name="_Книга3_Lenta DCF Databook 2009" xfId="2066"/>
    <cellStyle name="_Книга3_Lenta DCF Databook 2009 2" xfId="2067"/>
    <cellStyle name="_Книга3_New Form10_2" xfId="2068"/>
    <cellStyle name="_Книга3_New Form10_2 2" xfId="2069"/>
    <cellStyle name="_Книга3_New Form10_2__Внесение мин удобрений (2010г)(6419172_к-628-09-2_108_628-ра_09_03_2010)" xfId="2070"/>
    <cellStyle name="_Книга3_New Form10_2__Внесение мин удобрений (2010г)(6419172_к-628-09-2_108_628-ра_09_03_2010) 2" xfId="2071"/>
    <cellStyle name="_Книга3_New Form10_2_CKBA_06_12_2" xfId="2072"/>
    <cellStyle name="_Книга3_New Form10_2_CKBA_06_12_2 2" xfId="2073"/>
    <cellStyle name="_Книга3_New Form10_2_DCF_AME_26.11.07" xfId="2074"/>
    <cellStyle name="_Книга3_New Form10_2_DCF_AME_26.11.07 2" xfId="2075"/>
    <cellStyle name="_Книга3_New Form10_2_FinancialModel 14.11.07" xfId="2076"/>
    <cellStyle name="_Книга3_New Form10_2_FinancialModel 14.11.07 2" xfId="2077"/>
    <cellStyle name="_Книга3_New Form10_2_Lenta DCF Databook 2009" xfId="2078"/>
    <cellStyle name="_Книга3_New Form10_2_Lenta DCF Databook 2009 2" xfId="2079"/>
    <cellStyle name="_Книга3_New Form10_2_UralChim_WACC_1" xfId="2080"/>
    <cellStyle name="_Книга3_New Form10_2_UralChim_WACC_1 2" xfId="2081"/>
    <cellStyle name="_Книга3_New Form10_2_З_О 12" xfId="2082"/>
    <cellStyle name="_Книга3_New Form10_2_Предпосылки к стратегии" xfId="2083"/>
    <cellStyle name="_Книга3_New Form10_2_Слайды к презентации" xfId="2084"/>
    <cellStyle name="_Книга3_Nsi" xfId="2085"/>
    <cellStyle name="_Книга3_Nsi 2" xfId="2086"/>
    <cellStyle name="_Книга3_Nsi__Внесение мин удобрений (2010г)(6419172_к-628-09-2_108_628-ра_09_03_2010)" xfId="2087"/>
    <cellStyle name="_Книга3_Nsi__Внесение мин удобрений (2010г)(6419172_к-628-09-2_108_628-ра_09_03_2010) 2" xfId="2088"/>
    <cellStyle name="_Книга3_Nsi_1" xfId="2089"/>
    <cellStyle name="_Книга3_Nsi_1 2" xfId="2090"/>
    <cellStyle name="_Книга3_Nsi_1__Внесение мин удобрений (2010г)(6419172_к-628-09-2_108_628-ра_09_03_2010)" xfId="2091"/>
    <cellStyle name="_Книга3_Nsi_1__Внесение мин удобрений (2010г)(6419172_к-628-09-2_108_628-ра_09_03_2010) 2" xfId="2092"/>
    <cellStyle name="_Книга3_Nsi_1_CKBA_06_12_2" xfId="2093"/>
    <cellStyle name="_Книга3_Nsi_1_CKBA_06_12_2 2" xfId="2094"/>
    <cellStyle name="_Книга3_Nsi_1_DCF_AME_26.11.07" xfId="2095"/>
    <cellStyle name="_Книга3_Nsi_1_DCF_AME_26.11.07 2" xfId="2096"/>
    <cellStyle name="_Книга3_Nsi_1_FinancialModel 14.11.07" xfId="2097"/>
    <cellStyle name="_Книга3_Nsi_1_FinancialModel 14.11.07 2" xfId="2098"/>
    <cellStyle name="_Книга3_Nsi_1_Lenta DCF Databook 2009" xfId="2099"/>
    <cellStyle name="_Книга3_Nsi_1_Lenta DCF Databook 2009 2" xfId="2100"/>
    <cellStyle name="_Книга3_Nsi_1_UralChim_WACC_1" xfId="2101"/>
    <cellStyle name="_Книга3_Nsi_1_UralChim_WACC_1 2" xfId="2102"/>
    <cellStyle name="_Книга3_Nsi_1_З_О 12" xfId="2103"/>
    <cellStyle name="_Книга3_Nsi_1_Предпосылки к стратегии" xfId="2104"/>
    <cellStyle name="_Книга3_Nsi_1_Слайды к презентации" xfId="2105"/>
    <cellStyle name="_Книга3_Nsi_139" xfId="2106"/>
    <cellStyle name="_Книга3_Nsi_139 2" xfId="2107"/>
    <cellStyle name="_Книга3_Nsi_139__Внесение мин удобрений (2010г)(6419172_к-628-09-2_108_628-ра_09_03_2010)" xfId="2108"/>
    <cellStyle name="_Книга3_Nsi_139__Внесение мин удобрений (2010г)(6419172_к-628-09-2_108_628-ра_09_03_2010) 2" xfId="2109"/>
    <cellStyle name="_Книга3_Nsi_139_CKBA_06_12_2" xfId="2110"/>
    <cellStyle name="_Книга3_Nsi_139_CKBA_06_12_2 2" xfId="2111"/>
    <cellStyle name="_Книга3_Nsi_139_DCF_AME_26.11.07" xfId="2112"/>
    <cellStyle name="_Книга3_Nsi_139_DCF_AME_26.11.07 2" xfId="2113"/>
    <cellStyle name="_Книга3_Nsi_139_FinancialModel 14.11.07" xfId="2114"/>
    <cellStyle name="_Книга3_Nsi_139_FinancialModel 14.11.07 2" xfId="2115"/>
    <cellStyle name="_Книга3_Nsi_139_Lenta DCF Databook 2009" xfId="2116"/>
    <cellStyle name="_Книга3_Nsi_139_Lenta DCF Databook 2009 2" xfId="2117"/>
    <cellStyle name="_Книга3_Nsi_139_UralChim_WACC_1" xfId="2118"/>
    <cellStyle name="_Книга3_Nsi_139_UralChim_WACC_1 2" xfId="2119"/>
    <cellStyle name="_Книга3_Nsi_139_З_О 12" xfId="2120"/>
    <cellStyle name="_Книга3_Nsi_139_Предпосылки к стратегии" xfId="2121"/>
    <cellStyle name="_Книга3_Nsi_139_Слайды к презентации" xfId="2122"/>
    <cellStyle name="_Книга3_Nsi_140" xfId="2123"/>
    <cellStyle name="_Книга3_Nsi_140 2" xfId="2124"/>
    <cellStyle name="_Книга3_Nsi_140(Зах)" xfId="2125"/>
    <cellStyle name="_Книга3_Nsi_140(Зах) 2" xfId="2126"/>
    <cellStyle name="_Книга3_Nsi_140(Зах)__Внесение мин удобрений (2010г)(6419172_к-628-09-2_108_628-ра_09_03_2010)" xfId="2127"/>
    <cellStyle name="_Книга3_Nsi_140(Зах)__Внесение мин удобрений (2010г)(6419172_к-628-09-2_108_628-ра_09_03_2010) 2" xfId="2128"/>
    <cellStyle name="_Книга3_Nsi_140(Зах)_CKBA_06_12_2" xfId="2129"/>
    <cellStyle name="_Книга3_Nsi_140(Зах)_CKBA_06_12_2 2" xfId="2130"/>
    <cellStyle name="_Книга3_Nsi_140(Зах)_DCF_AME_26.11.07" xfId="2131"/>
    <cellStyle name="_Книга3_Nsi_140(Зах)_DCF_AME_26.11.07 2" xfId="2132"/>
    <cellStyle name="_Книга3_Nsi_140(Зах)_FinancialModel 14.11.07" xfId="2133"/>
    <cellStyle name="_Книга3_Nsi_140(Зах)_FinancialModel 14.11.07 2" xfId="2134"/>
    <cellStyle name="_Книга3_Nsi_140(Зах)_Lenta DCF Databook 2009" xfId="2135"/>
    <cellStyle name="_Книга3_Nsi_140(Зах)_Lenta DCF Databook 2009 2" xfId="2136"/>
    <cellStyle name="_Книга3_Nsi_140(Зах)_UralChim_WACC_1" xfId="2137"/>
    <cellStyle name="_Книга3_Nsi_140(Зах)_UralChim_WACC_1 2" xfId="2138"/>
    <cellStyle name="_Книга3_Nsi_140(Зах)_З_О 12" xfId="2139"/>
    <cellStyle name="_Книга3_Nsi_140(Зах)_Предпосылки к стратегии" xfId="2140"/>
    <cellStyle name="_Книга3_Nsi_140(Зах)_Слайды к презентации" xfId="2141"/>
    <cellStyle name="_Книга3_Nsi_140__Внесение мин удобрений (2010г)(6419172_к-628-09-2_108_628-ра_09_03_2010)" xfId="2142"/>
    <cellStyle name="_Книга3_Nsi_140__Внесение мин удобрений (2010г)(6419172_к-628-09-2_108_628-ра_09_03_2010) 2" xfId="2143"/>
    <cellStyle name="_Книга3_Nsi_140_CKBA_06_12_2" xfId="2144"/>
    <cellStyle name="_Книга3_Nsi_140_CKBA_06_12_2 2" xfId="2145"/>
    <cellStyle name="_Книга3_Nsi_140_DCF_AME_26.11.07" xfId="2146"/>
    <cellStyle name="_Книга3_Nsi_140_DCF_AME_26.11.07 2" xfId="2147"/>
    <cellStyle name="_Книга3_Nsi_140_FinancialModel 14.11.07" xfId="2148"/>
    <cellStyle name="_Книга3_Nsi_140_FinancialModel 14.11.07 2" xfId="2149"/>
    <cellStyle name="_Книга3_Nsi_140_Lenta DCF Databook 2009" xfId="2150"/>
    <cellStyle name="_Книга3_Nsi_140_Lenta DCF Databook 2009 2" xfId="2151"/>
    <cellStyle name="_Книга3_Nsi_140_mod" xfId="2152"/>
    <cellStyle name="_Книга3_Nsi_140_mod 2" xfId="2153"/>
    <cellStyle name="_Книга3_Nsi_140_mod__Внесение мин удобрений (2010г)(6419172_к-628-09-2_108_628-ра_09_03_2010)" xfId="2154"/>
    <cellStyle name="_Книга3_Nsi_140_mod__Внесение мин удобрений (2010г)(6419172_к-628-09-2_108_628-ра_09_03_2010) 2" xfId="2155"/>
    <cellStyle name="_Книга3_Nsi_140_mod_CKBA_06_12_2" xfId="2156"/>
    <cellStyle name="_Книга3_Nsi_140_mod_CKBA_06_12_2 2" xfId="2157"/>
    <cellStyle name="_Книга3_Nsi_140_mod_DCF_AME_26.11.07" xfId="2158"/>
    <cellStyle name="_Книга3_Nsi_140_mod_DCF_AME_26.11.07 2" xfId="2159"/>
    <cellStyle name="_Книга3_Nsi_140_mod_FinancialModel 14.11.07" xfId="2160"/>
    <cellStyle name="_Книга3_Nsi_140_mod_FinancialModel 14.11.07 2" xfId="2161"/>
    <cellStyle name="_Книга3_Nsi_140_mod_Lenta DCF Databook 2009" xfId="2162"/>
    <cellStyle name="_Книга3_Nsi_140_mod_Lenta DCF Databook 2009 2" xfId="2163"/>
    <cellStyle name="_Книга3_Nsi_140_mod_UralChim_WACC_1" xfId="2164"/>
    <cellStyle name="_Книга3_Nsi_140_mod_UralChim_WACC_1 2" xfId="2165"/>
    <cellStyle name="_Книга3_Nsi_140_mod_З_О 12" xfId="2166"/>
    <cellStyle name="_Книга3_Nsi_140_mod_Предпосылки к стратегии" xfId="2167"/>
    <cellStyle name="_Книга3_Nsi_140_mod_Слайды к презентации" xfId="2168"/>
    <cellStyle name="_Книга3_Nsi_140_UralChim_WACC_1" xfId="2169"/>
    <cellStyle name="_Книга3_Nsi_140_UralChim_WACC_1 2" xfId="2170"/>
    <cellStyle name="_Книга3_Nsi_140_З_О 12" xfId="2171"/>
    <cellStyle name="_Книга3_Nsi_140_Предпосылки к стратегии" xfId="2172"/>
    <cellStyle name="_Книга3_Nsi_140_Слайды к презентации" xfId="2173"/>
    <cellStyle name="_Книга3_Nsi_CKBA_06_12_2" xfId="2174"/>
    <cellStyle name="_Книга3_Nsi_CKBA_06_12_2 2" xfId="2175"/>
    <cellStyle name="_Книга3_Nsi_DCF_AME_26.11.07" xfId="2176"/>
    <cellStyle name="_Книга3_Nsi_DCF_AME_26.11.07 2" xfId="2177"/>
    <cellStyle name="_Книга3_Nsi_FinancialModel 14.11.07" xfId="2178"/>
    <cellStyle name="_Книга3_Nsi_FinancialModel 14.11.07 2" xfId="2179"/>
    <cellStyle name="_Книга3_Nsi_Lenta DCF Databook 2009" xfId="2180"/>
    <cellStyle name="_Книга3_Nsi_Lenta DCF Databook 2009 2" xfId="2181"/>
    <cellStyle name="_Книга3_Nsi_UralChim_WACC_1" xfId="2182"/>
    <cellStyle name="_Книга3_Nsi_UralChim_WACC_1 2" xfId="2183"/>
    <cellStyle name="_Книга3_Nsi_З_О 12" xfId="2184"/>
    <cellStyle name="_Книга3_Nsi_Предпосылки к стратегии" xfId="2185"/>
    <cellStyle name="_Книга3_Nsi_Слайды к презентации" xfId="2186"/>
    <cellStyle name="_Книга3_Summary" xfId="2187"/>
    <cellStyle name="_Книга3_Summary 2" xfId="2188"/>
    <cellStyle name="_Книга3_Summary__Внесение мин удобрений (2010г)(6419172_к-628-09-2_108_628-ра_09_03_2010)" xfId="2189"/>
    <cellStyle name="_Книга3_Summary__Внесение мин удобрений (2010г)(6419172_к-628-09-2_108_628-ра_09_03_2010) 2" xfId="2190"/>
    <cellStyle name="_Книга3_Summary_CKBA_06_12_2" xfId="2191"/>
    <cellStyle name="_Книга3_Summary_CKBA_06_12_2 2" xfId="2192"/>
    <cellStyle name="_Книга3_Summary_DCF_AME_26.11.07" xfId="2193"/>
    <cellStyle name="_Книга3_Summary_DCF_AME_26.11.07 2" xfId="2194"/>
    <cellStyle name="_Книга3_Summary_FinancialModel 14.11.07" xfId="2195"/>
    <cellStyle name="_Книга3_Summary_FinancialModel 14.11.07 2" xfId="2196"/>
    <cellStyle name="_Книга3_Summary_Lenta DCF Databook 2009" xfId="2197"/>
    <cellStyle name="_Книга3_Summary_Lenta DCF Databook 2009 2" xfId="2198"/>
    <cellStyle name="_Книга3_Summary_UralChim_WACC_1" xfId="2199"/>
    <cellStyle name="_Книга3_Summary_UralChim_WACC_1 2" xfId="2200"/>
    <cellStyle name="_Книга3_Summary_З_О 12" xfId="2201"/>
    <cellStyle name="_Книга3_Summary_Предпосылки к стратегии" xfId="2202"/>
    <cellStyle name="_Книга3_Summary_Слайды к презентации" xfId="2203"/>
    <cellStyle name="_Книга3_Tax_form_1кв_3" xfId="2204"/>
    <cellStyle name="_Книга3_Tax_form_1кв_3 2" xfId="2205"/>
    <cellStyle name="_Книга3_Tax_form_1кв_3__Внесение мин удобрений (2010г)(6419172_к-628-09-2_108_628-ра_09_03_2010)" xfId="2206"/>
    <cellStyle name="_Книга3_Tax_form_1кв_3__Внесение мин удобрений (2010г)(6419172_к-628-09-2_108_628-ра_09_03_2010) 2" xfId="2207"/>
    <cellStyle name="_Книга3_Tax_form_1кв_3_CKBA_06_12_2" xfId="2208"/>
    <cellStyle name="_Книга3_Tax_form_1кв_3_CKBA_06_12_2 2" xfId="2209"/>
    <cellStyle name="_Книга3_Tax_form_1кв_3_DCF_AME_26.11.07" xfId="2210"/>
    <cellStyle name="_Книга3_Tax_form_1кв_3_DCF_AME_26.11.07 2" xfId="2211"/>
    <cellStyle name="_Книга3_Tax_form_1кв_3_FinancialModel 14.11.07" xfId="2212"/>
    <cellStyle name="_Книга3_Tax_form_1кв_3_FinancialModel 14.11.07 2" xfId="2213"/>
    <cellStyle name="_Книга3_Tax_form_1кв_3_Lenta DCF Databook 2009" xfId="2214"/>
    <cellStyle name="_Книга3_Tax_form_1кв_3_Lenta DCF Databook 2009 2" xfId="2215"/>
    <cellStyle name="_Книга3_Tax_form_1кв_3_UralChim_WACC_1" xfId="2216"/>
    <cellStyle name="_Книга3_Tax_form_1кв_3_UralChim_WACC_1 2" xfId="2217"/>
    <cellStyle name="_Книга3_Tax_form_1кв_3_З_О 12" xfId="2218"/>
    <cellStyle name="_Книга3_Tax_form_1кв_3_Предпосылки к стратегии" xfId="2219"/>
    <cellStyle name="_Книга3_Tax_form_1кв_3_Слайды к презентации" xfId="2220"/>
    <cellStyle name="_Книга3_UralChim_WACC_1" xfId="2221"/>
    <cellStyle name="_Книга3_UralChim_WACC_1 2" xfId="2222"/>
    <cellStyle name="_Книга3_БКЭ" xfId="2223"/>
    <cellStyle name="_Книга3_БКЭ 2" xfId="2224"/>
    <cellStyle name="_Книга3_БКЭ__Внесение мин удобрений (2010г)(6419172_к-628-09-2_108_628-ра_09_03_2010)" xfId="2225"/>
    <cellStyle name="_Книга3_БКЭ__Внесение мин удобрений (2010г)(6419172_к-628-09-2_108_628-ра_09_03_2010) 2" xfId="2226"/>
    <cellStyle name="_Книга3_БКЭ_CKBA_06_12_2" xfId="2227"/>
    <cellStyle name="_Книга3_БКЭ_CKBA_06_12_2 2" xfId="2228"/>
    <cellStyle name="_Книга3_БКЭ_DCF_AME_26.11.07" xfId="2229"/>
    <cellStyle name="_Книга3_БКЭ_DCF_AME_26.11.07 2" xfId="2230"/>
    <cellStyle name="_Книга3_БКЭ_FinancialModel 14.11.07" xfId="2231"/>
    <cellStyle name="_Книга3_БКЭ_FinancialModel 14.11.07 2" xfId="2232"/>
    <cellStyle name="_Книга3_БКЭ_Lenta DCF Databook 2009" xfId="2233"/>
    <cellStyle name="_Книга3_БКЭ_Lenta DCF Databook 2009 2" xfId="2234"/>
    <cellStyle name="_Книга3_БКЭ_UralChim_WACC_1" xfId="2235"/>
    <cellStyle name="_Книга3_БКЭ_UralChim_WACC_1 2" xfId="2236"/>
    <cellStyle name="_Книга3_БКЭ_З_О 12" xfId="2237"/>
    <cellStyle name="_Книга3_БКЭ_Предпосылки к стратегии" xfId="2238"/>
    <cellStyle name="_Книга3_БКЭ_Слайды к презентации" xfId="2239"/>
    <cellStyle name="_Книга3_З_О 12" xfId="2240"/>
    <cellStyle name="_Книга3_Перечень названий форм" xfId="2241"/>
    <cellStyle name="_Книга3_Предпосылки к стратегии" xfId="2242"/>
    <cellStyle name="_Книга3_Слайды к презентации" xfId="2243"/>
    <cellStyle name="_Книга7" xfId="2244"/>
    <cellStyle name="_Книга7 2" xfId="2245"/>
    <cellStyle name="_Книга7__Внесение мин удобрений (2010г)(6419172_к-628-09-2_108_628-ра_09_03_2010)" xfId="2246"/>
    <cellStyle name="_Книга7__Внесение мин удобрений (2010г)(6419172_к-628-09-2_108_628-ра_09_03_2010) 2" xfId="2247"/>
    <cellStyle name="_Книга7_17_0" xfId="2248"/>
    <cellStyle name="_Книга7_17_0_1" xfId="2249"/>
    <cellStyle name="_Книга7_CKBA_06_12_2" xfId="2250"/>
    <cellStyle name="_Книга7_CKBA_06_12_2 2" xfId="2251"/>
    <cellStyle name="_Книга7_DCF_AME_26.11.07" xfId="2252"/>
    <cellStyle name="_Книга7_DCF_AME_26.11.07 2" xfId="2253"/>
    <cellStyle name="_Книга7_FinancialModel 14.11.07" xfId="2254"/>
    <cellStyle name="_Книга7_FinancialModel 14.11.07 2" xfId="2255"/>
    <cellStyle name="_Книга7_Lenta DCF Databook 2009" xfId="2256"/>
    <cellStyle name="_Книга7_Lenta DCF Databook 2009 2" xfId="2257"/>
    <cellStyle name="_Книга7_New Form10_2" xfId="2258"/>
    <cellStyle name="_Книга7_New Form10_2 2" xfId="2259"/>
    <cellStyle name="_Книга7_New Form10_2__Внесение мин удобрений (2010г)(6419172_к-628-09-2_108_628-ра_09_03_2010)" xfId="2260"/>
    <cellStyle name="_Книга7_New Form10_2__Внесение мин удобрений (2010г)(6419172_к-628-09-2_108_628-ра_09_03_2010) 2" xfId="2261"/>
    <cellStyle name="_Книга7_New Form10_2_CKBA_06_12_2" xfId="2262"/>
    <cellStyle name="_Книга7_New Form10_2_CKBA_06_12_2 2" xfId="2263"/>
    <cellStyle name="_Книга7_New Form10_2_DCF_AME_26.11.07" xfId="2264"/>
    <cellStyle name="_Книга7_New Form10_2_DCF_AME_26.11.07 2" xfId="2265"/>
    <cellStyle name="_Книга7_New Form10_2_FinancialModel 14.11.07" xfId="2266"/>
    <cellStyle name="_Книга7_New Form10_2_FinancialModel 14.11.07 2" xfId="2267"/>
    <cellStyle name="_Книга7_New Form10_2_Lenta DCF Databook 2009" xfId="2268"/>
    <cellStyle name="_Книга7_New Form10_2_Lenta DCF Databook 2009 2" xfId="2269"/>
    <cellStyle name="_Книга7_New Form10_2_UralChim_WACC_1" xfId="2270"/>
    <cellStyle name="_Книга7_New Form10_2_UralChim_WACC_1 2" xfId="2271"/>
    <cellStyle name="_Книга7_New Form10_2_З_О 12" xfId="2272"/>
    <cellStyle name="_Книга7_New Form10_2_Предпосылки к стратегии" xfId="2273"/>
    <cellStyle name="_Книга7_New Form10_2_Слайды к презентации" xfId="2274"/>
    <cellStyle name="_Книга7_Nsi" xfId="2275"/>
    <cellStyle name="_Книга7_Nsi 2" xfId="2276"/>
    <cellStyle name="_Книга7_Nsi__Внесение мин удобрений (2010г)(6419172_к-628-09-2_108_628-ра_09_03_2010)" xfId="2277"/>
    <cellStyle name="_Книга7_Nsi__Внесение мин удобрений (2010г)(6419172_к-628-09-2_108_628-ра_09_03_2010) 2" xfId="2278"/>
    <cellStyle name="_Книга7_Nsi_1" xfId="2279"/>
    <cellStyle name="_Книга7_Nsi_1 2" xfId="2280"/>
    <cellStyle name="_Книга7_Nsi_1__Внесение мин удобрений (2010г)(6419172_к-628-09-2_108_628-ра_09_03_2010)" xfId="2281"/>
    <cellStyle name="_Книга7_Nsi_1__Внесение мин удобрений (2010г)(6419172_к-628-09-2_108_628-ра_09_03_2010) 2" xfId="2282"/>
    <cellStyle name="_Книга7_Nsi_1_CKBA_06_12_2" xfId="2283"/>
    <cellStyle name="_Книга7_Nsi_1_CKBA_06_12_2 2" xfId="2284"/>
    <cellStyle name="_Книга7_Nsi_1_DCF_AME_26.11.07" xfId="2285"/>
    <cellStyle name="_Книга7_Nsi_1_DCF_AME_26.11.07 2" xfId="2286"/>
    <cellStyle name="_Книга7_Nsi_1_FinancialModel 14.11.07" xfId="2287"/>
    <cellStyle name="_Книга7_Nsi_1_FinancialModel 14.11.07 2" xfId="2288"/>
    <cellStyle name="_Книга7_Nsi_1_Lenta DCF Databook 2009" xfId="2289"/>
    <cellStyle name="_Книга7_Nsi_1_Lenta DCF Databook 2009 2" xfId="2290"/>
    <cellStyle name="_Книга7_Nsi_1_UralChim_WACC_1" xfId="2291"/>
    <cellStyle name="_Книга7_Nsi_1_UralChim_WACC_1 2" xfId="2292"/>
    <cellStyle name="_Книга7_Nsi_1_З_О 12" xfId="2293"/>
    <cellStyle name="_Книга7_Nsi_1_Предпосылки к стратегии" xfId="2294"/>
    <cellStyle name="_Книга7_Nsi_1_Слайды к презентации" xfId="2295"/>
    <cellStyle name="_Книга7_Nsi_139" xfId="2296"/>
    <cellStyle name="_Книга7_Nsi_139 2" xfId="2297"/>
    <cellStyle name="_Книга7_Nsi_139__Внесение мин удобрений (2010г)(6419172_к-628-09-2_108_628-ра_09_03_2010)" xfId="2298"/>
    <cellStyle name="_Книга7_Nsi_139__Внесение мин удобрений (2010г)(6419172_к-628-09-2_108_628-ра_09_03_2010) 2" xfId="2299"/>
    <cellStyle name="_Книга7_Nsi_139_CKBA_06_12_2" xfId="2300"/>
    <cellStyle name="_Книга7_Nsi_139_CKBA_06_12_2 2" xfId="2301"/>
    <cellStyle name="_Книга7_Nsi_139_DCF_AME_26.11.07" xfId="2302"/>
    <cellStyle name="_Книга7_Nsi_139_DCF_AME_26.11.07 2" xfId="2303"/>
    <cellStyle name="_Книга7_Nsi_139_FinancialModel 14.11.07" xfId="2304"/>
    <cellStyle name="_Книга7_Nsi_139_FinancialModel 14.11.07 2" xfId="2305"/>
    <cellStyle name="_Книга7_Nsi_139_Lenta DCF Databook 2009" xfId="2306"/>
    <cellStyle name="_Книга7_Nsi_139_Lenta DCF Databook 2009 2" xfId="2307"/>
    <cellStyle name="_Книга7_Nsi_139_UralChim_WACC_1" xfId="2308"/>
    <cellStyle name="_Книга7_Nsi_139_UralChim_WACC_1 2" xfId="2309"/>
    <cellStyle name="_Книга7_Nsi_139_З_О 12" xfId="2310"/>
    <cellStyle name="_Книга7_Nsi_139_Предпосылки к стратегии" xfId="2311"/>
    <cellStyle name="_Книга7_Nsi_139_Слайды к презентации" xfId="2312"/>
    <cellStyle name="_Книга7_Nsi_140" xfId="2313"/>
    <cellStyle name="_Книга7_Nsi_140 2" xfId="2314"/>
    <cellStyle name="_Книга7_Nsi_140(Зах)" xfId="2315"/>
    <cellStyle name="_Книга7_Nsi_140(Зах) 2" xfId="2316"/>
    <cellStyle name="_Книга7_Nsi_140(Зах)__Внесение мин удобрений (2010г)(6419172_к-628-09-2_108_628-ра_09_03_2010)" xfId="2317"/>
    <cellStyle name="_Книга7_Nsi_140(Зах)__Внесение мин удобрений (2010г)(6419172_к-628-09-2_108_628-ра_09_03_2010) 2" xfId="2318"/>
    <cellStyle name="_Книга7_Nsi_140(Зах)_CKBA_06_12_2" xfId="2319"/>
    <cellStyle name="_Книга7_Nsi_140(Зах)_CKBA_06_12_2 2" xfId="2320"/>
    <cellStyle name="_Книга7_Nsi_140(Зах)_DCF_AME_26.11.07" xfId="2321"/>
    <cellStyle name="_Книга7_Nsi_140(Зах)_DCF_AME_26.11.07 2" xfId="2322"/>
    <cellStyle name="_Книга7_Nsi_140(Зах)_FinancialModel 14.11.07" xfId="2323"/>
    <cellStyle name="_Книга7_Nsi_140(Зах)_FinancialModel 14.11.07 2" xfId="2324"/>
    <cellStyle name="_Книга7_Nsi_140(Зах)_Lenta DCF Databook 2009" xfId="2325"/>
    <cellStyle name="_Книга7_Nsi_140(Зах)_Lenta DCF Databook 2009 2" xfId="2326"/>
    <cellStyle name="_Книга7_Nsi_140(Зах)_UralChim_WACC_1" xfId="2327"/>
    <cellStyle name="_Книга7_Nsi_140(Зах)_UralChim_WACC_1 2" xfId="2328"/>
    <cellStyle name="_Книга7_Nsi_140(Зах)_З_О 12" xfId="2329"/>
    <cellStyle name="_Книга7_Nsi_140(Зах)_Предпосылки к стратегии" xfId="2330"/>
    <cellStyle name="_Книга7_Nsi_140(Зах)_Слайды к презентации" xfId="2331"/>
    <cellStyle name="_Книга7_Nsi_140__Внесение мин удобрений (2010г)(6419172_к-628-09-2_108_628-ра_09_03_2010)" xfId="2332"/>
    <cellStyle name="_Книга7_Nsi_140__Внесение мин удобрений (2010г)(6419172_к-628-09-2_108_628-ра_09_03_2010) 2" xfId="2333"/>
    <cellStyle name="_Книга7_Nsi_140_CKBA_06_12_2" xfId="2334"/>
    <cellStyle name="_Книга7_Nsi_140_CKBA_06_12_2 2" xfId="2335"/>
    <cellStyle name="_Книга7_Nsi_140_DCF_AME_26.11.07" xfId="2336"/>
    <cellStyle name="_Книга7_Nsi_140_DCF_AME_26.11.07 2" xfId="2337"/>
    <cellStyle name="_Книга7_Nsi_140_FinancialModel 14.11.07" xfId="2338"/>
    <cellStyle name="_Книга7_Nsi_140_FinancialModel 14.11.07 2" xfId="2339"/>
    <cellStyle name="_Книга7_Nsi_140_Lenta DCF Databook 2009" xfId="2340"/>
    <cellStyle name="_Книга7_Nsi_140_Lenta DCF Databook 2009 2" xfId="2341"/>
    <cellStyle name="_Книга7_Nsi_140_mod" xfId="2342"/>
    <cellStyle name="_Книга7_Nsi_140_mod 2" xfId="2343"/>
    <cellStyle name="_Книга7_Nsi_140_mod__Внесение мин удобрений (2010г)(6419172_к-628-09-2_108_628-ра_09_03_2010)" xfId="2344"/>
    <cellStyle name="_Книга7_Nsi_140_mod__Внесение мин удобрений (2010г)(6419172_к-628-09-2_108_628-ра_09_03_2010) 2" xfId="2345"/>
    <cellStyle name="_Книга7_Nsi_140_mod_CKBA_06_12_2" xfId="2346"/>
    <cellStyle name="_Книга7_Nsi_140_mod_CKBA_06_12_2 2" xfId="2347"/>
    <cellStyle name="_Книга7_Nsi_140_mod_DCF_AME_26.11.07" xfId="2348"/>
    <cellStyle name="_Книга7_Nsi_140_mod_DCF_AME_26.11.07 2" xfId="2349"/>
    <cellStyle name="_Книга7_Nsi_140_mod_FinancialModel 14.11.07" xfId="2350"/>
    <cellStyle name="_Книга7_Nsi_140_mod_FinancialModel 14.11.07 2" xfId="2351"/>
    <cellStyle name="_Книга7_Nsi_140_mod_Lenta DCF Databook 2009" xfId="2352"/>
    <cellStyle name="_Книга7_Nsi_140_mod_Lenta DCF Databook 2009 2" xfId="2353"/>
    <cellStyle name="_Книга7_Nsi_140_mod_UralChim_WACC_1" xfId="2354"/>
    <cellStyle name="_Книга7_Nsi_140_mod_UralChim_WACC_1 2" xfId="2355"/>
    <cellStyle name="_Книга7_Nsi_140_mod_З_О 12" xfId="2356"/>
    <cellStyle name="_Книга7_Nsi_140_mod_Предпосылки к стратегии" xfId="2357"/>
    <cellStyle name="_Книга7_Nsi_140_mod_Слайды к презентации" xfId="2358"/>
    <cellStyle name="_Книга7_Nsi_140_UralChim_WACC_1" xfId="2359"/>
    <cellStyle name="_Книга7_Nsi_140_UralChim_WACC_1 2" xfId="2360"/>
    <cellStyle name="_Книга7_Nsi_140_З_О 12" xfId="2361"/>
    <cellStyle name="_Книга7_Nsi_140_Предпосылки к стратегии" xfId="2362"/>
    <cellStyle name="_Книга7_Nsi_140_Слайды к презентации" xfId="2363"/>
    <cellStyle name="_Книга7_Nsi_CKBA_06_12_2" xfId="2364"/>
    <cellStyle name="_Книга7_Nsi_CKBA_06_12_2 2" xfId="2365"/>
    <cellStyle name="_Книга7_Nsi_DCF_AME_26.11.07" xfId="2366"/>
    <cellStyle name="_Книга7_Nsi_DCF_AME_26.11.07 2" xfId="2367"/>
    <cellStyle name="_Книга7_Nsi_FinancialModel 14.11.07" xfId="2368"/>
    <cellStyle name="_Книга7_Nsi_FinancialModel 14.11.07 2" xfId="2369"/>
    <cellStyle name="_Книга7_Nsi_Lenta DCF Databook 2009" xfId="2370"/>
    <cellStyle name="_Книга7_Nsi_Lenta DCF Databook 2009 2" xfId="2371"/>
    <cellStyle name="_Книга7_Nsi_UralChim_WACC_1" xfId="2372"/>
    <cellStyle name="_Книга7_Nsi_UralChim_WACC_1 2" xfId="2373"/>
    <cellStyle name="_Книга7_Nsi_З_О 12" xfId="2374"/>
    <cellStyle name="_Книга7_Nsi_Предпосылки к стратегии" xfId="2375"/>
    <cellStyle name="_Книга7_Nsi_Слайды к презентации" xfId="2376"/>
    <cellStyle name="_Книга7_Summary" xfId="2377"/>
    <cellStyle name="_Книга7_Summary 2" xfId="2378"/>
    <cellStyle name="_Книга7_Summary__Внесение мин удобрений (2010г)(6419172_к-628-09-2_108_628-ра_09_03_2010)" xfId="2379"/>
    <cellStyle name="_Книга7_Summary__Внесение мин удобрений (2010г)(6419172_к-628-09-2_108_628-ра_09_03_2010) 2" xfId="2380"/>
    <cellStyle name="_Книга7_Summary_CKBA_06_12_2" xfId="2381"/>
    <cellStyle name="_Книга7_Summary_CKBA_06_12_2 2" xfId="2382"/>
    <cellStyle name="_Книга7_Summary_DCF_AME_26.11.07" xfId="2383"/>
    <cellStyle name="_Книга7_Summary_DCF_AME_26.11.07 2" xfId="2384"/>
    <cellStyle name="_Книга7_Summary_FinancialModel 14.11.07" xfId="2385"/>
    <cellStyle name="_Книга7_Summary_FinancialModel 14.11.07 2" xfId="2386"/>
    <cellStyle name="_Книга7_Summary_Lenta DCF Databook 2009" xfId="2387"/>
    <cellStyle name="_Книга7_Summary_Lenta DCF Databook 2009 2" xfId="2388"/>
    <cellStyle name="_Книга7_Summary_UralChim_WACC_1" xfId="2389"/>
    <cellStyle name="_Книга7_Summary_UralChim_WACC_1 2" xfId="2390"/>
    <cellStyle name="_Книга7_Summary_З_О 12" xfId="2391"/>
    <cellStyle name="_Книга7_Summary_Предпосылки к стратегии" xfId="2392"/>
    <cellStyle name="_Книга7_Summary_Слайды к презентации" xfId="2393"/>
    <cellStyle name="_Книга7_Tax_form_1кв_3" xfId="2394"/>
    <cellStyle name="_Книга7_Tax_form_1кв_3 2" xfId="2395"/>
    <cellStyle name="_Книга7_Tax_form_1кв_3__Внесение мин удобрений (2010г)(6419172_к-628-09-2_108_628-ра_09_03_2010)" xfId="2396"/>
    <cellStyle name="_Книга7_Tax_form_1кв_3__Внесение мин удобрений (2010г)(6419172_к-628-09-2_108_628-ра_09_03_2010) 2" xfId="2397"/>
    <cellStyle name="_Книга7_Tax_form_1кв_3_CKBA_06_12_2" xfId="2398"/>
    <cellStyle name="_Книга7_Tax_form_1кв_3_CKBA_06_12_2 2" xfId="2399"/>
    <cellStyle name="_Книга7_Tax_form_1кв_3_DCF_AME_26.11.07" xfId="2400"/>
    <cellStyle name="_Книга7_Tax_form_1кв_3_DCF_AME_26.11.07 2" xfId="2401"/>
    <cellStyle name="_Книга7_Tax_form_1кв_3_FinancialModel 14.11.07" xfId="2402"/>
    <cellStyle name="_Книга7_Tax_form_1кв_3_FinancialModel 14.11.07 2" xfId="2403"/>
    <cellStyle name="_Книга7_Tax_form_1кв_3_Lenta DCF Databook 2009" xfId="2404"/>
    <cellStyle name="_Книга7_Tax_form_1кв_3_Lenta DCF Databook 2009 2" xfId="2405"/>
    <cellStyle name="_Книга7_Tax_form_1кв_3_UralChim_WACC_1" xfId="2406"/>
    <cellStyle name="_Книга7_Tax_form_1кв_3_UralChim_WACC_1 2" xfId="2407"/>
    <cellStyle name="_Книга7_Tax_form_1кв_3_З_О 12" xfId="2408"/>
    <cellStyle name="_Книга7_Tax_form_1кв_3_Предпосылки к стратегии" xfId="2409"/>
    <cellStyle name="_Книга7_Tax_form_1кв_3_Слайды к презентации" xfId="2410"/>
    <cellStyle name="_Книга7_UralChim_WACC_1" xfId="2411"/>
    <cellStyle name="_Книга7_UralChim_WACC_1 2" xfId="2412"/>
    <cellStyle name="_Книга7_БКЭ" xfId="2413"/>
    <cellStyle name="_Книга7_БКЭ 2" xfId="2414"/>
    <cellStyle name="_Книга7_БКЭ__Внесение мин удобрений (2010г)(6419172_к-628-09-2_108_628-ра_09_03_2010)" xfId="2415"/>
    <cellStyle name="_Книга7_БКЭ__Внесение мин удобрений (2010г)(6419172_к-628-09-2_108_628-ра_09_03_2010) 2" xfId="2416"/>
    <cellStyle name="_Книга7_БКЭ_CKBA_06_12_2" xfId="2417"/>
    <cellStyle name="_Книга7_БКЭ_CKBA_06_12_2 2" xfId="2418"/>
    <cellStyle name="_Книга7_БКЭ_DCF_AME_26.11.07" xfId="2419"/>
    <cellStyle name="_Книга7_БКЭ_DCF_AME_26.11.07 2" xfId="2420"/>
    <cellStyle name="_Книга7_БКЭ_FinancialModel 14.11.07" xfId="2421"/>
    <cellStyle name="_Книга7_БКЭ_FinancialModel 14.11.07 2" xfId="2422"/>
    <cellStyle name="_Книга7_БКЭ_Lenta DCF Databook 2009" xfId="2423"/>
    <cellStyle name="_Книга7_БКЭ_Lenta DCF Databook 2009 2" xfId="2424"/>
    <cellStyle name="_Книга7_БКЭ_UralChim_WACC_1" xfId="2425"/>
    <cellStyle name="_Книга7_БКЭ_UralChim_WACC_1 2" xfId="2426"/>
    <cellStyle name="_Книга7_БКЭ_З_О 12" xfId="2427"/>
    <cellStyle name="_Книга7_БКЭ_Предпосылки к стратегии" xfId="2428"/>
    <cellStyle name="_Книга7_БКЭ_Слайды к презентации" xfId="2429"/>
    <cellStyle name="_Книга7_З_О 12" xfId="2430"/>
    <cellStyle name="_Книга7_Перечень названий форм" xfId="2431"/>
    <cellStyle name="_Книга7_Предпосылки к стратегии" xfId="2432"/>
    <cellStyle name="_Книга7_Слайды к презентации" xfId="2433"/>
    <cellStyle name="_Коммерческие расходы УППиПС на 4 кв 06 логистика" xfId="2434"/>
    <cellStyle name="_Коммерческие расходы УППиПС на 4 кв 06 логистика 2" xfId="2435"/>
    <cellStyle name="_Комплекс СП" xfId="2436"/>
    <cellStyle name="_Константы 01.04.06_1" xfId="2437"/>
    <cellStyle name="_Копия CF декабрь" xfId="2438"/>
    <cellStyle name="_Копия CF декабрь 2" xfId="2439"/>
    <cellStyle name="_Копия DCF_Svyaz_Final" xfId="2440"/>
    <cellStyle name="_Копия DCF_ДСК-3_акции_01.01.2005" xfId="2441"/>
    <cellStyle name="_Копия динамика ст-ти материалов на компл-т ЭКГ-10 2005-2007" xfId="2442"/>
    <cellStyle name="_Копия динамика ст-ти материалов на компл-т ЭКГ-10 2005-2007 2" xfId="2443"/>
    <cellStyle name="_Копия Приложение - Кредитование в сравнении с бюджетом по сырью(4662596_974-СЛ_ГР_27_02_2009)" xfId="2444"/>
    <cellStyle name="_Копия Расчет_фабрика 8 марта_итог" xfId="2445"/>
    <cellStyle name="_Копия расчеты" xfId="2446"/>
    <cellStyle name="_Копия Формат для рассчетов от 14.11.09 изменен на продажи" xfId="2447"/>
    <cellStyle name="_Копия Формат для рассчетов от 14.11.09 изменен на продажи 2" xfId="2448"/>
    <cellStyle name="_Кочетковъ_БДР_БДДС_2008" xfId="2449"/>
    <cellStyle name="_Кочетковъ_БДР_БДДС_2008 2" xfId="2450"/>
    <cellStyle name="_Краснодар_Самара" xfId="2451"/>
    <cellStyle name="_Кредиторы_Налоги_Гусиноозерская" xfId="2452"/>
    <cellStyle name="_Кредиторы_Налоги_Гусиноозерская 2" xfId="2453"/>
    <cellStyle name="_Ликвидационная ст-ть для оборудования" xfId="2454"/>
    <cellStyle name="_Лист в ТЭЦ март 04г" xfId="2455"/>
    <cellStyle name="_Лист по Non organic (2)" xfId="2456"/>
    <cellStyle name="_Лист1" xfId="2457"/>
    <cellStyle name="_Лист1_ИСХ_ПАРАМ_КЧХК" xfId="2458"/>
    <cellStyle name="_Лист1_модели" xfId="2459"/>
    <cellStyle name="_Лист1_модельИрина" xfId="2460"/>
    <cellStyle name="_Лист1_модельИрина_Книга2" xfId="2461"/>
    <cellStyle name="_Лист1_Оборудование" xfId="2462"/>
    <cellStyle name="_Лист1_Расчет грузопод. обор." xfId="2463"/>
    <cellStyle name="_Лист1_Расчет котлы паровые, водогр,теплообменники" xfId="2464"/>
    <cellStyle name="_Лист1_Расчет сварочное оборуд" xfId="2465"/>
    <cellStyle name="_Лист1_Расчет станки (version 1)" xfId="2466"/>
    <cellStyle name="_Лист2" xfId="2467"/>
    <cellStyle name="_Лист3" xfId="2468"/>
    <cellStyle name="_листы из модели" xfId="2469"/>
    <cellStyle name="_листы из модели 2" xfId="2470"/>
    <cellStyle name="_ЛНГС - формы для доходного подхода190404-00" xfId="2471"/>
    <cellStyle name="_ЛНГС - формы для доходного подхода190404-00 2" xfId="2472"/>
    <cellStyle name="_ЛНГС - формы для доходного подхода190404-00 3" xfId="2473"/>
    <cellStyle name="_ЛНГС - формы для доходного подхода190404-00 4" xfId="2474"/>
    <cellStyle name="_ЛНГС - формы для доходного подхода190404-00 5" xfId="2475"/>
    <cellStyle name="_ЛНГС - формы для доходного подхода190404-00_ИСХ_ПАРАМ_Галоген" xfId="2476"/>
    <cellStyle name="_ЛНГС - формы для доходного подхода190404-00_Книга2" xfId="2477"/>
    <cellStyle name="_ЛНГС - формы для доходного подхода190404-00_модельИрина" xfId="2478"/>
    <cellStyle name="_ЛНГС - формы для доходного подхода190404-00_модельИрина_Книга2" xfId="2479"/>
    <cellStyle name="_ЛНГС - формы для доходного подхода190404-00_Оборудование" xfId="2480"/>
    <cellStyle name="_ЛНГС - формы для доходного подхода190404-00_Расчет" xfId="2481"/>
    <cellStyle name="_ЛНГС - формы для доходного подхода190404-00_Расчет_Gabler" xfId="2482"/>
    <cellStyle name="_ЛНГС - формы для доходного подхода190404-00_Расчет_Gabler1" xfId="2483"/>
    <cellStyle name="_ЛНГС - формы для доходного подхода190404-00_Сооружения" xfId="2484"/>
    <cellStyle name="_ЛНГС_ ДП-WACC-УРпроцент-финал" xfId="2485"/>
    <cellStyle name="_ЛНГС_ ДП-финал" xfId="2486"/>
    <cellStyle name="_Љ ав  дЁ­ ­б®ўле Ї®Є § вҐ«Ґ©" xfId="2487"/>
    <cellStyle name="_Љ ав  дЁ­ ­б®ўле Ї®Є § вҐ«Ґ© 2" xfId="2488"/>
    <cellStyle name="_Маркет 1.2" xfId="2489"/>
    <cellStyle name="_МиО_расчет_2" xfId="2490"/>
    <cellStyle name="_михаил" xfId="2491"/>
    <cellStyle name="_михаил 2" xfId="2492"/>
    <cellStyle name="_Модель - 2(23)" xfId="2493"/>
    <cellStyle name="_Модель АлСА " xfId="2494"/>
    <cellStyle name="_Модель АМЭ 2007_с инв(4500) OG 04.12.07 v6" xfId="2495"/>
    <cellStyle name="_Модель АМЭ 2007_с инв(4500) OG 04.12.07 v6 2" xfId="2496"/>
    <cellStyle name="_Модель развития 220506 (реал добав)1 (version 1)" xfId="2497"/>
    <cellStyle name="_Модель, Ванино3" xfId="2498"/>
    <cellStyle name="_МЧА" xfId="2499"/>
    <cellStyle name="_МЧА_ZARUBEZSTROY_01.10.2005" xfId="2500"/>
    <cellStyle name="_МЧА_Осетровский ЛДК_01.03.2007" xfId="2501"/>
    <cellStyle name="_на 01.01.2005_доходный_ОАО НУТРИНВЕСТХОЛДИНГ_14.05.2005_14-31" xfId="2502"/>
    <cellStyle name="_на 01.01.2005_доходный_ОАО НУТРИНВЕСТХОЛДИНГ_14.05.2005_14-31 2" xfId="2503"/>
    <cellStyle name="_на 01.01.2005_доходный_ОАО НУТРИНВЕСТХОЛДИНГ_14.05.2005_14-31 3" xfId="2504"/>
    <cellStyle name="_на 01.01.2005_доходный_ОАО НУТРИНВЕСТХОЛДИНГ_14.05.2005_14-31 4" xfId="2505"/>
    <cellStyle name="_на 01.01.2005_доходный_ОАО НУТРИНВЕСТХОЛДИНГ_14.05.2005_14-31 5" xfId="2506"/>
    <cellStyle name="_на 01.01.2005_доходный_ОАО НУТРИНВЕСТХОЛДИНГ_14.05.2005_14-31_ИСХ_ПАРАМ_Галоген" xfId="2507"/>
    <cellStyle name="_на 01.01.2005_доходный_ОАО НУТРИНВЕСТХОЛДИНГ_14.05.2005_14-31_Книга2" xfId="2508"/>
    <cellStyle name="_на 01.01.2005_доходный_ОАО НУТРИНВЕСТХОЛДИНГ_14.05.2005_14-31_модельИрина" xfId="2509"/>
    <cellStyle name="_на 01.01.2005_доходный_ОАО НУТРИНВЕСТХОЛДИНГ_14.05.2005_14-31_модельИрина_Книга2" xfId="2510"/>
    <cellStyle name="_на 01.01.2005_доходный_ОАО НУТРИНВЕСТХОЛДИНГ_14.05.2005_14-31_Оборудование" xfId="2511"/>
    <cellStyle name="_на 01.01.2005_доходный_ОАО НУТРИНВЕСТХОЛДИНГ_14.05.2005_14-31_Расчет" xfId="2512"/>
    <cellStyle name="_на 01.01.2005_доходный_ОАО НУТРИНВЕСТХОЛДИНГ_14.05.2005_14-31_Расчет_Gabler" xfId="2513"/>
    <cellStyle name="_на 01.01.2005_доходный_ОАО НУТРИНВЕСТХОЛДИНГ_14.05.2005_14-31_Расчет_Gabler1" xfId="2514"/>
    <cellStyle name="_на 01.01.2005_доходный_ОАО НУТРИНВЕСТХОЛДИНГ_14.05.2005_14-31_Сооружения" xfId="2515"/>
    <cellStyle name="_на 01.04.2005_3 подхода - ЗАО РМГ_ 08.07.2005 г._08-35" xfId="2516"/>
    <cellStyle name="_на 01.04.2005_3 подхода - ЗАО РМГ_ 08.07.2005 г._08-35 2" xfId="2517"/>
    <cellStyle name="_на 01.04.2005_3 подхода - ЗАО РМГ_ 08.07.2005 г._08-35 3" xfId="2518"/>
    <cellStyle name="_на 01.04.2005_3 подхода - ЗАО РМГ_ 08.07.2005 г._08-35 4" xfId="2519"/>
    <cellStyle name="_на 01.04.2005_3 подхода - ЗАО РМГ_ 08.07.2005 г._08-35 5" xfId="2520"/>
    <cellStyle name="_на 01.04.2005_3 подхода - ЗАО РМГ_ 08.07.2005 г._08-35_ИСХ_ПАРАМ_Галоген" xfId="2521"/>
    <cellStyle name="_на 01.04.2005_3 подхода - ЗАО РМГ_ 08.07.2005 г._08-35_Книга2" xfId="2522"/>
    <cellStyle name="_на 01.04.2005_3 подхода - ЗАО РМГ_ 08.07.2005 г._08-35_модельИрина" xfId="2523"/>
    <cellStyle name="_на 01.04.2005_3 подхода - ЗАО РМГ_ 08.07.2005 г._08-35_модельИрина_Книга2" xfId="2524"/>
    <cellStyle name="_на 01.04.2005_3 подхода - ЗАО РМГ_ 08.07.2005 г._08-35_Оборудование" xfId="2525"/>
    <cellStyle name="_на 01.04.2005_3 подхода - ЗАО РМГ_ 08.07.2005 г._08-35_Расчет" xfId="2526"/>
    <cellStyle name="_на 01.04.2005_3 подхода - ЗАО РМГ_ 08.07.2005 г._08-35_Расчет_Gabler" xfId="2527"/>
    <cellStyle name="_на 01.04.2005_3 подхода - ЗАО РМГ_ 08.07.2005 г._08-35_Расчет_Gabler1" xfId="2528"/>
    <cellStyle name="_на 01.04.2005_3 подхода - ЗАО РМГ_ 08.07.2005 г._08-35_Сооружения" xfId="2529"/>
    <cellStyle name="_на 01.04.2005_3 подхода - ЗАО РМГ_ 11.07.2005 г._08-07" xfId="2530"/>
    <cellStyle name="_на 01.04.2005_3 подхода - ЗАО РМГ_ 11.07.2005 г._08-07 2" xfId="2531"/>
    <cellStyle name="_на 01.04.2005_3 подхода - ЗАО РМГ_ 11.07.2005 г._08-07 3" xfId="2532"/>
    <cellStyle name="_на 01.04.2005_3 подхода - ЗАО РМГ_ 11.07.2005 г._08-07 4" xfId="2533"/>
    <cellStyle name="_на 01.04.2005_3 подхода - ЗАО РМГ_ 11.07.2005 г._08-07 5" xfId="2534"/>
    <cellStyle name="_на 01.04.2005_3 подхода - ЗАО РМГ_ 11.07.2005 г._08-07_ИСХ_ПАРАМ_Галоген" xfId="2535"/>
    <cellStyle name="_на 01.04.2005_3 подхода - ЗАО РМГ_ 11.07.2005 г._08-07_Книга2" xfId="2536"/>
    <cellStyle name="_на 01.04.2005_3 подхода - ЗАО РМГ_ 11.07.2005 г._08-07_модельИрина" xfId="2537"/>
    <cellStyle name="_на 01.04.2005_3 подхода - ЗАО РМГ_ 11.07.2005 г._08-07_модельИрина_Книга2" xfId="2538"/>
    <cellStyle name="_на 01.04.2005_3 подхода - ЗАО РМГ_ 11.07.2005 г._08-07_Оборудование" xfId="2539"/>
    <cellStyle name="_на 01.04.2005_3 подхода - ЗАО РМГ_ 11.07.2005 г._08-07_Расчет" xfId="2540"/>
    <cellStyle name="_на 01.04.2005_3 подхода - ЗАО РМГ_ 11.07.2005 г._08-07_Расчет_Gabler" xfId="2541"/>
    <cellStyle name="_на 01.04.2005_3 подхода - ЗАО РМГ_ 11.07.2005 г._08-07_Расчет_Gabler1" xfId="2542"/>
    <cellStyle name="_на 01.04.2005_3 подхода - ЗАО РМГ_ 11.07.2005 г._08-07_Сооружения" xfId="2543"/>
    <cellStyle name="_на 01.07.2004_доходный подход_Голубая горка_06.05.2005_00-17" xfId="2544"/>
    <cellStyle name="_на 01.07.2004_доходный подход_Голубая горка_06.05.2005_00-17 2" xfId="2545"/>
    <cellStyle name="_на 01.07.2004_доходный подход_Голубая горка_06.05.2005_00-17 3" xfId="2546"/>
    <cellStyle name="_на 01.07.2004_доходный подход_Голубая горка_06.05.2005_00-17 4" xfId="2547"/>
    <cellStyle name="_на 01.07.2004_доходный подход_Голубая горка_06.05.2005_00-17 5" xfId="2548"/>
    <cellStyle name="_на 01.07.2004_доходный подход_Голубая горка_06.05.2005_00-17_ИСХ_ПАРАМ_Галоген" xfId="2549"/>
    <cellStyle name="_на 01.07.2004_доходный подход_Голубая горка_06.05.2005_00-17_Книга2" xfId="2550"/>
    <cellStyle name="_на 01.07.2004_доходный подход_Голубая горка_06.05.2005_00-17_модельИрина" xfId="2551"/>
    <cellStyle name="_на 01.07.2004_доходный подход_Голубая горка_06.05.2005_00-17_модельИрина_Книга2" xfId="2552"/>
    <cellStyle name="_на 01.07.2004_доходный подход_Голубая горка_06.05.2005_00-17_Оборудование" xfId="2553"/>
    <cellStyle name="_на 01.07.2004_доходный подход_Голубая горка_06.05.2005_00-17_Расчет" xfId="2554"/>
    <cellStyle name="_на 01.07.2004_доходный подход_Голубая горка_06.05.2005_00-17_Расчет_Gabler" xfId="2555"/>
    <cellStyle name="_на 01.07.2004_доходный подход_Голубая горка_06.05.2005_00-17_Расчет_Gabler1" xfId="2556"/>
    <cellStyle name="_на 01.07.2004_доходный подход_Голубая горка_06.05.2005_00-17_Сооружения" xfId="2557"/>
    <cellStyle name="_на 14.05.2005 ОАО НУТРИНВЕСТХОЛДИНГ - СП" xfId="2558"/>
    <cellStyle name="_на 14.05.2005 ОАО НУТРИНВЕСТХОЛДИНГ - СП 2" xfId="2559"/>
    <cellStyle name="_на 14.05.2005 ОАО НУТРИНВЕСТХОЛДИНГ - СП 3" xfId="2560"/>
    <cellStyle name="_на 14.05.2005 ОАО НУТРИНВЕСТХОЛДИНГ - СП 4" xfId="2561"/>
    <cellStyle name="_на 14.05.2005 ОАО НУТРИНВЕСТХОЛДИНГ - СП 5" xfId="2562"/>
    <cellStyle name="_на 14.05.2005 ОАО НУТРИНВЕСТХОЛДИНГ - СП_ИСХ_ПАРАМ_Галоген" xfId="2563"/>
    <cellStyle name="_на 14.05.2005 ОАО НУТРИНВЕСТХОЛДИНГ - СП_Книга2" xfId="2564"/>
    <cellStyle name="_на 14.05.2005 ОАО НУТРИНВЕСТХОЛДИНГ - СП_модельИрина" xfId="2565"/>
    <cellStyle name="_на 14.05.2005 ОАО НУТРИНВЕСТХОЛДИНГ - СП_модельИрина_Книга2" xfId="2566"/>
    <cellStyle name="_на 14.05.2005 ОАО НУТРИНВЕСТХОЛДИНГ - СП_Оборудование" xfId="2567"/>
    <cellStyle name="_на 14.05.2005 ОАО НУТРИНВЕСТХОЛДИНГ - СП_Расчет" xfId="2568"/>
    <cellStyle name="_на 14.05.2005 ОАО НУТРИНВЕСТХОЛДИНГ - СП_Расчет_Gabler" xfId="2569"/>
    <cellStyle name="_на 14.05.2005 ОАО НУТРИНВЕСТХОЛДИНГ - СП_Расчет_Gabler1" xfId="2570"/>
    <cellStyle name="_на 14.05.2005 ОАО НУТРИНВЕСТХОЛДИНГ - СП_Сооружения" xfId="2571"/>
    <cellStyle name="_На отправку 2 Generation ОАО Сулакэнерго ОГК9 на 01.10.04" xfId="2572"/>
    <cellStyle name="_Налоги" xfId="2573"/>
    <cellStyle name="_НГД собст." xfId="2574"/>
    <cellStyle name="_НЗП на 2003г." xfId="2575"/>
    <cellStyle name="_НЗП по заказам на 30 09 05 и на 30 10 vn v1-Вахур final" xfId="2576"/>
    <cellStyle name="_НПО Сатурн_ЕБО" xfId="2577"/>
    <cellStyle name="_НПО Сатурн_ЕБО 2" xfId="2578"/>
    <cellStyle name="_НПО Сатурн_ЕБО 3" xfId="2579"/>
    <cellStyle name="_НПО Сатурн_ЕБО 4" xfId="2580"/>
    <cellStyle name="_НПО Сатурн_ЕБО 5" xfId="2581"/>
    <cellStyle name="_НПО Сатурн_ЕБО_ИСХ_ПАРАМ_Галоген" xfId="2582"/>
    <cellStyle name="_НПО Сатурн_ЕБО_Книга2" xfId="2583"/>
    <cellStyle name="_НПО Сатурн_ЕБО_модельИрина" xfId="2584"/>
    <cellStyle name="_НПО Сатурн_ЕБО_модельИрина_Книга2" xfId="2585"/>
    <cellStyle name="_НПО Сатурн_ЕБО_Оборудование" xfId="2586"/>
    <cellStyle name="_НПО Сатурн_ЕБО_Расчет" xfId="2587"/>
    <cellStyle name="_НПО Сатурн_ЕБО_Расчет_Gabler" xfId="2588"/>
    <cellStyle name="_НПО Сатурн_ЕБО_Расчет_Gabler1" xfId="2589"/>
    <cellStyle name="_НПО Сатурн_ЕБО_Сооружения" xfId="2590"/>
    <cellStyle name="_Ну теперь уже скинула" xfId="2591"/>
    <cellStyle name="_Ну теперь уже скинула 2" xfId="2592"/>
    <cellStyle name="_Ну теперь уже скинула 3" xfId="2593"/>
    <cellStyle name="_Ну теперь уже скинула 4" xfId="2594"/>
    <cellStyle name="_Ну теперь уже скинула 5" xfId="2595"/>
    <cellStyle name="_Ну теперь уже скинула_ИСХ_ПАРАМ_Галоген" xfId="2596"/>
    <cellStyle name="_Ну теперь уже скинула_Книга2" xfId="2597"/>
    <cellStyle name="_Ну теперь уже скинула_модельИрина" xfId="2598"/>
    <cellStyle name="_Ну теперь уже скинула_модельИрина_Книга2" xfId="2599"/>
    <cellStyle name="_Ну теперь уже скинула_Оборудование" xfId="2600"/>
    <cellStyle name="_Ну теперь уже скинула_Расчет" xfId="2601"/>
    <cellStyle name="_Ну теперь уже скинула_Расчет_Gabler" xfId="2602"/>
    <cellStyle name="_Ну теперь уже скинула_Расчет_Gabler1" xfId="2603"/>
    <cellStyle name="_Ну теперь уже скинула_Сооружения" xfId="2604"/>
    <cellStyle name="_ОАО ЗСМК на 01.02.2005___22.02.2005_10-17" xfId="2605"/>
    <cellStyle name="_ОАО ЗСМК на 01.02.2005___22.02.2005_10-17 2" xfId="2606"/>
    <cellStyle name="_ОАО ЗСМК на 01.02.2005___22.02.2005_10-17 3" xfId="2607"/>
    <cellStyle name="_ОАО ЗСМК на 01.02.2005___22.02.2005_10-17 4" xfId="2608"/>
    <cellStyle name="_ОАО ЗСМК на 01.02.2005___22.02.2005_10-17 5" xfId="2609"/>
    <cellStyle name="_ОАО ЗСМК на 01.02.2005___22.02.2005_10-17_ИСХ_ПАРАМ_Галоген" xfId="2610"/>
    <cellStyle name="_ОАО ЗСМК на 01.02.2005___22.02.2005_10-17_Книга2" xfId="2611"/>
    <cellStyle name="_ОАО ЗСМК на 01.02.2005___22.02.2005_10-17_модельИрина" xfId="2612"/>
    <cellStyle name="_ОАО ЗСМК на 01.02.2005___22.02.2005_10-17_модельИрина_Книга2" xfId="2613"/>
    <cellStyle name="_ОАО ЗСМК на 01.02.2005___22.02.2005_10-17_Оборудование" xfId="2614"/>
    <cellStyle name="_ОАО ЗСМК на 01.02.2005___22.02.2005_10-17_Расчет" xfId="2615"/>
    <cellStyle name="_ОАО ЗСМК на 01.02.2005___22.02.2005_10-17_Расчет_Gabler" xfId="2616"/>
    <cellStyle name="_ОАО ЗСМК на 01.02.2005___22.02.2005_10-17_Расчет_Gabler1" xfId="2617"/>
    <cellStyle name="_ОАО ЗСМК на 01.02.2005___22.02.2005_10-17_Сооружения" xfId="2618"/>
    <cellStyle name="_ОАО НМТП" xfId="2619"/>
    <cellStyle name="_ОАО НМТП 2" xfId="2620"/>
    <cellStyle name="_ОАО НМТП 3" xfId="2621"/>
    <cellStyle name="_ОАО НМТП 4" xfId="2622"/>
    <cellStyle name="_ОАО НМТП 5" xfId="2623"/>
    <cellStyle name="_ОАО НМТП_ИСХ_ПАРАМ_Галоген" xfId="2624"/>
    <cellStyle name="_ОАО НМТП_Книга2" xfId="2625"/>
    <cellStyle name="_ОАО НМТП_модельИрина" xfId="2626"/>
    <cellStyle name="_ОАО НМТП_модельИрина_Книга2" xfId="2627"/>
    <cellStyle name="_ОАО НМТП_Оборудование" xfId="2628"/>
    <cellStyle name="_ОАО НМТП_Расчет" xfId="2629"/>
    <cellStyle name="_ОАО НМТП_Расчет_Gabler" xfId="2630"/>
    <cellStyle name="_ОАО НМТП_Расчет_Gabler1" xfId="2631"/>
    <cellStyle name="_ОАО НМТП_Сооружения" xfId="2632"/>
    <cellStyle name="_ОАО Новошип на 29.03.2005___04.04.2005_16-05_на проверку" xfId="2633"/>
    <cellStyle name="_ОАО Новошип на 29.03.2005___04.04.2005_16-05_на проверку 2" xfId="2634"/>
    <cellStyle name="_ОАО Новошип на 29.03.2005___04.04.2005_16-05_на проверку 3" xfId="2635"/>
    <cellStyle name="_ОАО Новошип на 29.03.2005___04.04.2005_16-05_на проверку 4" xfId="2636"/>
    <cellStyle name="_ОАО Новошип на 29.03.2005___04.04.2005_16-05_на проверку 5" xfId="2637"/>
    <cellStyle name="_ОАО Новошип на 29.03.2005___04.04.2005_16-05_на проверку_ИСХ_ПАРАМ_Галоген" xfId="2638"/>
    <cellStyle name="_ОАО Новошип на 29.03.2005___04.04.2005_16-05_на проверку_Книга2" xfId="2639"/>
    <cellStyle name="_ОАО Новошип на 29.03.2005___04.04.2005_16-05_на проверку_модельИрина" xfId="2640"/>
    <cellStyle name="_ОАО Новошип на 29.03.2005___04.04.2005_16-05_на проверку_модельИрина_Книга2" xfId="2641"/>
    <cellStyle name="_ОАО Новошип на 29.03.2005___04.04.2005_16-05_на проверку_Оборудование" xfId="2642"/>
    <cellStyle name="_ОАО Новошип на 29.03.2005___04.04.2005_16-05_на проверку_Расчет" xfId="2643"/>
    <cellStyle name="_ОАО Новошип на 29.03.2005___04.04.2005_16-05_на проверку_Расчет_Gabler" xfId="2644"/>
    <cellStyle name="_ОАО Новошип на 29.03.2005___04.04.2005_16-05_на проверку_Расчет_Gabler1" xfId="2645"/>
    <cellStyle name="_ОАО Новошип на 29.03.2005___04.04.2005_16-05_на проверку_Сооружения" xfId="2646"/>
    <cellStyle name="_ОАО Новошип на 29.03.2005___04.04.2005_16-37" xfId="2647"/>
    <cellStyle name="_ОАО Новошип на 29.03.2005___04.04.2005_16-37 2" xfId="2648"/>
    <cellStyle name="_ОАО Новошип на 29.03.2005___04.04.2005_16-37 3" xfId="2649"/>
    <cellStyle name="_ОАО Новошип на 29.03.2005___04.04.2005_16-37 4" xfId="2650"/>
    <cellStyle name="_ОАО Новошип на 29.03.2005___04.04.2005_16-37 5" xfId="2651"/>
    <cellStyle name="_ОАО Новошип на 29.03.2005___04.04.2005_16-37_ИСХ_ПАРАМ_Галоген" xfId="2652"/>
    <cellStyle name="_ОАО Новошип на 29.03.2005___04.04.2005_16-37_Книга2" xfId="2653"/>
    <cellStyle name="_ОАО Новошип на 29.03.2005___04.04.2005_16-37_модельИрина" xfId="2654"/>
    <cellStyle name="_ОАО Новошип на 29.03.2005___04.04.2005_16-37_модельИрина_Книга2" xfId="2655"/>
    <cellStyle name="_ОАО Новошип на 29.03.2005___04.04.2005_16-37_Оборудование" xfId="2656"/>
    <cellStyle name="_ОАО Новошип на 29.03.2005___04.04.2005_16-37_Расчет" xfId="2657"/>
    <cellStyle name="_ОАО Новошип на 29.03.2005___04.04.2005_16-37_Расчет_Gabler" xfId="2658"/>
    <cellStyle name="_ОАО Новошип на 29.03.2005___04.04.2005_16-37_Расчет_Gabler1" xfId="2659"/>
    <cellStyle name="_ОАО Новошип на 29.03.2005___04.04.2005_16-37_Сооружения" xfId="2660"/>
    <cellStyle name="_ОАО Сигнал" xfId="2661"/>
    <cellStyle name="_ОАО Сигнал 2" xfId="2662"/>
    <cellStyle name="_ОАО Сигнал 3" xfId="2663"/>
    <cellStyle name="_ОАО Сигнал 4" xfId="2664"/>
    <cellStyle name="_ОАО Сигнал 5" xfId="2665"/>
    <cellStyle name="_ОАО Сигнал_ИСХ_ПАРАМ_Галоген" xfId="2666"/>
    <cellStyle name="_ОАО Сигнал_Книга2" xfId="2667"/>
    <cellStyle name="_ОАО Сигнал_модельИрина" xfId="2668"/>
    <cellStyle name="_ОАО Сигнал_модельИрина_Книга2" xfId="2669"/>
    <cellStyle name="_ОАО Сигнал_Оборудование" xfId="2670"/>
    <cellStyle name="_ОАО Сигнал_Расчет" xfId="2671"/>
    <cellStyle name="_ОАО Сигнал_Расчет_Gabler" xfId="2672"/>
    <cellStyle name="_ОАО Сигнал_Расчет_Gabler1" xfId="2673"/>
    <cellStyle name="_ОАО Сигнал_Сооружения" xfId="2674"/>
    <cellStyle name="_ОАО СУАЛ на 17.09.2004___02.11.2004__пересчет беты" xfId="2675"/>
    <cellStyle name="_ОАО СУАЛ на 17.09.2004___02.11.2004__пересчет беты 2" xfId="2676"/>
    <cellStyle name="_ОАО СУАЛ на 17.09.2004___02.11.2004__пересчет беты 3" xfId="2677"/>
    <cellStyle name="_ОАО СУАЛ на 17.09.2004___02.11.2004__пересчет беты 4" xfId="2678"/>
    <cellStyle name="_ОАО СУАЛ на 17.09.2004___02.11.2004__пересчет беты 5" xfId="2679"/>
    <cellStyle name="_ОАО СУАЛ на 17.09.2004___02.11.2004__пересчет беты_ИСХ_ПАРАМ_Галоген" xfId="2680"/>
    <cellStyle name="_ОАО СУАЛ на 17.09.2004___02.11.2004__пересчет беты_Книга2" xfId="2681"/>
    <cellStyle name="_ОАО СУАЛ на 17.09.2004___02.11.2004__пересчет беты_модельИрина" xfId="2682"/>
    <cellStyle name="_ОАО СУАЛ на 17.09.2004___02.11.2004__пересчет беты_модельИрина_Книга2" xfId="2683"/>
    <cellStyle name="_ОАО СУАЛ на 17.09.2004___02.11.2004__пересчет беты_Оборудование" xfId="2684"/>
    <cellStyle name="_ОАО СУАЛ на 17.09.2004___02.11.2004__пересчет беты_Расчет" xfId="2685"/>
    <cellStyle name="_ОАО СУАЛ на 17.09.2004___02.11.2004__пересчет беты_Расчет_Gabler" xfId="2686"/>
    <cellStyle name="_ОАО СУАЛ на 17.09.2004___02.11.2004__пересчет беты_Расчет_Gabler1" xfId="2687"/>
    <cellStyle name="_ОАО СУАЛ на 17.09.2004___02.11.2004__пересчет беты_Сооружения" xfId="2688"/>
    <cellStyle name="_ОАО Уралэлектромедь" xfId="2689"/>
    <cellStyle name="_ОАО Уралэлектромедь 2" xfId="2690"/>
    <cellStyle name="_ОАО Уралэлектромедь 3" xfId="2691"/>
    <cellStyle name="_ОАО Уралэлектромедь 4" xfId="2692"/>
    <cellStyle name="_ОАО Уралэлектромедь 5" xfId="2693"/>
    <cellStyle name="_ОАО Уралэлектромедь_ИСХ_ПАРАМ_Галоген" xfId="2694"/>
    <cellStyle name="_ОАО Уралэлектромедь_Книга2" xfId="2695"/>
    <cellStyle name="_ОАО Уралэлектромедь_модельИрина" xfId="2696"/>
    <cellStyle name="_ОАО Уралэлектромедь_модельИрина_Книга2" xfId="2697"/>
    <cellStyle name="_ОАО Уралэлектромедь_Оборудование" xfId="2698"/>
    <cellStyle name="_ОАО Уралэлектромедь_Расчет" xfId="2699"/>
    <cellStyle name="_ОАО Уралэлектромедь_Расчет_Gabler" xfId="2700"/>
    <cellStyle name="_ОАО Уралэлектромедь_Расчет_Gabler1" xfId="2701"/>
    <cellStyle name="_ОАО Уралэлектромедь_Сооружения" xfId="2702"/>
    <cellStyle name="_оборудование1" xfId="2703"/>
    <cellStyle name="_Обслуживание гидроключей" xfId="2704"/>
    <cellStyle name="_Обслуживание гидроключей_АХС Бизнес план 2006 собств.техн." xfId="2705"/>
    <cellStyle name="_Обслуживание гидроключей_Бизнес-план 2006 Интегра КРС Нягань (Имущество)" xfId="2706"/>
    <cellStyle name="_Обслуживание гидроключей_Ванюгин общ.вопросы" xfId="2707"/>
    <cellStyle name="_Обслуживание гидроключей_ОТ и ПБ Бизнес план. 2006 г собств.техн." xfId="2708"/>
    <cellStyle name="_Обслуживание гидроключей_ПП прогноз" xfId="2709"/>
    <cellStyle name="_Обслуживание гидроключей_расшифровка ГСМ к БП 2006" xfId="2710"/>
    <cellStyle name="_Общий" xfId="2711"/>
    <cellStyle name="_Общий ОС1 (version 3)" xfId="2712"/>
    <cellStyle name="_Общий_ИСХ_ПАРАМ_КЧХК" xfId="2713"/>
    <cellStyle name="_Общий_модели" xfId="2714"/>
    <cellStyle name="_Общий_модельИрина" xfId="2715"/>
    <cellStyle name="_Общий_модельИрина_Книга2" xfId="2716"/>
    <cellStyle name="_Общий_Оборудование" xfId="2717"/>
    <cellStyle name="_Общий_Расчет грузопод. обор." xfId="2718"/>
    <cellStyle name="_Общий_Расчет котлы паровые, водогр,теплообменники" xfId="2719"/>
    <cellStyle name="_Общий_Расчет сварочное оборуд" xfId="2720"/>
    <cellStyle name="_Общий_Расчет станки (version 1)" xfId="2721"/>
    <cellStyle name="_ОГЭ б_п -2006 13-11-05" xfId="2722"/>
    <cellStyle name="_ОГЭ б_п -2006 13-11-05_АХС Бизнес план 2006 собств.техн." xfId="2723"/>
    <cellStyle name="_ОГЭ б_п -2006 13-11-05_Бизнес-план 2006 Интегра КРС Нягань (Имущество)" xfId="2724"/>
    <cellStyle name="_ОГЭ б_п -2006 13-11-05_Ванюгин общ.вопросы" xfId="2725"/>
    <cellStyle name="_ОГЭ б_п -2006 13-11-05_ОТ и ПБ Бизнес план. 2006 г собств.техн." xfId="2726"/>
    <cellStyle name="_ОГЭ б_п -2006 13-11-05_ПП прогноз" xfId="2727"/>
    <cellStyle name="_ОГЭ б_п -2006 13-11-05_расшифровка ГСМ к БП 2006" xfId="2728"/>
    <cellStyle name="_ОС" xfId="2729"/>
    <cellStyle name="_ОС МСЗ_ВАРИАНТ 1" xfId="2730"/>
    <cellStyle name="_ОСК" xfId="2731"/>
    <cellStyle name="_ОСК_итог" xfId="2732"/>
    <cellStyle name="_Особая" xfId="2733"/>
    <cellStyle name="_Особая 2" xfId="2734"/>
    <cellStyle name="_Особая 2 2" xfId="2735"/>
    <cellStyle name="_Особая 2 2 2" xfId="2736"/>
    <cellStyle name="_Особая 2 2 3" xfId="2737"/>
    <cellStyle name="_Особая 2 3" xfId="2738"/>
    <cellStyle name="_Особая 2 4" xfId="2739"/>
    <cellStyle name="_Особая 3" xfId="2740"/>
    <cellStyle name="_Особая 3 2" xfId="2741"/>
    <cellStyle name="_Особая 3 3" xfId="2742"/>
    <cellStyle name="_Ответ_данные" xfId="2743"/>
    <cellStyle name="_Ответы по прочим" xfId="2744"/>
    <cellStyle name="_Ответы по прочим 2" xfId="2745"/>
    <cellStyle name="_Отрасль 2003" xfId="2746"/>
    <cellStyle name="_Отрасль 2003 2" xfId="2747"/>
    <cellStyle name="_Отрасль 2003 3" xfId="2748"/>
    <cellStyle name="_Отрасль 2003 4" xfId="2749"/>
    <cellStyle name="_Отрасль 2003 5" xfId="2750"/>
    <cellStyle name="_Отрасль 2003_ИСХ_ПАРАМ_Галоген" xfId="2751"/>
    <cellStyle name="_Отрасль 2003_Книга2" xfId="2752"/>
    <cellStyle name="_Отрасль 2003_модельИрина" xfId="2753"/>
    <cellStyle name="_Отрасль 2003_модельИрина_Книга2" xfId="2754"/>
    <cellStyle name="_Отрасль 2003_Оборудование" xfId="2755"/>
    <cellStyle name="_Отрасль 2003_Расчет" xfId="2756"/>
    <cellStyle name="_Отрасль 2003_Расчет_Gabler" xfId="2757"/>
    <cellStyle name="_Отрасль 2003_Расчет_Gabler1" xfId="2758"/>
    <cellStyle name="_Отрасль 2003_Сооружения" xfId="2759"/>
    <cellStyle name="_отс модель июля" xfId="2760"/>
    <cellStyle name="_Отчет 8 мес нов.формат" xfId="2761"/>
    <cellStyle name="_Отчет по прогнозу до 2010 года_23.05.06." xfId="2762"/>
    <cellStyle name="_Офис Развития БДДСБДР" xfId="2763"/>
    <cellStyle name="_Офис Развития БДДСБДР 2" xfId="2764"/>
    <cellStyle name="_Офис_расчет_Кутузова" xfId="2765"/>
    <cellStyle name="_Офисы 2007-2011 (БДДС)" xfId="2766"/>
    <cellStyle name="_Офисы 2007-2011 (БДДС) 2" xfId="2767"/>
    <cellStyle name="_оценка за баррель v1" xfId="2768"/>
    <cellStyle name="_ПГФ дебиторская задолженность" xfId="2769"/>
    <cellStyle name="_Переоценка_УАЗ" xfId="2770"/>
    <cellStyle name="_Пермь 2005_cкорр 10-02-05" xfId="2771"/>
    <cellStyle name="_ПК_SOP -разведенный-для бюджета 3_160107" xfId="2772"/>
    <cellStyle name="_ПК_SOP -разведенный-для бюджета 3_160107 2" xfId="2773"/>
    <cellStyle name="_ПК_SOP -разведенный-для бюджета 3_170107" xfId="2774"/>
    <cellStyle name="_ПК_SOP -разведенный-для бюджета 3_170107 2" xfId="2775"/>
    <cellStyle name="_ПК_SOP -разведенный-для бюджета 3_290107" xfId="2776"/>
    <cellStyle name="_ПК_SOP -разведенный-для бюджета 3_290107 2" xfId="2777"/>
    <cellStyle name="_ПК_SOP -разведенный-для бюджета 3_310107" xfId="2778"/>
    <cellStyle name="_ПК_SOP -разведенный-для бюджета 3_310107 2" xfId="2779"/>
    <cellStyle name="_ПК_SOP -разведенный-для бюджета 3_прогноз с марта" xfId="2780"/>
    <cellStyle name="_ПК_SOP -разведенный-для бюджета 3_прогноз с марта 2" xfId="2781"/>
    <cellStyle name="_ПК_SOP -разведенный-для бюджета 3_прогноз с мая" xfId="2782"/>
    <cellStyle name="_ПК_SOP -разведенный-для бюджета 3_прогноз с мая 2" xfId="2783"/>
    <cellStyle name="_Плановая протяженность Января" xfId="2784"/>
    <cellStyle name="_Плановая протяженность Января 2" xfId="2785"/>
    <cellStyle name="_платежный календарь ноябрь-декабрь" xfId="2786"/>
    <cellStyle name="_платежный календарь ноябрь-декабрь 2" xfId="2787"/>
    <cellStyle name="_По делойту" xfId="2788"/>
    <cellStyle name="_По делойту 2" xfId="2789"/>
    <cellStyle name="_По делойту 3" xfId="2790"/>
    <cellStyle name="_По делойту 4" xfId="2791"/>
    <cellStyle name="_По делойту 5" xfId="2792"/>
    <cellStyle name="_По делойту_ИСХ_ПАРАМ_Галоген" xfId="2793"/>
    <cellStyle name="_По делойту_Книга2" xfId="2794"/>
    <cellStyle name="_По делойту_модельИрина" xfId="2795"/>
    <cellStyle name="_По делойту_модельИрина_Книга2" xfId="2796"/>
    <cellStyle name="_По делойту_Оборудование" xfId="2797"/>
    <cellStyle name="_По делойту_Расчет" xfId="2798"/>
    <cellStyle name="_По делойту_Расчет_Gabler" xfId="2799"/>
    <cellStyle name="_По делойту_Расчет_Gabler1" xfId="2800"/>
    <cellStyle name="_По делойту_Сооружения" xfId="2801"/>
    <cellStyle name="_предварит расчет динамо" xfId="2802"/>
    <cellStyle name="_Приближение IFRS по ТК" xfId="2803"/>
    <cellStyle name="_Приближение IFRS по ТК 2" xfId="2804"/>
    <cellStyle name="_Приложение 1" xfId="3228"/>
    <cellStyle name="_Приложение 1 ИП на 2005" xfId="2806"/>
    <cellStyle name="_Приложение 1 ИП на 2005 2" xfId="2807"/>
    <cellStyle name="_Приложение 8 ИП на 2005 для РАО ОКС" xfId="2808"/>
    <cellStyle name="_Приложение 8 ИП на 2005 для РАО ОКС 2" xfId="2809"/>
    <cellStyle name="_Приложение K - макс экспорт" xfId="2810"/>
    <cellStyle name="_Приложение K - макс экспорт 2" xfId="2811"/>
    <cellStyle name="_прогноз SGA" xfId="2812"/>
    <cellStyle name="_прогноз SGA 2" xfId="2813"/>
    <cellStyle name="_прогноз дохода" xfId="2814"/>
    <cellStyle name="_Прогнозы МЭРТ до 2009 г." xfId="2815"/>
    <cellStyle name="_Производств-е показатели ЮНГ на 2005 на 49700 для согласования" xfId="2816"/>
    <cellStyle name="_Производств-е показатели ЮНГ на 2005 на 49700 для согласования 2" xfId="2817"/>
    <cellStyle name="_ПРОИЗВОДСТВЕННАЯ ПРОГРАММА ИНТЕГР, СРИПНА" xfId="2818"/>
    <cellStyle name="_ПРОИЗВОДСТВЕННАЯ ПРОГРАММА ИНТЕГР, СРИПНА_АХС Бизнес план 2006 собств.техн." xfId="2819"/>
    <cellStyle name="_ПРОИЗВОДСТВЕННАЯ ПРОГРАММА ИНТЕГР, СРИПНА_Бизнес-план 2006 Интегра КРС Нягань (Имущество)" xfId="2820"/>
    <cellStyle name="_ПРОИЗВОДСТВЕННАЯ ПРОГРАММА ИНТЕГР, СРИПНА_Ванюгин общ.вопросы" xfId="2821"/>
    <cellStyle name="_ПРОИЗВОДСТВЕННАЯ ПРОГРАММА ИНТЕГР, СРИПНА_ОТ и ПБ Бизнес план. 2006 г собств.техн." xfId="2822"/>
    <cellStyle name="_ПРОИЗВОДСТВЕННАЯ ПРОГРАММА ИНТЕГР, СРИПНА_ПП прогноз" xfId="2823"/>
    <cellStyle name="_ПРОИЗВОДСТВЕННАЯ ПРОГРАММА ИНТЕГР, СРИПНА_расшифровка ГСМ к БП 2006" xfId="2824"/>
    <cellStyle name="_Развитие_2007-2011_конс. (БДР)" xfId="2825"/>
    <cellStyle name="_Развитие_2007-2011_конс. (БДР) 2" xfId="2826"/>
    <cellStyle name="_Развитие_2007-2011_конс. (БДР)нф" xfId="2827"/>
    <cellStyle name="_Развитие_2007-2011_конс. (БДР)нф 2" xfId="2828"/>
    <cellStyle name="_Раменская_DCF" xfId="2829"/>
    <cellStyle name="_Расходы будущих периодов" xfId="2830"/>
    <cellStyle name="_Расчет" xfId="3229"/>
    <cellStyle name="_Расчет ВЛ таб.формата 12 рыба" xfId="2831"/>
    <cellStyle name="_Расчет ВЛ таб.формата 12 рыба 2" xfId="2832"/>
    <cellStyle name="_Расчет Выручки 2007-2009-09-11-06" xfId="2833"/>
    <cellStyle name="_Расчет Выручки 2007-2009-09-11-06 2" xfId="2834"/>
    <cellStyle name="_Расчет ЗМУ" xfId="2835"/>
    <cellStyle name="_Расчет Интегра - Сибнефть  (пример)" xfId="2836"/>
    <cellStyle name="_Расчет Интегра - Сибнефть  (пример)_АХС Бизнес план 2006 собств.техн." xfId="2837"/>
    <cellStyle name="_Расчет Интегра - Сибнефть  (пример)_Бизнес-план 2006 Интегра КРС Нягань (Имущество)" xfId="2838"/>
    <cellStyle name="_Расчет Интегра - Сибнефть  (пример)_Ванюгин общ.вопросы" xfId="2839"/>
    <cellStyle name="_Расчет Интегра - Сибнефть  (пример)_ОТ и ПБ Бизнес план. 2006 г собств.техн." xfId="2840"/>
    <cellStyle name="_Расчет Интегра - Сибнефть  (пример)_ПП прогноз" xfId="2841"/>
    <cellStyle name="_Расчет Интегра - Сибнефть  (пример)_расшифровка ГСМ к БП 2006" xfId="2842"/>
    <cellStyle name="_Расчет ТС" xfId="2843"/>
    <cellStyle name="_Расчёт экономии v2" xfId="2844"/>
    <cellStyle name="_Расчёт экономии v2 2" xfId="2845"/>
    <cellStyle name="_Расчет_ Бакунинская Обновлен." xfId="2846"/>
    <cellStyle name="_Расчет_Model Corrected 14.07.2006_Final" xfId="2847"/>
    <cellStyle name="_Расчет_NPV_Magnit" xfId="2848"/>
    <cellStyle name="_Расчет_доходный_бизнес" xfId="2849"/>
    <cellStyle name="_Расчет_ликв" xfId="2850"/>
    <cellStyle name="_Расчет_ликв_вагоны" xfId="2851"/>
    <cellStyle name="_Расчет_оконч" xfId="2852"/>
    <cellStyle name="_Расчет_Расчет_Ходынка (исправл)" xfId="2853"/>
    <cellStyle name="_расчет_расчеты здания" xfId="2854"/>
    <cellStyle name="_Расчет_Шаболовка" xfId="2855"/>
    <cellStyle name="_Расчет_Элекскон" xfId="2856"/>
    <cellStyle name="_Расчетный файл_ver3" xfId="2857"/>
    <cellStyle name="_расчеты" xfId="2858"/>
    <cellStyle name="_Расчеты 2" xfId="2859"/>
    <cellStyle name="_расчеты здания" xfId="2860"/>
    <cellStyle name="_Расчеты ОС 010407" xfId="2861"/>
    <cellStyle name="_расчеты Саратов" xfId="2862"/>
    <cellStyle name="_Расчеты_1" xfId="2863"/>
    <cellStyle name="_расчеты_доходник" xfId="2864"/>
    <cellStyle name="_Расчеты_Затратный подход" xfId="2865"/>
    <cellStyle name="_расчеты_Курскрезинотехника_недвижимость20071025" xfId="2866"/>
    <cellStyle name="_Расчеты_Расчет" xfId="2867"/>
    <cellStyle name="_Расчеты_Расчеты" xfId="2868"/>
    <cellStyle name="_расчеты_РЕЕСТР_Уваров - Терминал" xfId="2869"/>
    <cellStyle name="_Расчеты_Свод" xfId="2870"/>
    <cellStyle name="_Расчеты-СМиБ-ЮЛ-070323" xfId="2871"/>
    <cellStyle name="_Расш по инвестициям" xfId="2872"/>
    <cellStyle name="_Расшифровка оснащения 51 бригады с арендой - 2005 г" xfId="2873"/>
    <cellStyle name="_Расшифровка оснащения 51 бригады с арендой - 2005 г_АХС Бизнес план 2006 собств.техн." xfId="2874"/>
    <cellStyle name="_Расшифровка оснащения 51 бригады с арендой - 2005 г_Бизнес-план 2006 Интегра КРС Нягань (Имущество)" xfId="2875"/>
    <cellStyle name="_Расшифровка оснащения 51 бригады с арендой - 2005 г_Ванюгин общ.вопросы" xfId="2876"/>
    <cellStyle name="_Расшифровка оснащения 51 бригады с арендой - 2005 г_ОТ и ПБ Бизнес план. 2006 г собств.техн." xfId="2877"/>
    <cellStyle name="_Расшифровка оснащения 51 бригады с арендой - 2005 г_ПП прогноз" xfId="2878"/>
    <cellStyle name="_Расшифровка оснащения 51 бригады с арендой - 2005 г_расшифровка ГСМ к БП 2006" xfId="2879"/>
    <cellStyle name="_Расшифровки_1кв_2002" xfId="2880"/>
    <cellStyle name="_Реализация_ГО_2008-2012_(варианты)" xfId="2881"/>
    <cellStyle name="_Реализация_ГО_2008-2012_(варианты) 2" xfId="2882"/>
    <cellStyle name="_Регистрация на 2006 год" xfId="2883"/>
    <cellStyle name="_Регистрация на 2006 год_АХС Бизнес план 2006 собств.техн." xfId="2884"/>
    <cellStyle name="_Регистрация на 2006 год_Бизнес-план 2006 Интегра КРС Нягань (Имущество)" xfId="2885"/>
    <cellStyle name="_Регистрация на 2006 год_Ванюгин общ.вопросы" xfId="2886"/>
    <cellStyle name="_Регистрация на 2006 год_ОТ и ПБ Бизнес план. 2006 г собств.техн." xfId="2887"/>
    <cellStyle name="_Регистрация на 2006 год_ПП прогноз" xfId="2888"/>
    <cellStyle name="_Регистрация на 2006 год_расшифровка ГСМ к БП 2006" xfId="2889"/>
    <cellStyle name="_рекласс по ответам" xfId="2890"/>
    <cellStyle name="_рекласс по ответам 2" xfId="2891"/>
    <cellStyle name="_Рестр.задолж_дисконт" xfId="2892"/>
    <cellStyle name="_Рестр.задолж_дисконт 2" xfId="2893"/>
    <cellStyle name="_Сб-macro 2020" xfId="2894"/>
    <cellStyle name="_Сб-macro 2020 2" xfId="2895"/>
    <cellStyle name="_Сведения о расходах на 2004г" xfId="2896"/>
    <cellStyle name="_свод" xfId="2897"/>
    <cellStyle name="_Свод 15" xfId="2898"/>
    <cellStyle name="_Свод 15 2" xfId="2899"/>
    <cellStyle name="_Свод 19" xfId="2900"/>
    <cellStyle name="_Свод 19 2" xfId="2901"/>
    <cellStyle name="_Свод 2-2 общ" xfId="2902"/>
    <cellStyle name="_Свод 2-2 общ 2" xfId="2903"/>
    <cellStyle name="_Свод 28" xfId="2904"/>
    <cellStyle name="_Свод 28 2" xfId="2905"/>
    <cellStyle name="_Свод 28 Total" xfId="2906"/>
    <cellStyle name="_Свод 28 Total 2" xfId="2907"/>
    <cellStyle name="_Свод дивиденды 2006" xfId="2908"/>
    <cellStyle name="_Свод дивиденды 2006 2" xfId="2909"/>
    <cellStyle name="_Свод запрос 10-1206" xfId="2910"/>
    <cellStyle name="_Свод запрос 10-1206 2" xfId="2911"/>
    <cellStyle name="_Свод проформа ОС_v1" xfId="2912"/>
    <cellStyle name="_Свод проформа ОС_v1 2" xfId="2913"/>
    <cellStyle name="_Свод_здания_пример" xfId="2914"/>
    <cellStyle name="_СГМ материалы 2006 г." xfId="2915"/>
    <cellStyle name="_СГМ материалы 2006 г._АХС Бизнес план 2006 собств.техн." xfId="2916"/>
    <cellStyle name="_СГМ материалы 2006 г._Бизнес-план 2006 Интегра КРС Нягань (Имущество)" xfId="2917"/>
    <cellStyle name="_СГМ материалы 2006 г._Ванюгин общ.вопросы" xfId="2918"/>
    <cellStyle name="_СГМ материалы 2006 г._ОТ и ПБ Бизнес план. 2006 г собств.техн." xfId="2919"/>
    <cellStyle name="_СГМ материалы 2006 г._ПП прогноз" xfId="2920"/>
    <cellStyle name="_СГМ материалы 2006 г._расшифровка ГСМ к БП 2006" xfId="2921"/>
    <cellStyle name="_Себестоимость" xfId="2922"/>
    <cellStyle name="_Себестоимость 2" xfId="2923"/>
    <cellStyle name="_Сеть ПИ БДР" xfId="2924"/>
    <cellStyle name="_Сеть ПИ БДР 2" xfId="2925"/>
    <cellStyle name="_Сигнал-20.01.2005-3способ" xfId="2926"/>
    <cellStyle name="_Сигнал-22.01.2005-финал" xfId="2927"/>
    <cellStyle name="_СМР" xfId="2928"/>
    <cellStyle name="_СП-_строит" xfId="2929"/>
    <cellStyle name="_Список-Объектов" xfId="2930"/>
    <cellStyle name="_Список-Объектов 2" xfId="2931"/>
    <cellStyle name="_справочники" xfId="2932"/>
    <cellStyle name="_Сравнительный подход - медиа_Чебоксары" xfId="2933"/>
    <cellStyle name="_СРИПНО дебиторская задолженность на 1.11.05" xfId="2934"/>
    <cellStyle name="_Ссылка" xfId="2935"/>
    <cellStyle name="_Ссылка 2" xfId="2936"/>
    <cellStyle name="_Ссылка 2 2" xfId="2937"/>
    <cellStyle name="_Ссылка 2 2 2" xfId="2938"/>
    <cellStyle name="_Ссылка 2 2 3" xfId="2939"/>
    <cellStyle name="_Ссылка 2 3" xfId="2940"/>
    <cellStyle name="_Ссылка 2 4" xfId="2941"/>
    <cellStyle name="_Ссылка 3" xfId="2942"/>
    <cellStyle name="_Ссылка 3 2" xfId="2943"/>
    <cellStyle name="_Ссылка 3 3" xfId="2944"/>
    <cellStyle name="_Ставка дисконтированая CAPM с коэффициентом бета" xfId="2945"/>
    <cellStyle name="_Ставка дисконтированая CAPM с коэффициентом бета 2" xfId="2946"/>
    <cellStyle name="_Ставка дисконтированая CAPM с коэффициентом бета 3" xfId="2947"/>
    <cellStyle name="_Ставка дисконтированая CAPM с коэффициентом бета 4" xfId="2948"/>
    <cellStyle name="_Ставка дисконтированая CAPM с коэффициентом бета 5" xfId="2949"/>
    <cellStyle name="_Ставка дисконтированая CAPM с коэффициентом бета_ИСХ_ПАРАМ_Галоген" xfId="2950"/>
    <cellStyle name="_Ставка дисконтированая CAPM с коэффициентом бета_Книга2" xfId="2951"/>
    <cellStyle name="_Ставка дисконтированая CAPM с коэффициентом бета_модельИрина" xfId="2952"/>
    <cellStyle name="_Ставка дисконтированая CAPM с коэффициентом бета_модельИрина_Книга2" xfId="2953"/>
    <cellStyle name="_Ставка дисконтированая CAPM с коэффициентом бета_Оборудование" xfId="2954"/>
    <cellStyle name="_Ставка дисконтированая CAPM с коэффициентом бета_Расчет" xfId="2955"/>
    <cellStyle name="_Ставка дисконтированая CAPM с коэффициентом бета_Расчет_Gabler" xfId="2956"/>
    <cellStyle name="_Ставка дисконтированая CAPM с коэффициентом бета_Расчет_Gabler1" xfId="2957"/>
    <cellStyle name="_Ставка дисконтированая CAPM с коэффициентом бета_Сооружения" xfId="2958"/>
    <cellStyle name="_Ставка дисконтирования" xfId="2959"/>
    <cellStyle name="_Ставка дисконтирования 2" xfId="2960"/>
    <cellStyle name="_Ставка дисконтирования 3" xfId="2961"/>
    <cellStyle name="_Ставка дисконтирования 4" xfId="2962"/>
    <cellStyle name="_Ставка дисконтирования 5" xfId="2963"/>
    <cellStyle name="_Ставка дисконтирования_ИСХ_ПАРАМ_Галоген" xfId="2964"/>
    <cellStyle name="_Ставка дисконтирования_Книга2" xfId="2965"/>
    <cellStyle name="_Ставка дисконтирования_модельИрина" xfId="2966"/>
    <cellStyle name="_Ставка дисконтирования_модельИрина_Книга2" xfId="2967"/>
    <cellStyle name="_Ставка дисконтирования_Оборудование" xfId="2968"/>
    <cellStyle name="_Ставка дисконтирования_Расчет" xfId="2969"/>
    <cellStyle name="_Ставка дисконтирования_Расчет_Gabler" xfId="2970"/>
    <cellStyle name="_Ставка дисконтирования_Расчет_Gabler1" xfId="2971"/>
    <cellStyle name="_Ставка дисконтирования_Сооружения" xfId="2972"/>
    <cellStyle name="_Страхование на 2006 год" xfId="2973"/>
    <cellStyle name="_Страхование на 2006 год_АХС Бизнес план 2006 собств.техн." xfId="2974"/>
    <cellStyle name="_Страхование на 2006 год_Бизнес-план 2006 Интегра КРС Нягань (Имущество)" xfId="2975"/>
    <cellStyle name="_Страхование на 2006 год_Ванюгин общ.вопросы" xfId="2976"/>
    <cellStyle name="_Страхование на 2006 год_ОТ и ПБ Бизнес план. 2006 г собств.техн." xfId="2977"/>
    <cellStyle name="_Страхование на 2006 год_ПП прогноз" xfId="2978"/>
    <cellStyle name="_Страхование на 2006 год_расшифровка ГСМ к БП 2006" xfId="2979"/>
    <cellStyle name="_Строммашина 1" xfId="2980"/>
    <cellStyle name="_Структура себестоимости (в формат) реализация (2)" xfId="2981"/>
    <cellStyle name="_Сценарии" xfId="2982"/>
    <cellStyle name="_Сценарий бурения 2006г  Ткаченко 11.11.05" xfId="2983"/>
    <cellStyle name="_Сценарные условия 04-06 гг6" xfId="2984"/>
    <cellStyle name="_Сценарные условия 04-06 гг6 2" xfId="2985"/>
    <cellStyle name="_Сценарные условия 04-06 гг6 3" xfId="2986"/>
    <cellStyle name="_Сценарные условия 04-06 гг6 4" xfId="2987"/>
    <cellStyle name="_Сценарные условия 04-06 гг6 5" xfId="2988"/>
    <cellStyle name="_Сценарные условия 04-06 гг6_ИСХ_ПАРАМ_Галоген" xfId="2989"/>
    <cellStyle name="_Сценарные условия 04-06 гг6_Книга2" xfId="2990"/>
    <cellStyle name="_Сценарные условия 04-06 гг6_модельИрина" xfId="2991"/>
    <cellStyle name="_Сценарные условия 04-06 гг6_модельИрина_Книга2" xfId="2992"/>
    <cellStyle name="_Сценарные условия 04-06 гг6_Оборудование" xfId="2993"/>
    <cellStyle name="_Сценарные условия 04-06 гг6_Расчет" xfId="2994"/>
    <cellStyle name="_Сценарные условия 04-06 гг6_Расчет_Gabler" xfId="2995"/>
    <cellStyle name="_Сценарные условия 04-06 гг6_Расчет_Gabler1" xfId="2996"/>
    <cellStyle name="_Сценарные условия 04-06 гг6_Сооружения" xfId="2997"/>
    <cellStyle name="_т 14" xfId="2998"/>
    <cellStyle name="_т 14 2" xfId="2999"/>
    <cellStyle name="_Табл.№1,23-39" xfId="3000"/>
    <cellStyle name="_Таблица_рус" xfId="3001"/>
    <cellStyle name="_Тенисные корты" xfId="3002"/>
    <cellStyle name="_ТО_2007-2001-поправленный" xfId="3003"/>
    <cellStyle name="_ТО_2007-2001-поправленный 2" xfId="3004"/>
    <cellStyle name="_Трубосталь вопросы на запросник" xfId="3005"/>
    <cellStyle name="_Трубосталь вопросы на запросник 2" xfId="3006"/>
    <cellStyle name="_Тула_кроме транспорта_и_прочих_итог" xfId="3007"/>
    <cellStyle name="_ТЭП" xfId="3008"/>
    <cellStyle name="_ТЭП 2" xfId="3009"/>
    <cellStyle name="_Ф13" xfId="3010"/>
    <cellStyle name="_Ф13 2" xfId="3011"/>
    <cellStyle name="_Фин модель 280807 с новым планом продаж с сервисом" xfId="3012"/>
    <cellStyle name="_Фин модель 280807 с новым планом продаж с сервисом 2" xfId="3013"/>
    <cellStyle name="_фин модель ТГК-1_до2015 г_14.09.06 (1)" xfId="3014"/>
    <cellStyle name="_фин модель ТГК-1_до2015 г_14.09.06 (1) 2" xfId="3015"/>
    <cellStyle name="_ФИН МОДЕЛЬ_01.07.06" xfId="3016"/>
    <cellStyle name="_Финанализ_Трансбункер-Южный" xfId="3017"/>
    <cellStyle name="_Финмодель Фокус Вуд_Итог_Re" xfId="3018"/>
    <cellStyle name="_Форма - Пост-перем для 2005 г_для_SFO" xfId="3019"/>
    <cellStyle name="_Форма - Пост-перем для 2005 г_для_SFO_АХС Бизнес план 2006 собств.техн." xfId="3020"/>
    <cellStyle name="_Форма - Пост-перем для 2005 г_для_SFO_Бизнес-план 2006 Интегра КРС Нягань (Имущество)" xfId="3021"/>
    <cellStyle name="_Форма - Пост-перем для 2005 г_для_SFO_Ванюгин общ.вопросы" xfId="3022"/>
    <cellStyle name="_Форма - Пост-перем для 2005 г_для_SFO_ОТ и ПБ Бизнес план. 2006 г собств.техн." xfId="3023"/>
    <cellStyle name="_Форма - Пост-перем для 2005 г_для_SFO_ПП прогноз" xfId="3024"/>
    <cellStyle name="_Форма - Пост-перем для 2005 г_для_SFO_расшифровка ГСМ к БП 2006" xfId="3025"/>
    <cellStyle name="_Форма планирования бюджета (P&amp;L) (макет)" xfId="3026"/>
    <cellStyle name="_Форма планирования бюджета (P&amp;L) (макет) 2" xfId="3027"/>
    <cellStyle name="_Формат бизнес-плана на 2006 год 42 бр" xfId="3028"/>
    <cellStyle name="_Формат бизнес-плана на 2006 год 42 бр2" xfId="3029"/>
    <cellStyle name="_Формат бизнес-плана на 2006 год 42 бр2с переменными" xfId="3030"/>
    <cellStyle name="_Форматы к бюджету дом." xfId="3031"/>
    <cellStyle name="_Целевая программа 2005 год экология НПРС3" xfId="3032"/>
    <cellStyle name="_Чек" xfId="3033"/>
    <cellStyle name="_шапки" xfId="3034"/>
    <cellStyle name="{Comma [0]}" xfId="3035"/>
    <cellStyle name="{Comma}" xfId="3036"/>
    <cellStyle name="{Date}" xfId="3037"/>
    <cellStyle name="{Month}" xfId="3038"/>
    <cellStyle name="{Percent}" xfId="3039"/>
    <cellStyle name="{Thousand [0]}" xfId="3040"/>
    <cellStyle name="{Thousand}" xfId="3041"/>
    <cellStyle name="{Z'0000(1 dec)}" xfId="3042"/>
    <cellStyle name="{Z'0000(4 dec)}" xfId="3043"/>
    <cellStyle name="”ˆš‘ˆz‚tt›‰" xfId="3044"/>
    <cellStyle name="”ˆŠ‘ˆŽ‚€›‰" xfId="3045"/>
    <cellStyle name="”ˆŠ‘ˆŽ‚€›‰ 2" xfId="3046"/>
    <cellStyle name="”ˆŠ‘ˆŽ‚€›‰ 3" xfId="3047"/>
    <cellStyle name="”ˆŠ‘ˆŽ‚€›‰ 4" xfId="3048"/>
    <cellStyle name="”ˆŠ‘ˆŽ‚€›‰ 5" xfId="3049"/>
    <cellStyle name="”ˆtt‘z‚›‰" xfId="3050"/>
    <cellStyle name="”ˆ€‘Ž‚›‰" xfId="3051"/>
    <cellStyle name="”ˆ€‘Ž‚›‰ 2" xfId="3052"/>
    <cellStyle name="”ˆ€‘Ž‚›‰ 3" xfId="3053"/>
    <cellStyle name="”ˆ€‘Ž‚›‰ 4" xfId="3054"/>
    <cellStyle name="”ˆ€‘Ž‚›‰ 5" xfId="3055"/>
    <cellStyle name="”€???‘?‚›‰" xfId="3056"/>
    <cellStyle name="”€???‘?‚›‰ 2" xfId="3057"/>
    <cellStyle name="”€???‘?‚›‰ 3" xfId="3058"/>
    <cellStyle name="”€???‘?‚›‰ 4" xfId="3059"/>
    <cellStyle name="”€???‘?‚›‰ 5" xfId="3060"/>
    <cellStyle name="”€?‘€??‚???›‰" xfId="3061"/>
    <cellStyle name="”€?‘€??‚???›‰ 2" xfId="3062"/>
    <cellStyle name="”€?‘€??‚???›‰ 3" xfId="3063"/>
    <cellStyle name="”€?‘€??‚???›‰ 4" xfId="3064"/>
    <cellStyle name="”€?‘€??‚???›‰ 5" xfId="3065"/>
    <cellStyle name="”€ЌЂЌ‘Ћ‚›‰" xfId="3066"/>
    <cellStyle name="”€ЌЂЌ‘Ћ‚›‰ 2" xfId="3067"/>
    <cellStyle name="”€ЌЂЌ‘Ћ‚›‰ 3" xfId="3068"/>
    <cellStyle name="”€ЌЂЌ‘Ћ‚›‰ 4" xfId="3069"/>
    <cellStyle name="”€ЌЂЌ‘Ћ‚›‰ 5" xfId="3070"/>
    <cellStyle name="”€Љ‘€ђЋ‚ЂЌЌ›‰" xfId="3071"/>
    <cellStyle name="”€Љ‘€ђЋ‚ЂЌЌ›‰ 2" xfId="3072"/>
    <cellStyle name="”€Љ‘€ђЋ‚ЂЌЌ›‰ 3" xfId="3073"/>
    <cellStyle name="”€Љ‘€ђЋ‚ЂЌЌ›‰ 4" xfId="3074"/>
    <cellStyle name="”€Љ‘€ђЋ‚ЂЌЌ›‰ 5" xfId="3075"/>
    <cellStyle name="”š‘ž‚ťť›‰" xfId="3076"/>
    <cellStyle name="”ťť‘ž‚›‰" xfId="3077"/>
    <cellStyle name="”ќђќ‘ћ‚›‰" xfId="3078"/>
    <cellStyle name="”ќђќ‘ћ‚›‰ 2" xfId="3079"/>
    <cellStyle name="”љ‘ђћ‚ђќќ›‰" xfId="3080"/>
    <cellStyle name="”љ‘ђћ‚ђќќ›‰ 2" xfId="3081"/>
    <cellStyle name="„€’€" xfId="3082"/>
    <cellStyle name="„€’€ 2" xfId="3083"/>
    <cellStyle name="„€’€ 3" xfId="3084"/>
    <cellStyle name="„€’€ 4" xfId="3085"/>
    <cellStyle name="„€’€ 5" xfId="3086"/>
    <cellStyle name="„…?…†?›‰" xfId="3087"/>
    <cellStyle name="„…?…†?›‰ 2" xfId="3088"/>
    <cellStyle name="„…?…†?›‰ 3" xfId="3089"/>
    <cellStyle name="„…?…†?›‰ 4" xfId="3090"/>
    <cellStyle name="„…?…†?›‰ 5" xfId="3091"/>
    <cellStyle name="„…t…†t›‰" xfId="3092"/>
    <cellStyle name="„…ť…†ť›‰" xfId="3093"/>
    <cellStyle name="„…t…†t›‰_Borlas model 25_03_v3 update from Grizik" xfId="3094"/>
    <cellStyle name="„…ť…†ť›‰_Borlas model 25_03_v3 update from Grizik" xfId="3095"/>
    <cellStyle name="„…t…†t›‰_GRES-1" xfId="3096"/>
    <cellStyle name="„…ť…†ť›‰_GRES-1" xfId="3097"/>
    <cellStyle name="„…t…†t›‰_GRES-1_Borlas model 25_03_v3 update from Grizik" xfId="3098"/>
    <cellStyle name="„…ť…†ť›‰_GRES-1_Borlas model 25_03_v3 update from Grizik" xfId="3099"/>
    <cellStyle name="„…t…†t›‰_GRES-32" xfId="3100"/>
    <cellStyle name="„…ť…†ť›‰_GRES-32" xfId="3101"/>
    <cellStyle name="„…t…†t›‰_GRES-32_Borlas model 25_03_v3 update from Grizik" xfId="3102"/>
    <cellStyle name="„…ť…†ť›‰_GRES-32_Borlas model 25_03_v3 update from Grizik" xfId="3103"/>
    <cellStyle name="„…Ќ…†Ќ›‰" xfId="3104"/>
    <cellStyle name="„…Ќ…†Ќ›‰ 2" xfId="3105"/>
    <cellStyle name="„…Ќ…†Ќ›‰ 3" xfId="3106"/>
    <cellStyle name="„…Ќ…†Ќ›‰ 4" xfId="3107"/>
    <cellStyle name="„…Ќ…†Ќ›‰ 5" xfId="3108"/>
    <cellStyle name="„……†›‰" xfId="3109"/>
    <cellStyle name="„……†›‰ 2" xfId="3110"/>
    <cellStyle name="„……†›‰ 3" xfId="3111"/>
    <cellStyle name="„……†›‰ 4" xfId="3112"/>
    <cellStyle name="„……†›‰ 5" xfId="3113"/>
    <cellStyle name="„Ђ’Ђ" xfId="3114"/>
    <cellStyle name="„Ђ’Ђ 2" xfId="3115"/>
    <cellStyle name="„Ђ’Ђ 3" xfId="3116"/>
    <cellStyle name="„Ђ’Ђ 4" xfId="3117"/>
    <cellStyle name="„Ђ’Ђ 5" xfId="3118"/>
    <cellStyle name="£ BP" xfId="3119"/>
    <cellStyle name="¤d¤À¦ì [0]" xfId="3120"/>
    <cellStyle name="¥ JY" xfId="3121"/>
    <cellStyle name="¥Vn¥VC¥Vp[¥V¥A¥V¡°¥VN" xfId="3122"/>
    <cellStyle name="¥Vn¥VC¥Vp[¥V¥A¥V¡°¥VN 2" xfId="3123"/>
    <cellStyle name="€’???‚›‰" xfId="3124"/>
    <cellStyle name="€’???‚›‰ 2" xfId="3125"/>
    <cellStyle name="€’???‚›‰ 3" xfId="3126"/>
    <cellStyle name="€’???‚›‰ 4" xfId="3127"/>
    <cellStyle name="€’???‚›‰ 5" xfId="3128"/>
    <cellStyle name="€’ЋѓЋ‚›‰" xfId="3129"/>
    <cellStyle name="€’ЋѓЋ‚›‰ 2" xfId="3130"/>
    <cellStyle name="€’ЋѓЋ‚›‰ 3" xfId="3131"/>
    <cellStyle name="€’ЋѓЋ‚›‰ 4" xfId="3132"/>
    <cellStyle name="€’ЋѓЋ‚›‰ 5" xfId="3133"/>
    <cellStyle name="+" xfId="3134"/>
    <cellStyle name="+ 2" xfId="3135"/>
    <cellStyle name="+ 3" xfId="3136"/>
    <cellStyle name="+_CKBA_06_12_2" xfId="3137"/>
    <cellStyle name="+_DCF_AME_26.11.07" xfId="3138"/>
    <cellStyle name="+_Discount rate NZ" xfId="3139"/>
    <cellStyle name="+_Discount rate NZ 2" xfId="3140"/>
    <cellStyle name="+_Discount rate NZ 3" xfId="3141"/>
    <cellStyle name="+_FinancialModel 14.11.07" xfId="3142"/>
    <cellStyle name="+_Lenta DCF Databook 2009" xfId="3143"/>
    <cellStyle name="+_Ormeto DCF support_v1" xfId="3144"/>
    <cellStyle name="+_SI_MA_NL" xfId="3145"/>
    <cellStyle name="+_SI_WACC&amp;MA_NL_18.5" xfId="3146"/>
    <cellStyle name="+_SIBUR MU DCF 080214 v17 OG" xfId="3147"/>
    <cellStyle name="+_SIBUR MU DCF 080214 v17 OG 2" xfId="3148"/>
    <cellStyle name="+_SIBUR MU DCF 080214 v17 OG 3" xfId="3149"/>
    <cellStyle name="+_SIBUR MU DCF 080214 v17 OG_Discount rate NZ" xfId="3150"/>
    <cellStyle name="+_SIBUR MU DCF 080214 v17 OG_Discount rate NZ 2" xfId="3151"/>
    <cellStyle name="+_SIBUR MU DCF 080214 v17 OG_Discount rate NZ 3" xfId="3152"/>
    <cellStyle name="+_SIBUR MU DCF 080214 v17 OG_SI_MA_NL" xfId="3153"/>
    <cellStyle name="+_SIBUR MU DCF 080214 v17 OG_SI_MA_NL 2" xfId="3154"/>
    <cellStyle name="+_SIBUR MU DCF 080214 v17 OG_SI_MA_NL 3" xfId="3155"/>
    <cellStyle name="+_SIBUR-MU guideline cos v1" xfId="3156"/>
    <cellStyle name="+_UralChim_WACC_1" xfId="3157"/>
    <cellStyle name="+_Uralmash DCF support" xfId="3158"/>
    <cellStyle name="+_Uralmash DCF support_1" xfId="3159"/>
    <cellStyle name="+_Uralmash DCF support_1 2" xfId="3160"/>
    <cellStyle name="+_Uralmash DCF support_1 3" xfId="3161"/>
    <cellStyle name="+_WACC NK alliance exploration and production v3" xfId="3162"/>
    <cellStyle name="+_WACC NK alliance exploration and production v3 2" xfId="3163"/>
    <cellStyle name="+_WACC NK alliance exploration and production v3 3" xfId="3164"/>
    <cellStyle name="+_WACC OMZ-SS AR 31.12.2008 v.10 EK" xfId="3165"/>
    <cellStyle name="+_WACC OMZ-SS AR 31.12.2008 v.10 EK 2" xfId="3166"/>
    <cellStyle name="+_WACC OMZ-SS AR 31.12.2008 v.10 EK 3" xfId="3167"/>
    <cellStyle name="+_WACC OMZ-SS AR 31.12.2008 v.10 EK_Discount rate NZ" xfId="3168"/>
    <cellStyle name="+_WACC OMZ-SS AR 31.12.2008 v.10 EK_Discount rate NZ 2" xfId="3169"/>
    <cellStyle name="+_WACC OMZ-SS AR 31.12.2008 v.10 EK_Discount rate NZ 3" xfId="3170"/>
    <cellStyle name="+_WACC OMZ-SS AR 31.12.2008 v.10 EK_SI_MA_NL" xfId="3171"/>
    <cellStyle name="+_WACC OMZ-SS AR 31.12.2008 v.10 EK_SI_MA_NL 2" xfId="3172"/>
    <cellStyle name="+_WACC OMZ-SS AR 31.12.2008 v.10 EK_SI_MA_NL 3" xfId="3173"/>
    <cellStyle name="=C:\WINNT\SYSTEM32\COMMAND.COM" xfId="3174"/>
    <cellStyle name="=C:\WINNT\SYSTEM32\COMMAND.COM 2" xfId="3175"/>
    <cellStyle name="=C:\WINNT\SYSTEM32\COMMAND.COM?COMPUTERNAME=BLAKE7?HOMEDRIVE=P:?HOM" xfId="3176"/>
    <cellStyle name="=C:\WINNT\SYSTEM32\COMMAND.COM?COMPUTERNAME=BLAKE7?HOMEDRIVE=P:?HOM 2" xfId="3177"/>
    <cellStyle name="=C:\WINNT35\SYSTEM32\COMMAND.COM" xfId="3178"/>
    <cellStyle name="=C:\WINNT35\SYSTEM32\COMMAND.COM 2" xfId="3179"/>
    <cellStyle name="=C:\WINNT35\SYSTEM32\COMMAND.COM 3" xfId="3180"/>
    <cellStyle name="=C:\WINNT35\SYSTEM32\COMMAND.COM_PPA DTV Group model Final" xfId="3181"/>
    <cellStyle name="=D:\WINNT\SYSTEM32\COMMAND.COM" xfId="3182"/>
    <cellStyle name="=D:\WINNT\SYSTEM32\COMMAND.COM 2" xfId="3183"/>
    <cellStyle name="¶W³sµ²" xfId="3184"/>
    <cellStyle name="¶W³sµ² 2" xfId="3185"/>
    <cellStyle name="‡???‹?‚??1" xfId="3186"/>
    <cellStyle name="‡???‹?‚??1 2" xfId="3187"/>
    <cellStyle name="‡???‹?‚??1 3" xfId="3188"/>
    <cellStyle name="‡???‹?‚??2" xfId="3189"/>
    <cellStyle name="‡???‹?‚??2 2" xfId="3190"/>
    <cellStyle name="‡???‹?‚??2 3" xfId="3191"/>
    <cellStyle name="‡€ƒŽ‹Ž‚ŽŠ1" xfId="3192"/>
    <cellStyle name="‡€ƒŽ‹Ž‚ŽŠ1 2" xfId="3193"/>
    <cellStyle name="‡€ƒŽ‹Ž‚ŽŠ1 3" xfId="3194"/>
    <cellStyle name="‡€ƒŽ‹Ž‚ŽŠ2" xfId="3195"/>
    <cellStyle name="‡€ƒŽ‹Ž‚ŽŠ2 2" xfId="3196"/>
    <cellStyle name="‡€ƒŽ‹Ž‚ŽŠ2 3" xfId="3197"/>
    <cellStyle name="‡ž‹ž‚žš1" xfId="3198"/>
    <cellStyle name="‡ž‹ž‚žš2" xfId="3199"/>
    <cellStyle name="‡ƒz‹z‚zš1" xfId="3200"/>
    <cellStyle name="‡ƒz‹z‚zš2" xfId="3201"/>
    <cellStyle name="‡ЂѓЋ‹Ћ‚ЋЉ1" xfId="3202"/>
    <cellStyle name="‡ЂѓЋ‹Ћ‚ЋЉ1 2" xfId="3203"/>
    <cellStyle name="‡ЂѓЋ‹Ћ‚ЋЉ1 3" xfId="3204"/>
    <cellStyle name="‡ЂѓЋ‹Ћ‚ЋЉ2" xfId="3205"/>
    <cellStyle name="‡ЂѓЋ‹Ћ‚ЋЉ2 2" xfId="3206"/>
    <cellStyle name="‡ЂѓЋ‹Ћ‚ЋЉ2 3" xfId="3207"/>
    <cellStyle name="•W€_GE 3 MINIMUM" xfId="3208"/>
    <cellStyle name="\¦ÏÝÌnCp[N" xfId="3209"/>
    <cellStyle name="\¦ÏÝÌnCp[N 2" xfId="3210"/>
    <cellStyle name="’žž‚›‰" xfId="3211"/>
    <cellStyle name="’ћѓћ‚›‰" xfId="3212"/>
    <cellStyle name="’ћѓћ‚›‰ 2" xfId="3213"/>
    <cellStyle name=" 2" xfId="3221"/>
    <cellStyle name=" 3" xfId="3223"/>
    <cellStyle name="_FA_2007" xfId="3224"/>
    <cellStyle name="" xfId="3214"/>
    <cellStyle name=" 2" xfId="3215"/>
    <cellStyle name=" 3" xfId="3216"/>
    <cellStyle name="_FA_2007_Расчет" xfId="3225"/>
    <cellStyle name="_модели" xfId="3217"/>
    <cellStyle name="_модели" xfId="3227"/>
    <cellStyle name="" xfId="3218"/>
    <cellStyle name=" 2" xfId="3220"/>
    <cellStyle name=" 3" xfId="3222"/>
    <cellStyle name="_модели" xfId="3226"/>
    <cellStyle name="1" xfId="3366"/>
    <cellStyle name="1 2" xfId="3230"/>
    <cellStyle name="1 3" xfId="3231"/>
    <cellStyle name="1 4" xfId="3232"/>
    <cellStyle name="1 5" xfId="3233"/>
    <cellStyle name="2" xfId="3473"/>
    <cellStyle name="2 2" xfId="3234"/>
    <cellStyle name="2 3" xfId="3235"/>
    <cellStyle name="2 4" xfId="3236"/>
    <cellStyle name="2 5" xfId="3237"/>
    <cellStyle name="nCp[N" xfId="3238"/>
    <cellStyle name="nCp[N 2" xfId="3239"/>
    <cellStyle name="0" xfId="3240"/>
    <cellStyle name="0 2" xfId="3241"/>
    <cellStyle name="0%" xfId="3242"/>
    <cellStyle name="0,0" xfId="3243"/>
    <cellStyle name="0,0_x000d__x000a_NA_x000d__x000a_" xfId="3244"/>
    <cellStyle name="0,0_x000d__x000a_NA_x000d__x000a_ 2" xfId="3245"/>
    <cellStyle name="0,0%" xfId="3246"/>
    <cellStyle name="0,00" xfId="3247"/>
    <cellStyle name="0,00;0;" xfId="3248"/>
    <cellStyle name="0,00;0; 2" xfId="3249"/>
    <cellStyle name="0,00;0; 3" xfId="3250"/>
    <cellStyle name="0,00;0; 4" xfId="3251"/>
    <cellStyle name="0,00;0;_З_Кр 12" xfId="3252"/>
    <cellStyle name="0,000" xfId="3253"/>
    <cellStyle name="0,00x" xfId="3254"/>
    <cellStyle name="0,0x" xfId="3255"/>
    <cellStyle name="0.0" xfId="3256"/>
    <cellStyle name="0.0 2" xfId="3257"/>
    <cellStyle name="0.0%" xfId="3258"/>
    <cellStyle name="0.0_Book1" xfId="3259"/>
    <cellStyle name="0.00" xfId="3260"/>
    <cellStyle name="0.00%" xfId="3261"/>
    <cellStyle name="0.0x" xfId="3262"/>
    <cellStyle name="0.0x 2" xfId="3263"/>
    <cellStyle name="0_Book1" xfId="3264"/>
    <cellStyle name="0_Book1 2" xfId="3265"/>
    <cellStyle name="0_Book1_CKBA_06_12_2" xfId="3266"/>
    <cellStyle name="0_Book1_CKBA_06_12_2 2" xfId="3267"/>
    <cellStyle name="0_Book1_DCF_AME_26.11.07" xfId="3268"/>
    <cellStyle name="0_Book1_DCF_AME_26.11.07 2" xfId="3269"/>
    <cellStyle name="0_Book1_FinancialModel 14.11.07" xfId="3270"/>
    <cellStyle name="0_Book1_FinancialModel 14.11.07 2" xfId="3271"/>
    <cellStyle name="0_Book1_Lenta DCF Databook 2009" xfId="3272"/>
    <cellStyle name="0_Book1_Lenta DCF Databook 2009 2" xfId="3273"/>
    <cellStyle name="0_Book1_UralChim_WACC_1" xfId="3274"/>
    <cellStyle name="0_Book1_UralChim_WACC_1 2" xfId="3275"/>
    <cellStyle name="0_BP2" xfId="3276"/>
    <cellStyle name="0_BP2.XLS" xfId="3277"/>
    <cellStyle name="0_BP2.XLS 2" xfId="3278"/>
    <cellStyle name="0_BP2.XLS 3" xfId="3279"/>
    <cellStyle name="0_BP2.XLS_модельИрина" xfId="3280"/>
    <cellStyle name="0_BP2.XLS_модельИрина_Книга2" xfId="3281"/>
    <cellStyle name="0_BP2.XLS_Оборудование" xfId="3282"/>
    <cellStyle name="0_BP2.XLS_Расчет" xfId="3283"/>
    <cellStyle name="0_BP3" xfId="3284"/>
    <cellStyle name="0_BP3 2" xfId="3285"/>
    <cellStyle name="0_BP3 3" xfId="3286"/>
    <cellStyle name="0_BP3.XLS" xfId="3287"/>
    <cellStyle name="0_BP3.XLS 2" xfId="3288"/>
    <cellStyle name="0_BP3.XLS 3" xfId="3289"/>
    <cellStyle name="0_BP3.XLS_модельИрина" xfId="3290"/>
    <cellStyle name="0_BP3.XLS_модельИрина_Книга2" xfId="3291"/>
    <cellStyle name="0_BP3.XLS_Оборудование" xfId="3292"/>
    <cellStyle name="0_BP3.XLS_Расчет" xfId="3293"/>
    <cellStyle name="0_BP3_модельИрина" xfId="3294"/>
    <cellStyle name="0_BP3_модельИрина_Книга2" xfId="3295"/>
    <cellStyle name="0_BP3_Оборудование" xfId="3296"/>
    <cellStyle name="0_BP3_Расчет" xfId="3297"/>
    <cellStyle name="0_BP4.XLS" xfId="3298"/>
    <cellStyle name="0_BP4.XLS 2" xfId="3299"/>
    <cellStyle name="0_BP4.XLS 3" xfId="3300"/>
    <cellStyle name="0_BP4.XLS_модельИрина" xfId="3301"/>
    <cellStyle name="0_BP4.XLS_модельИрина_Книга2" xfId="3302"/>
    <cellStyle name="0_BP4.XLS_Оборудование" xfId="3303"/>
    <cellStyle name="0_BP4.XLS_Расчет" xfId="3304"/>
    <cellStyle name="0_CKBA_06_12_2" xfId="3305"/>
    <cellStyle name="0_DCF_AME_26.11.07" xfId="3306"/>
    <cellStyle name="0_delta_market_model_v1" xfId="3307"/>
    <cellStyle name="0_delta_market_model_v1_CKBA_06_12_2" xfId="3308"/>
    <cellStyle name="0_delta_market_model_v1_DCF_AME_26.11.07" xfId="3309"/>
    <cellStyle name="0_delta_market_model_v1_Discount rate NZ" xfId="3310"/>
    <cellStyle name="0_delta_market_model_v1_FinancialModel 14.11.07" xfId="3311"/>
    <cellStyle name="0_delta_market_model_v1_Lenta DCF Databook 2009" xfId="3312"/>
    <cellStyle name="0_delta_market_model_v1_SI_MA_NL" xfId="3313"/>
    <cellStyle name="0_delta_market_model_v1_UralChim_WACC_1" xfId="3314"/>
    <cellStyle name="0_Discount rate NZ" xfId="3315"/>
    <cellStyle name="0_Discount rate NZ 2" xfId="3316"/>
    <cellStyle name="0_DTV Network model 311208 AD SENSITIVITY 24 02 09" xfId="3317"/>
    <cellStyle name="0_FinancialModel 14.11.07" xfId="3318"/>
    <cellStyle name="0_lebedyansky_model" xfId="3319"/>
    <cellStyle name="0_Lenta DCF Databook 2009" xfId="3320"/>
    <cellStyle name="0_Ormeto DCF support_v1" xfId="3321"/>
    <cellStyle name="0_Samples" xfId="3322"/>
    <cellStyle name="0_Samples_CKBA_06_12_2" xfId="3323"/>
    <cellStyle name="0_Samples_DCF_AME_26.11.07" xfId="3324"/>
    <cellStyle name="0_Samples_Discount rate NZ" xfId="3325"/>
    <cellStyle name="0_Samples_FinancialModel 14.11.07" xfId="3326"/>
    <cellStyle name="0_Samples_Lenta DCF Databook 2009" xfId="3327"/>
    <cellStyle name="0_Samples_SI_MA_NL" xfId="3328"/>
    <cellStyle name="0_Samples_UralChim_WACC_1" xfId="3329"/>
    <cellStyle name="0_SI_MA_NL" xfId="3330"/>
    <cellStyle name="0_SI_MA_NL_1" xfId="3331"/>
    <cellStyle name="0_UralChim_WACC_1" xfId="3332"/>
    <cellStyle name="0_wacc 3" xfId="3333"/>
    <cellStyle name="0_WACC assumptions 1st draft" xfId="3334"/>
    <cellStyle name="0_WACC OMZ-SS AR 31.12.2008 v.10 EK" xfId="3335"/>
    <cellStyle name="0_WACC OMZ-SS AR 31.12.2008 v.10 EK 2" xfId="3336"/>
    <cellStyle name="01" xfId="3337"/>
    <cellStyle name="01 2" xfId="3338"/>
    <cellStyle name="01_Validation" xfId="3339"/>
    <cellStyle name="02_Amount_from_OSV" xfId="3340"/>
    <cellStyle name="06" xfId="3341"/>
    <cellStyle name="06 2" xfId="3342"/>
    <cellStyle name="06 F" xfId="3343"/>
    <cellStyle name="06 F 2" xfId="3344"/>
    <cellStyle name="07" xfId="3345"/>
    <cellStyle name="07 2" xfId="3346"/>
    <cellStyle name="07 F" xfId="3347"/>
    <cellStyle name="07 F 2" xfId="3348"/>
    <cellStyle name="08" xfId="3349"/>
    <cellStyle name="08 2" xfId="3350"/>
    <cellStyle name="08 F" xfId="3351"/>
    <cellStyle name="08 F 2" xfId="3352"/>
    <cellStyle name="08 FK" xfId="3353"/>
    <cellStyle name="08 FK 2" xfId="3354"/>
    <cellStyle name="08 K" xfId="3355"/>
    <cellStyle name="08 K 2" xfId="3356"/>
    <cellStyle name="09" xfId="3357"/>
    <cellStyle name="09 2" xfId="3358"/>
    <cellStyle name="09 F" xfId="3359"/>
    <cellStyle name="09 F 2" xfId="3360"/>
    <cellStyle name="09 FK" xfId="3361"/>
    <cellStyle name="09 FK 2" xfId="3362"/>
    <cellStyle name="09 FS" xfId="3363"/>
    <cellStyle name="09 FU" xfId="3364"/>
    <cellStyle name="09 FU 2" xfId="3365"/>
    <cellStyle name="-1" xfId="3367"/>
    <cellStyle name="1 000 Kи_laroux" xfId="3368"/>
    <cellStyle name="-1 2" xfId="3369"/>
    <cellStyle name="-1 2 2" xfId="3370"/>
    <cellStyle name="-1 2 3" xfId="3371"/>
    <cellStyle name="-1 3" xfId="3372"/>
    <cellStyle name="-1 3 2" xfId="3373"/>
    <cellStyle name="-1 3 3" xfId="3374"/>
    <cellStyle name="1 decimal" xfId="3375"/>
    <cellStyle name="1 decimal 2" xfId="3376"/>
    <cellStyle name="1,comma" xfId="3377"/>
    <cellStyle name="1.000/(1,000)" xfId="3378"/>
    <cellStyle name="1_Discount rate NZ" xfId="3379"/>
    <cellStyle name="-1_Discount rate NZ" xfId="3380"/>
    <cellStyle name="1_DTV Network model 311208 AD SENSITIVITY 24 02 09" xfId="3381"/>
    <cellStyle name="1_DTV Network model 311208 AD SENSITIVITY 24 02 09 2" xfId="3382"/>
    <cellStyle name="1_DTV Network model 311208 AD SENSITIVITY 24 02 09 3" xfId="3383"/>
    <cellStyle name="1_Nadpis" xfId="3384"/>
    <cellStyle name="1_SI_MA_NL" xfId="3385"/>
    <cellStyle name="1_WACC NK alliance exploration and production v3" xfId="3386"/>
    <cellStyle name="10" xfId="3387"/>
    <cellStyle name="10 2" xfId="3388"/>
    <cellStyle name="10 F" xfId="3389"/>
    <cellStyle name="10 F 2" xfId="3390"/>
    <cellStyle name="10 FK" xfId="3391"/>
    <cellStyle name="10 FK 2" xfId="3392"/>
    <cellStyle name="10 FU" xfId="3393"/>
    <cellStyle name="10 FU 2" xfId="3394"/>
    <cellStyle name="1000/- %" xfId="3395"/>
    <cellStyle name="1000/- % 2" xfId="3396"/>
    <cellStyle name="11" xfId="3397"/>
    <cellStyle name="11 2" xfId="3398"/>
    <cellStyle name="11 F" xfId="3399"/>
    <cellStyle name="11 F 2" xfId="3400"/>
    <cellStyle name="11 FK" xfId="3401"/>
    <cellStyle name="11 FK 2" xfId="3402"/>
    <cellStyle name="11 FU" xfId="3403"/>
    <cellStyle name="11 FU 2" xfId="3404"/>
    <cellStyle name="12" xfId="3405"/>
    <cellStyle name="12 2" xfId="3406"/>
    <cellStyle name="12 F" xfId="3407"/>
    <cellStyle name="12 F 2" xfId="3408"/>
    <cellStyle name="12 FK" xfId="3409"/>
    <cellStyle name="12 FK 2" xfId="3410"/>
    <cellStyle name="12 FU" xfId="3411"/>
    <cellStyle name="12 FU 2" xfId="3412"/>
    <cellStyle name="14 F" xfId="3413"/>
    <cellStyle name="14 F 2" xfId="3414"/>
    <cellStyle name="14 FK" xfId="3415"/>
    <cellStyle name="14 FK 2" xfId="3416"/>
    <cellStyle name="14 FU" xfId="3417"/>
    <cellStyle name="14 FU 2" xfId="3418"/>
    <cellStyle name="16 F" xfId="3419"/>
    <cellStyle name="16 F 2" xfId="3420"/>
    <cellStyle name="16 FK" xfId="3421"/>
    <cellStyle name="16 FK 2" xfId="3422"/>
    <cellStyle name="16 FU" xfId="3423"/>
    <cellStyle name="16 FU 2" xfId="3424"/>
    <cellStyle name="18 F" xfId="3425"/>
    <cellStyle name="18 F 2" xfId="3426"/>
    <cellStyle name="18 FK" xfId="3427"/>
    <cellStyle name="18 FK 2" xfId="3428"/>
    <cellStyle name="18 FU" xfId="3429"/>
    <cellStyle name="18 FU 2" xfId="3430"/>
    <cellStyle name="19xxA" xfId="3431"/>
    <cellStyle name="19xxE" xfId="3432"/>
    <cellStyle name="19xxF" xfId="3433"/>
    <cellStyle name="1decimal" xfId="3434"/>
    <cellStyle name="1Normal" xfId="3435"/>
    <cellStyle name="1Normal 2" xfId="3436"/>
    <cellStyle name="1Normal 2 2" xfId="3437"/>
    <cellStyle name="1Normal 2 2 2" xfId="3438"/>
    <cellStyle name="1Normal 2 2 3" xfId="3439"/>
    <cellStyle name="1Normal 3" xfId="3440"/>
    <cellStyle name="1Normal 3 2" xfId="3441"/>
    <cellStyle name="1Normal 3_ФОТ" xfId="3442"/>
    <cellStyle name="1Normal 4" xfId="3443"/>
    <cellStyle name="1Normal_Сравнение АГРО Маржа 2012" xfId="3444"/>
    <cellStyle name="1Outputbox1" xfId="3445"/>
    <cellStyle name="1Outputbox1 2" xfId="3446"/>
    <cellStyle name="1Outputbox1 3" xfId="3447"/>
    <cellStyle name="1Outputbox1 4" xfId="3448"/>
    <cellStyle name="1Outputbox1 5" xfId="3449"/>
    <cellStyle name="1Outputbox2" xfId="3450"/>
    <cellStyle name="1Outputbox2 2" xfId="3451"/>
    <cellStyle name="1Outputheader" xfId="3452"/>
    <cellStyle name="1Outputheader 2" xfId="3453"/>
    <cellStyle name="1Outputheader 3" xfId="3454"/>
    <cellStyle name="1Outputheader 4" xfId="3455"/>
    <cellStyle name="1Outputheader 5" xfId="3456"/>
    <cellStyle name="1Outputheader2" xfId="3457"/>
    <cellStyle name="1Outputheader2 2" xfId="3458"/>
    <cellStyle name="1Outputsubtitle" xfId="3459"/>
    <cellStyle name="1Outputsubtitle 2" xfId="3460"/>
    <cellStyle name="1Outputtitle" xfId="3461"/>
    <cellStyle name="1Outputtitle 2" xfId="3462"/>
    <cellStyle name="1Profileheader" xfId="3463"/>
    <cellStyle name="1Profileheader 2" xfId="3464"/>
    <cellStyle name="1Profilelowerbox" xfId="3465"/>
    <cellStyle name="1Profilelowerbox 2" xfId="3466"/>
    <cellStyle name="1Profilesubheader" xfId="3467"/>
    <cellStyle name="1Profilesubheader 2" xfId="3468"/>
    <cellStyle name="1Profiletitle" xfId="3469"/>
    <cellStyle name="1Profiletitle 2" xfId="3470"/>
    <cellStyle name="1Profiletopbox" xfId="3471"/>
    <cellStyle name="1Profiletopbox 2" xfId="3472"/>
    <cellStyle name="2 decimal" xfId="3474"/>
    <cellStyle name="2 Decimal Places" xfId="3475"/>
    <cellStyle name="2.Ccdiue" xfId="3476"/>
    <cellStyle name="2.Ccdiue 2" xfId="3477"/>
    <cellStyle name="2_DTV Network model 311208 AD SENSITIVITY 24 02 09" xfId="3478"/>
    <cellStyle name="2_DTV Network model 311208 AD SENSITIVITY 24 02 09 2" xfId="3479"/>
    <cellStyle name="2_DTV Network model 311208 AD SENSITIVITY 24 02 09 3" xfId="3480"/>
    <cellStyle name="20% - Accent1" xfId="3481"/>
    <cellStyle name="20% - Accent1 10" xfId="3482"/>
    <cellStyle name="20% - Accent1 11" xfId="3483"/>
    <cellStyle name="20% - Accent1 12" xfId="3484"/>
    <cellStyle name="20% - Accent1 2" xfId="3485"/>
    <cellStyle name="20% - Accent1 2 2" xfId="3486"/>
    <cellStyle name="20% - Accent1 2 3" xfId="3487"/>
    <cellStyle name="20% - Accent1 3" xfId="3488"/>
    <cellStyle name="20% - Accent1 4" xfId="3489"/>
    <cellStyle name="20% - Accent1 5" xfId="3490"/>
    <cellStyle name="20% - Accent1 6" xfId="3491"/>
    <cellStyle name="20% - Accent1 7" xfId="3492"/>
    <cellStyle name="20% - Accent1 8" xfId="3493"/>
    <cellStyle name="20% - Accent1 9" xfId="3494"/>
    <cellStyle name="20% - Accent1_20101101 BBG Co Snapshot XCS3" xfId="3495"/>
    <cellStyle name="20% - Accent2" xfId="3496"/>
    <cellStyle name="20% - Accent2 10" xfId="3497"/>
    <cellStyle name="20% - Accent2 11" xfId="3498"/>
    <cellStyle name="20% - Accent2 12" xfId="3499"/>
    <cellStyle name="20% - Accent2 2" xfId="3500"/>
    <cellStyle name="20% - Accent2 2 2" xfId="3501"/>
    <cellStyle name="20% - Accent2 2 3" xfId="3502"/>
    <cellStyle name="20% - Accent2 3" xfId="3503"/>
    <cellStyle name="20% - Accent2 4" xfId="3504"/>
    <cellStyle name="20% - Accent2 5" xfId="3505"/>
    <cellStyle name="20% - Accent2 6" xfId="3506"/>
    <cellStyle name="20% - Accent2 7" xfId="3507"/>
    <cellStyle name="20% - Accent2 8" xfId="3508"/>
    <cellStyle name="20% - Accent2 9" xfId="3509"/>
    <cellStyle name="20% - Accent2_20101101 BBG Co Snapshot XCS3" xfId="3510"/>
    <cellStyle name="20% - Accent3" xfId="3511"/>
    <cellStyle name="20% - Accent3 10" xfId="3512"/>
    <cellStyle name="20% - Accent3 11" xfId="3513"/>
    <cellStyle name="20% - Accent3 12" xfId="3514"/>
    <cellStyle name="20% - Accent3 2" xfId="3515"/>
    <cellStyle name="20% - Accent3 2 2" xfId="3516"/>
    <cellStyle name="20% - Accent3 2 3" xfId="3517"/>
    <cellStyle name="20% - Accent3 3" xfId="3518"/>
    <cellStyle name="20% - Accent3 4" xfId="3519"/>
    <cellStyle name="20% - Accent3 5" xfId="3520"/>
    <cellStyle name="20% - Accent3 6" xfId="3521"/>
    <cellStyle name="20% - Accent3 7" xfId="3522"/>
    <cellStyle name="20% - Accent3 8" xfId="3523"/>
    <cellStyle name="20% - Accent3 9" xfId="3524"/>
    <cellStyle name="20% - Accent3_20101101 BBG Co Snapshot XCS3" xfId="3525"/>
    <cellStyle name="20% - Accent4" xfId="3526"/>
    <cellStyle name="20% - Accent4 10" xfId="3527"/>
    <cellStyle name="20% - Accent4 11" xfId="3528"/>
    <cellStyle name="20% - Accent4 12" xfId="3529"/>
    <cellStyle name="20% - Accent4 2" xfId="3530"/>
    <cellStyle name="20% - Accent4 2 2" xfId="3531"/>
    <cellStyle name="20% - Accent4 2 3" xfId="3532"/>
    <cellStyle name="20% - Accent4 3" xfId="3533"/>
    <cellStyle name="20% - Accent4 4" xfId="3534"/>
    <cellStyle name="20% - Accent4 5" xfId="3535"/>
    <cellStyle name="20% - Accent4 6" xfId="3536"/>
    <cellStyle name="20% - Accent4 7" xfId="3537"/>
    <cellStyle name="20% - Accent4 8" xfId="3538"/>
    <cellStyle name="20% - Accent4 9" xfId="3539"/>
    <cellStyle name="20% - Accent4_20101101 BBG Co Snapshot XCS3" xfId="3540"/>
    <cellStyle name="20% - Accent5" xfId="3541"/>
    <cellStyle name="20% - Accent5 10" xfId="3542"/>
    <cellStyle name="20% - Accent5 11" xfId="3543"/>
    <cellStyle name="20% - Accent5 12" xfId="3544"/>
    <cellStyle name="20% - Accent5 2" xfId="3545"/>
    <cellStyle name="20% - Accent5 2 2" xfId="3546"/>
    <cellStyle name="20% - Accent5 2 3" xfId="3547"/>
    <cellStyle name="20% - Accent5 3" xfId="3548"/>
    <cellStyle name="20% - Accent5 4" xfId="3549"/>
    <cellStyle name="20% - Accent5 5" xfId="3550"/>
    <cellStyle name="20% - Accent5 6" xfId="3551"/>
    <cellStyle name="20% - Accent5 7" xfId="3552"/>
    <cellStyle name="20% - Accent5 8" xfId="3553"/>
    <cellStyle name="20% - Accent5 9" xfId="3554"/>
    <cellStyle name="20% - Accent5_20101101 BBG Co Snapshot XCS3" xfId="3555"/>
    <cellStyle name="20% - Accent6" xfId="3556"/>
    <cellStyle name="20% - Accent6 10" xfId="3557"/>
    <cellStyle name="20% - Accent6 11" xfId="3558"/>
    <cellStyle name="20% - Accent6 12" xfId="3559"/>
    <cellStyle name="20% - Accent6 2" xfId="3560"/>
    <cellStyle name="20% - Accent6 2 2" xfId="3561"/>
    <cellStyle name="20% - Accent6 2 3" xfId="3562"/>
    <cellStyle name="20% - Accent6 3" xfId="3563"/>
    <cellStyle name="20% - Accent6 4" xfId="3564"/>
    <cellStyle name="20% - Accent6 5" xfId="3565"/>
    <cellStyle name="20% - Accent6 6" xfId="3566"/>
    <cellStyle name="20% - Accent6 7" xfId="3567"/>
    <cellStyle name="20% - Accent6 8" xfId="3568"/>
    <cellStyle name="20% - Accent6 9" xfId="3569"/>
    <cellStyle name="20% - Accent6_20101101 BBG Co Snapshot XCS3" xfId="3570"/>
    <cellStyle name="20% — Акцент1" xfId="3571"/>
    <cellStyle name="20% - Акцент1 2" xfId="3572"/>
    <cellStyle name="20% - Акцент1 2 2" xfId="3573"/>
    <cellStyle name="20% - Акцент1 2 2 2" xfId="3574"/>
    <cellStyle name="20% - Акцент1 2 2 3" xfId="3575"/>
    <cellStyle name="20% - Акцент1 2 3" xfId="3576"/>
    <cellStyle name="20% - Акцент1 3" xfId="3577"/>
    <cellStyle name="20% - Акцент1 3 2" xfId="3578"/>
    <cellStyle name="20% - Акцент1 3 2 2" xfId="3579"/>
    <cellStyle name="20% - Акцент1 3 3" xfId="3580"/>
    <cellStyle name="20% - Акцент1 4" xfId="3581"/>
    <cellStyle name="20% — Акцент2" xfId="3582"/>
    <cellStyle name="20% - Акцент2 2" xfId="3583"/>
    <cellStyle name="20% - Акцент2 2 2" xfId="3584"/>
    <cellStyle name="20% - Акцент2 2 2 2" xfId="3585"/>
    <cellStyle name="20% - Акцент2 2 2 3" xfId="3586"/>
    <cellStyle name="20% - Акцент2 2 3" xfId="3587"/>
    <cellStyle name="20% - Акцент2 3" xfId="3588"/>
    <cellStyle name="20% - Акцент2 3 2" xfId="3589"/>
    <cellStyle name="20% - Акцент2 3 2 2" xfId="3590"/>
    <cellStyle name="20% - Акцент2 3 3" xfId="3591"/>
    <cellStyle name="20% - Акцент2 4" xfId="3592"/>
    <cellStyle name="20% — Акцент3" xfId="3593"/>
    <cellStyle name="20% - Акцент3 2" xfId="3594"/>
    <cellStyle name="20% - Акцент3 2 2" xfId="3595"/>
    <cellStyle name="20% - Акцент3 2 2 2" xfId="3596"/>
    <cellStyle name="20% - Акцент3 2 2 3" xfId="3597"/>
    <cellStyle name="20% - Акцент3 2 3" xfId="3598"/>
    <cellStyle name="20% - Акцент3 3" xfId="3599"/>
    <cellStyle name="20% - Акцент3 3 2" xfId="3600"/>
    <cellStyle name="20% - Акцент3 3 2 2" xfId="3601"/>
    <cellStyle name="20% - Акцент3 3 3" xfId="3602"/>
    <cellStyle name="20% - Акцент3 4" xfId="3603"/>
    <cellStyle name="20% — Акцент4" xfId="3604"/>
    <cellStyle name="20% - Акцент4 2" xfId="3605"/>
    <cellStyle name="20% - Акцент4 2 2" xfId="3606"/>
    <cellStyle name="20% - Акцент4 2 2 2" xfId="3607"/>
    <cellStyle name="20% - Акцент4 2 2 3" xfId="3608"/>
    <cellStyle name="20% - Акцент4 2 3" xfId="3609"/>
    <cellStyle name="20% - Акцент4 3" xfId="3610"/>
    <cellStyle name="20% - Акцент4 3 2" xfId="3611"/>
    <cellStyle name="20% - Акцент4 3 2 2" xfId="3612"/>
    <cellStyle name="20% - Акцент4 3 3" xfId="3613"/>
    <cellStyle name="20% - Акцент4 4" xfId="3614"/>
    <cellStyle name="20% — Акцент5" xfId="3615"/>
    <cellStyle name="20% - Акцент5 2" xfId="3616"/>
    <cellStyle name="20% - Акцент5 2 2" xfId="3617"/>
    <cellStyle name="20% - Акцент5 2 2 2" xfId="3618"/>
    <cellStyle name="20% - Акцент5 2 2 3" xfId="3619"/>
    <cellStyle name="20% - Акцент5 2 3" xfId="3620"/>
    <cellStyle name="20% - Акцент5 3" xfId="3621"/>
    <cellStyle name="20% - Акцент5 3 2" xfId="3622"/>
    <cellStyle name="20% - Акцент5 3 2 2" xfId="3623"/>
    <cellStyle name="20% - Акцент5 3 3" xfId="3624"/>
    <cellStyle name="20% - Акцент5 4" xfId="3625"/>
    <cellStyle name="20% — Акцент6" xfId="3626"/>
    <cellStyle name="20% - Акцент6 2" xfId="3627"/>
    <cellStyle name="20% - Акцент6 2 2" xfId="3628"/>
    <cellStyle name="20% - Акцент6 2 2 2" xfId="3629"/>
    <cellStyle name="20% - Акцент6 2 2 3" xfId="3630"/>
    <cellStyle name="20% - Акцент6 2 3" xfId="3631"/>
    <cellStyle name="20% - Акцент6 3" xfId="3632"/>
    <cellStyle name="20% - Акцент6 3 2" xfId="3633"/>
    <cellStyle name="20% - Акцент6 3 2 2" xfId="3634"/>
    <cellStyle name="20% - Акцент6 3 3" xfId="3635"/>
    <cellStyle name="20% - Акцент6 4" xfId="3636"/>
    <cellStyle name="20% - アクセント 1" xfId="3637"/>
    <cellStyle name="20% - アクセント 2" xfId="3638"/>
    <cellStyle name="20% - アクセント 3" xfId="3639"/>
    <cellStyle name="20% - アクセント 4" xfId="3640"/>
    <cellStyle name="20% - アクセント 5" xfId="3641"/>
    <cellStyle name="20% - アクセント 6" xfId="3642"/>
    <cellStyle name="200" xfId="3643"/>
    <cellStyle name="24 F" xfId="3644"/>
    <cellStyle name="24 F 2" xfId="3645"/>
    <cellStyle name="24 FK" xfId="3646"/>
    <cellStyle name="24 FK 2" xfId="3647"/>
    <cellStyle name="24 FU" xfId="3648"/>
    <cellStyle name="24 FU 2" xfId="3649"/>
    <cellStyle name="2decimal" xfId="3650"/>
    <cellStyle name="2Normal" xfId="3651"/>
    <cellStyle name="2Normal 2" xfId="3652"/>
    <cellStyle name="2Normal_Сравнение АГРО Маржа 2012" xfId="3653"/>
    <cellStyle name="2x" xfId="3654"/>
    <cellStyle name="2x 2" xfId="3655"/>
    <cellStyle name="2x 2 2" xfId="3656"/>
    <cellStyle name="2x 3" xfId="3657"/>
    <cellStyle name="2x 3 2" xfId="3658"/>
    <cellStyle name="2x 4" xfId="3659"/>
    <cellStyle name="3" xfId="3660"/>
    <cellStyle name="3 2" xfId="3661"/>
    <cellStyle name="3 3" xfId="3662"/>
    <cellStyle name="3 decimales" xfId="3663"/>
    <cellStyle name="3_Discount rate NZ" xfId="3664"/>
    <cellStyle name="3_Discount rate NZ 2" xfId="3665"/>
    <cellStyle name="3_Discount rate NZ 3" xfId="3666"/>
    <cellStyle name="3_DTV Network model 311208 AD SENSITIVITY 24 02 09" xfId="3667"/>
    <cellStyle name="3_DTV Network model 311208 AD SENSITIVITY 24 02 09 2" xfId="3668"/>
    <cellStyle name="3_DTV Network model 311208 AD SENSITIVITY 24 02 09 3" xfId="3669"/>
    <cellStyle name="3_SI_MA_NL" xfId="3670"/>
    <cellStyle name="3_SI_MA_NL 2" xfId="3671"/>
    <cellStyle name="3_SI_MA_NL 3" xfId="3672"/>
    <cellStyle name="3_WACC NK alliance exploration and production v3" xfId="3673"/>
    <cellStyle name="3_WACC NK alliance exploration and production v3 2" xfId="3674"/>
    <cellStyle name="3_WACC NK alliance exploration and production v3 3" xfId="3675"/>
    <cellStyle name="³¬¼¶Á´½Ó" xfId="3676"/>
    <cellStyle name="³¬¼¶Á´½Ó 2" xfId="3677"/>
    <cellStyle name="3090110" xfId="3678"/>
    <cellStyle name="3090110 2" xfId="3679"/>
    <cellStyle name="3090110 3" xfId="3680"/>
    <cellStyle name="3f1?assumption(tj)t" xfId="3681"/>
    <cellStyle name="3f1?assumption(tj)t 2" xfId="3682"/>
    <cellStyle name="3f1?p&amp;l(tj)i" xfId="3683"/>
    <cellStyle name="3f1?p&amp;l(tj)i 2" xfId="3684"/>
    <cellStyle name="4" xfId="3685"/>
    <cellStyle name="4 2" xfId="3686"/>
    <cellStyle name="4 3" xfId="3687"/>
    <cellStyle name="4_BODY1" xfId="3688"/>
    <cellStyle name="4_BODY10" xfId="3689"/>
    <cellStyle name="40% - Accent1" xfId="3690"/>
    <cellStyle name="40% - Accent1 10" xfId="3691"/>
    <cellStyle name="40% - Accent1 11" xfId="3692"/>
    <cellStyle name="40% - Accent1 12" xfId="3693"/>
    <cellStyle name="40% - Accent1 2" xfId="3694"/>
    <cellStyle name="40% - Accent1 3" xfId="3695"/>
    <cellStyle name="40% - Accent1 4" xfId="3696"/>
    <cellStyle name="40% - Accent1 5" xfId="3697"/>
    <cellStyle name="40% - Accent1 6" xfId="3698"/>
    <cellStyle name="40% - Accent1 7" xfId="3699"/>
    <cellStyle name="40% - Accent1 8" xfId="3700"/>
    <cellStyle name="40% - Accent1 9" xfId="3701"/>
    <cellStyle name="40% - Accent1_20101101 BBG Co Snapshot XCS3" xfId="3702"/>
    <cellStyle name="40% - Accent2" xfId="3703"/>
    <cellStyle name="40% - Accent2 10" xfId="3704"/>
    <cellStyle name="40% - Accent2 11" xfId="3705"/>
    <cellStyle name="40% - Accent2 12" xfId="3706"/>
    <cellStyle name="40% - Accent2 2" xfId="3707"/>
    <cellStyle name="40% - Accent2 3" xfId="3708"/>
    <cellStyle name="40% - Accent2 4" xfId="3709"/>
    <cellStyle name="40% - Accent2 5" xfId="3710"/>
    <cellStyle name="40% - Accent2 6" xfId="3711"/>
    <cellStyle name="40% - Accent2 7" xfId="3712"/>
    <cellStyle name="40% - Accent2 8" xfId="3713"/>
    <cellStyle name="40% - Accent2 9" xfId="3714"/>
    <cellStyle name="40% - Accent2_20101101 BBG Co Snapshot XCS3" xfId="3715"/>
    <cellStyle name="40% - Accent3" xfId="3716"/>
    <cellStyle name="40% - Accent3 10" xfId="3717"/>
    <cellStyle name="40% - Accent3 11" xfId="3718"/>
    <cellStyle name="40% - Accent3 12" xfId="3719"/>
    <cellStyle name="40% - Accent3 2" xfId="3720"/>
    <cellStyle name="40% - Accent3 3" xfId="3721"/>
    <cellStyle name="40% - Accent3 4" xfId="3722"/>
    <cellStyle name="40% - Accent3 5" xfId="3723"/>
    <cellStyle name="40% - Accent3 6" xfId="3724"/>
    <cellStyle name="40% - Accent3 7" xfId="3725"/>
    <cellStyle name="40% - Accent3 8" xfId="3726"/>
    <cellStyle name="40% - Accent3 9" xfId="3727"/>
    <cellStyle name="40% - Accent3_20101101 BBG Co Snapshot XCS3" xfId="3728"/>
    <cellStyle name="40% - Accent4" xfId="3729"/>
    <cellStyle name="40% - Accent4 10" xfId="3730"/>
    <cellStyle name="40% - Accent4 11" xfId="3731"/>
    <cellStyle name="40% - Accent4 12" xfId="3732"/>
    <cellStyle name="40% - Accent4 2" xfId="3733"/>
    <cellStyle name="40% - Accent4 3" xfId="3734"/>
    <cellStyle name="40% - Accent4 4" xfId="3735"/>
    <cellStyle name="40% - Accent4 5" xfId="3736"/>
    <cellStyle name="40% - Accent4 6" xfId="3737"/>
    <cellStyle name="40% - Accent4 7" xfId="3738"/>
    <cellStyle name="40% - Accent4 8" xfId="3739"/>
    <cellStyle name="40% - Accent4 9" xfId="3740"/>
    <cellStyle name="40% - Accent4_20101101 BBG Co Snapshot XCS3" xfId="3741"/>
    <cellStyle name="40% - Accent5" xfId="3742"/>
    <cellStyle name="40% - Accent5 10" xfId="3743"/>
    <cellStyle name="40% - Accent5 11" xfId="3744"/>
    <cellStyle name="40% - Accent5 12" xfId="3745"/>
    <cellStyle name="40% - Accent5 2" xfId="3746"/>
    <cellStyle name="40% - Accent5 3" xfId="3747"/>
    <cellStyle name="40% - Accent5 4" xfId="3748"/>
    <cellStyle name="40% - Accent5 5" xfId="3749"/>
    <cellStyle name="40% - Accent5 6" xfId="3750"/>
    <cellStyle name="40% - Accent5 7" xfId="3751"/>
    <cellStyle name="40% - Accent5 8" xfId="3752"/>
    <cellStyle name="40% - Accent5 9" xfId="3753"/>
    <cellStyle name="40% - Accent5_20101101 BBG Co Snapshot XCS3" xfId="3754"/>
    <cellStyle name="40% - Accent6" xfId="3755"/>
    <cellStyle name="40% - Accent6 10" xfId="3756"/>
    <cellStyle name="40% - Accent6 11" xfId="3757"/>
    <cellStyle name="40% - Accent6 12" xfId="3758"/>
    <cellStyle name="40% - Accent6 2" xfId="3759"/>
    <cellStyle name="40% - Accent6 3" xfId="3760"/>
    <cellStyle name="40% - Accent6 4" xfId="3761"/>
    <cellStyle name="40% - Accent6 5" xfId="3762"/>
    <cellStyle name="40% - Accent6 6" xfId="3763"/>
    <cellStyle name="40% - Accent6 7" xfId="3764"/>
    <cellStyle name="40% - Accent6 8" xfId="3765"/>
    <cellStyle name="40% - Accent6 9" xfId="3766"/>
    <cellStyle name="40% - Accent6_20101101 BBG Co Snapshot XCS3" xfId="3767"/>
    <cellStyle name="40% — Акцент1" xfId="3768"/>
    <cellStyle name="40% - Акцент1 2" xfId="3769"/>
    <cellStyle name="40% - Акцент1 2 2" xfId="5453"/>
    <cellStyle name="40% - Акцент1 2 2 2" xfId="5454"/>
    <cellStyle name="40% - Акцент1 2 2 3" xfId="5455"/>
    <cellStyle name="40% - Акцент1 2 3" xfId="5456"/>
    <cellStyle name="40% - Акцент1 3" xfId="5457"/>
    <cellStyle name="40% - Акцент1 3 2" xfId="5458"/>
    <cellStyle name="40% - Акцент1 3 2 2" xfId="5459"/>
    <cellStyle name="40% - Акцент1 3 3" xfId="5460"/>
    <cellStyle name="40% - Акцент1 4" xfId="5461"/>
    <cellStyle name="40% — Акцент2" xfId="3770"/>
    <cellStyle name="40% - Акцент2 2" xfId="3771"/>
    <cellStyle name="40% - Акцент2 2 2" xfId="5462"/>
    <cellStyle name="40% - Акцент2 2 2 2" xfId="5463"/>
    <cellStyle name="40% - Акцент2 2 2 3" xfId="5464"/>
    <cellStyle name="40% - Акцент2 2 3" xfId="5465"/>
    <cellStyle name="40% - Акцент2 3" xfId="5466"/>
    <cellStyle name="40% - Акцент2 3 2" xfId="5467"/>
    <cellStyle name="40% - Акцент2 3 2 2" xfId="5468"/>
    <cellStyle name="40% - Акцент2 3 3" xfId="5469"/>
    <cellStyle name="40% - Акцент2 4" xfId="5470"/>
    <cellStyle name="40% — Акцент3" xfId="3772"/>
    <cellStyle name="40% - Акцент3 2" xfId="3773"/>
    <cellStyle name="40% - Акцент3 2 2" xfId="5471"/>
    <cellStyle name="40% - Акцент3 2 2 2" xfId="5472"/>
    <cellStyle name="40% - Акцент3 2 2 3" xfId="5473"/>
    <cellStyle name="40% - Акцент3 2 3" xfId="5474"/>
    <cellStyle name="40% - Акцент3 3" xfId="5475"/>
    <cellStyle name="40% - Акцент3 3 2" xfId="5476"/>
    <cellStyle name="40% - Акцент3 3 2 2" xfId="5477"/>
    <cellStyle name="40% - Акцент3 3 3" xfId="5478"/>
    <cellStyle name="40% - Акцент3 4" xfId="5479"/>
    <cellStyle name="40% — Акцент4" xfId="3774"/>
    <cellStyle name="40% - Акцент4 2" xfId="3775"/>
    <cellStyle name="40% - Акцент4 2 2" xfId="5480"/>
    <cellStyle name="40% - Акцент4 2 2 2" xfId="5481"/>
    <cellStyle name="40% - Акцент4 2 2 3" xfId="5482"/>
    <cellStyle name="40% - Акцент4 2 3" xfId="5483"/>
    <cellStyle name="40% - Акцент4 3" xfId="5484"/>
    <cellStyle name="40% - Акцент4 3 2" xfId="5485"/>
    <cellStyle name="40% - Акцент4 3 2 2" xfId="5486"/>
    <cellStyle name="40% - Акцент4 3 3" xfId="5487"/>
    <cellStyle name="40% - Акцент4 4" xfId="5488"/>
    <cellStyle name="40% — Акцент5" xfId="3776"/>
    <cellStyle name="40% - Акцент5 2" xfId="3777"/>
    <cellStyle name="40% - Акцент5 2 2" xfId="5489"/>
    <cellStyle name="40% - Акцент5 2 2 2" xfId="5490"/>
    <cellStyle name="40% - Акцент5 2 2 3" xfId="5491"/>
    <cellStyle name="40% - Акцент5 2 3" xfId="5492"/>
    <cellStyle name="40% - Акцент5 3" xfId="5493"/>
    <cellStyle name="40% - Акцент5 3 2" xfId="5494"/>
    <cellStyle name="40% - Акцент5 3 2 2" xfId="5495"/>
    <cellStyle name="40% - Акцент5 3 3" xfId="5496"/>
    <cellStyle name="40% - Акцент5 4" xfId="5497"/>
    <cellStyle name="40% — Акцент6" xfId="3778"/>
    <cellStyle name="40% - Акцент6 2" xfId="3779"/>
    <cellStyle name="40% - Акцент6 2 2" xfId="5498"/>
    <cellStyle name="40% - Акцент6 2 2 2" xfId="5499"/>
    <cellStyle name="40% - Акцент6 2 2 3" xfId="5500"/>
    <cellStyle name="40% - Акцент6 2 3" xfId="5501"/>
    <cellStyle name="40% - Акцент6 3" xfId="5502"/>
    <cellStyle name="40% - Акцент6 3 2" xfId="5503"/>
    <cellStyle name="40% - Акцент6 3 2 2" xfId="5504"/>
    <cellStyle name="40% - Акцент6 3 3" xfId="5505"/>
    <cellStyle name="40% - Акцент6 4" xfId="5506"/>
    <cellStyle name="40% - アクセント 1" xfId="3780"/>
    <cellStyle name="40% - アクセント 2" xfId="3781"/>
    <cellStyle name="40% - アクセント 3" xfId="3782"/>
    <cellStyle name="40% - アクセント 4" xfId="3783"/>
    <cellStyle name="40% - アクセント 5" xfId="3784"/>
    <cellStyle name="40% - アクセント 6" xfId="3785"/>
    <cellStyle name="50%" xfId="3786"/>
    <cellStyle name="50% 2" xfId="3787"/>
    <cellStyle name="50% 3" xfId="3788"/>
    <cellStyle name="60% - Accent1" xfId="3789"/>
    <cellStyle name="60% - Accent1 10" xfId="3790"/>
    <cellStyle name="60% - Accent1 11" xfId="3791"/>
    <cellStyle name="60% - Accent1 12" xfId="3792"/>
    <cellStyle name="60% - Accent1 2" xfId="3793"/>
    <cellStyle name="60% - Accent1 3" xfId="3794"/>
    <cellStyle name="60% - Accent1 4" xfId="3795"/>
    <cellStyle name="60% - Accent1 5" xfId="3796"/>
    <cellStyle name="60% - Accent1 6" xfId="3797"/>
    <cellStyle name="60% - Accent1 7" xfId="3798"/>
    <cellStyle name="60% - Accent1 8" xfId="3799"/>
    <cellStyle name="60% - Accent1 9" xfId="3800"/>
    <cellStyle name="60% - Accent1_20101101 BBG Co Snapshot XCS3" xfId="3801"/>
    <cellStyle name="60% - Accent2" xfId="3802"/>
    <cellStyle name="60% - Accent2 10" xfId="3803"/>
    <cellStyle name="60% - Accent2 11" xfId="3804"/>
    <cellStyle name="60% - Accent2 12" xfId="3805"/>
    <cellStyle name="60% - Accent2 2" xfId="3806"/>
    <cellStyle name="60% - Accent2 3" xfId="3807"/>
    <cellStyle name="60% - Accent2 4" xfId="3808"/>
    <cellStyle name="60% - Accent2 5" xfId="3809"/>
    <cellStyle name="60% - Accent2 6" xfId="3810"/>
    <cellStyle name="60% - Accent2 7" xfId="3811"/>
    <cellStyle name="60% - Accent2 8" xfId="3812"/>
    <cellStyle name="60% - Accent2 9" xfId="3813"/>
    <cellStyle name="60% - Accent2_20101101 BBG Co Snapshot XCS3" xfId="3814"/>
    <cellStyle name="60% - Accent3" xfId="3815"/>
    <cellStyle name="60% - Accent3 10" xfId="3816"/>
    <cellStyle name="60% - Accent3 11" xfId="3817"/>
    <cellStyle name="60% - Accent3 12" xfId="3818"/>
    <cellStyle name="60% - Accent3 2" xfId="3819"/>
    <cellStyle name="60% - Accent3 3" xfId="3820"/>
    <cellStyle name="60% - Accent3 4" xfId="3821"/>
    <cellStyle name="60% - Accent3 5" xfId="3822"/>
    <cellStyle name="60% - Accent3 6" xfId="3823"/>
    <cellStyle name="60% - Accent3 7" xfId="3824"/>
    <cellStyle name="60% - Accent3 8" xfId="3825"/>
    <cellStyle name="60% - Accent3 9" xfId="3826"/>
    <cellStyle name="60% - Accent3_20101101 BBG Co Snapshot XCS3" xfId="3827"/>
    <cellStyle name="60% - Accent4" xfId="3828"/>
    <cellStyle name="60% - Accent4 10" xfId="3829"/>
    <cellStyle name="60% - Accent4 11" xfId="3830"/>
    <cellStyle name="60% - Accent4 12" xfId="3831"/>
    <cellStyle name="60% - Accent4 2" xfId="3832"/>
    <cellStyle name="60% - Accent4 3" xfId="3833"/>
    <cellStyle name="60% - Accent4 4" xfId="3834"/>
    <cellStyle name="60% - Accent4 5" xfId="3835"/>
    <cellStyle name="60% - Accent4 6" xfId="3836"/>
    <cellStyle name="60% - Accent4 7" xfId="3837"/>
    <cellStyle name="60% - Accent4 8" xfId="3838"/>
    <cellStyle name="60% - Accent4 9" xfId="3839"/>
    <cellStyle name="60% - Accent4_20101101 BBG Co Snapshot XCS3" xfId="3840"/>
    <cellStyle name="60% - Accent5" xfId="3841"/>
    <cellStyle name="60% - Accent5 10" xfId="3842"/>
    <cellStyle name="60% - Accent5 11" xfId="3843"/>
    <cellStyle name="60% - Accent5 12" xfId="3844"/>
    <cellStyle name="60% - Accent5 2" xfId="3845"/>
    <cellStyle name="60% - Accent5 3" xfId="3846"/>
    <cellStyle name="60% - Accent5 4" xfId="3847"/>
    <cellStyle name="60% - Accent5 5" xfId="3848"/>
    <cellStyle name="60% - Accent5 6" xfId="3849"/>
    <cellStyle name="60% - Accent5 7" xfId="3850"/>
    <cellStyle name="60% - Accent5 8" xfId="3851"/>
    <cellStyle name="60% - Accent5 9" xfId="3852"/>
    <cellStyle name="60% - Accent5_20101101 BBG Co Snapshot XCS3" xfId="3853"/>
    <cellStyle name="60% - Accent6" xfId="3854"/>
    <cellStyle name="60% - Accent6 10" xfId="3855"/>
    <cellStyle name="60% - Accent6 11" xfId="3856"/>
    <cellStyle name="60% - Accent6 12" xfId="3857"/>
    <cellStyle name="60% - Accent6 2" xfId="3858"/>
    <cellStyle name="60% - Accent6 3" xfId="3859"/>
    <cellStyle name="60% - Accent6 4" xfId="3860"/>
    <cellStyle name="60% - Accent6 5" xfId="3861"/>
    <cellStyle name="60% - Accent6 6" xfId="3862"/>
    <cellStyle name="60% - Accent6 7" xfId="3863"/>
    <cellStyle name="60% - Accent6 8" xfId="3864"/>
    <cellStyle name="60% - Accent6 9" xfId="3865"/>
    <cellStyle name="60% - Accent6_20101101 BBG Co Snapshot XCS3" xfId="3866"/>
    <cellStyle name="60% — Акцент1" xfId="3867"/>
    <cellStyle name="60% - Акцент1 2" xfId="3868"/>
    <cellStyle name="60% - Акцент1 2 2" xfId="5507"/>
    <cellStyle name="60% - Акцент1 2 2 2" xfId="5508"/>
    <cellStyle name="60% - Акцент1 2 2 3" xfId="5509"/>
    <cellStyle name="60% - Акцент1 3" xfId="5510"/>
    <cellStyle name="60% - Акцент1 3 2" xfId="5511"/>
    <cellStyle name="60% - Акцент1 4" xfId="5512"/>
    <cellStyle name="60% — Акцент2" xfId="3869"/>
    <cellStyle name="60% - Акцент2 2" xfId="3870"/>
    <cellStyle name="60% - Акцент2 2 2" xfId="5513"/>
    <cellStyle name="60% - Акцент2 2 2 2" xfId="5514"/>
    <cellStyle name="60% - Акцент2 2 2 3" xfId="5515"/>
    <cellStyle name="60% - Акцент2 3" xfId="5516"/>
    <cellStyle name="60% - Акцент2 3 2" xfId="5517"/>
    <cellStyle name="60% - Акцент2 4" xfId="5518"/>
    <cellStyle name="60% — Акцент3" xfId="3871"/>
    <cellStyle name="60% - Акцент3 2" xfId="3872"/>
    <cellStyle name="60% - Акцент3 2 2" xfId="5519"/>
    <cellStyle name="60% - Акцент3 2 2 2" xfId="5520"/>
    <cellStyle name="60% - Акцент3 2 2 3" xfId="5521"/>
    <cellStyle name="60% - Акцент3 3" xfId="5522"/>
    <cellStyle name="60% - Акцент3 3 2" xfId="5523"/>
    <cellStyle name="60% - Акцент3 4" xfId="5524"/>
    <cellStyle name="60% — Акцент4" xfId="3873"/>
    <cellStyle name="60% - Акцент4 2" xfId="3874"/>
    <cellStyle name="60% - Акцент4 2 2" xfId="5525"/>
    <cellStyle name="60% - Акцент4 2 2 2" xfId="5526"/>
    <cellStyle name="60% - Акцент4 2 2 3" xfId="5527"/>
    <cellStyle name="60% - Акцент4 3" xfId="5528"/>
    <cellStyle name="60% - Акцент4 3 2" xfId="5529"/>
    <cellStyle name="60% - Акцент4 4" xfId="5530"/>
    <cellStyle name="60% — Акцент5" xfId="3875"/>
    <cellStyle name="60% - Акцент5 2" xfId="3876"/>
    <cellStyle name="60% - Акцент5 2 2" xfId="5531"/>
    <cellStyle name="60% - Акцент5 2 2 2" xfId="5532"/>
    <cellStyle name="60% - Акцент5 2 2 3" xfId="5533"/>
    <cellStyle name="60% - Акцент5 3" xfId="5534"/>
    <cellStyle name="60% - Акцент5 3 2" xfId="5535"/>
    <cellStyle name="60% - Акцент5 4" xfId="5536"/>
    <cellStyle name="60% — Акцент6" xfId="3877"/>
    <cellStyle name="60% - Акцент6 2" xfId="3878"/>
    <cellStyle name="60% - Акцент6 2 2" xfId="5537"/>
    <cellStyle name="60% - Акцент6 2 2 2" xfId="5538"/>
    <cellStyle name="60% - Акцент6 2 2 3" xfId="5539"/>
    <cellStyle name="60% - Акцент6 3" xfId="5540"/>
    <cellStyle name="60% - Акцент6 3 2" xfId="5541"/>
    <cellStyle name="60% - Акцент6 4" xfId="5542"/>
    <cellStyle name="60% - アクセント 1" xfId="3879"/>
    <cellStyle name="60% - アクセント 2" xfId="3880"/>
    <cellStyle name="60% - アクセント 3" xfId="3881"/>
    <cellStyle name="60% - アクセント 4" xfId="3882"/>
    <cellStyle name="60% - アクセント 5" xfId="3883"/>
    <cellStyle name="60% - アクセント 6" xfId="3884"/>
    <cellStyle name="6Code" xfId="3885"/>
    <cellStyle name="75%" xfId="3886"/>
    <cellStyle name="75% 2" xfId="3887"/>
    <cellStyle name="75% 3" xfId="3888"/>
    <cellStyle name="752131" xfId="3889"/>
    <cellStyle name="8pt" xfId="3890"/>
    <cellStyle name="A modif Blanc" xfId="3891"/>
    <cellStyle name="A modifier" xfId="3892"/>
    <cellStyle name="A_Block Space" xfId="3893"/>
    <cellStyle name="A_BlueLine" xfId="3894"/>
    <cellStyle name="A_Do not Change" xfId="3895"/>
    <cellStyle name="A_Estimate" xfId="3896"/>
    <cellStyle name="A_input" xfId="3897"/>
    <cellStyle name="A_Memo" xfId="3898"/>
    <cellStyle name="A_Normal" xfId="3899"/>
    <cellStyle name="A_Normal Forecast" xfId="3900"/>
    <cellStyle name="A_Normal Historical" xfId="3901"/>
    <cellStyle name="A_Rate_Data" xfId="3902"/>
    <cellStyle name="A_Rate_Data Historical" xfId="3903"/>
    <cellStyle name="A_Rate_Title" xfId="3904"/>
    <cellStyle name="A_Simple Title" xfId="3905"/>
    <cellStyle name="A_Sum" xfId="3906"/>
    <cellStyle name="A_SUM_Row Major" xfId="3907"/>
    <cellStyle name="A_SUM_Row Minor" xfId="3908"/>
    <cellStyle name="A_Title" xfId="3909"/>
    <cellStyle name="A_YearHeadings" xfId="3910"/>
    <cellStyle name="Aaia?iue [0]_?anoiau" xfId="3911"/>
    <cellStyle name="Aaia?iue_?anoiau" xfId="3912"/>
    <cellStyle name="Äåíåæíûé [0]_vaqduGfTSN7qyUJNWHRlcWo3H" xfId="3913"/>
    <cellStyle name="Äåíåæíûé_vaqduGfTSN7qyUJNWHRlcWo3H" xfId="3914"/>
    <cellStyle name="Accent1" xfId="3915"/>
    <cellStyle name="Accent1 10" xfId="3916"/>
    <cellStyle name="Accent1 11" xfId="3917"/>
    <cellStyle name="Accent1 12" xfId="3918"/>
    <cellStyle name="Accent1 2" xfId="3919"/>
    <cellStyle name="Accent1 3" xfId="3920"/>
    <cellStyle name="Accent1 4" xfId="3921"/>
    <cellStyle name="Accent1 5" xfId="3922"/>
    <cellStyle name="Accent1 6" xfId="3923"/>
    <cellStyle name="Accent1 7" xfId="3924"/>
    <cellStyle name="Accent1 8" xfId="3925"/>
    <cellStyle name="Accent1 9" xfId="3926"/>
    <cellStyle name="Accent1_20101101 BBG Co Snapshot XCS3" xfId="3927"/>
    <cellStyle name="Accent2" xfId="3928"/>
    <cellStyle name="Accent2 10" xfId="3929"/>
    <cellStyle name="Accent2 11" xfId="3930"/>
    <cellStyle name="Accent2 12" xfId="3931"/>
    <cellStyle name="Accent2 2" xfId="3932"/>
    <cellStyle name="Accent2 3" xfId="3933"/>
    <cellStyle name="Accent2 4" xfId="3934"/>
    <cellStyle name="Accent2 5" xfId="3935"/>
    <cellStyle name="Accent2 6" xfId="3936"/>
    <cellStyle name="Accent2 7" xfId="3937"/>
    <cellStyle name="Accent2 8" xfId="3938"/>
    <cellStyle name="Accent2 9" xfId="3939"/>
    <cellStyle name="Accent2_20101101 BBG Co Snapshot XCS3" xfId="3940"/>
    <cellStyle name="Accent3" xfId="3941"/>
    <cellStyle name="Accent4" xfId="3942"/>
    <cellStyle name="Accent5" xfId="3943"/>
    <cellStyle name="Accent6" xfId="3944"/>
    <cellStyle name="Accent6 10" xfId="3945"/>
    <cellStyle name="Accent6 11" xfId="3946"/>
    <cellStyle name="Accent6 12" xfId="3947"/>
    <cellStyle name="Accent6 2" xfId="3948"/>
    <cellStyle name="Accent6 3" xfId="3949"/>
    <cellStyle name="Accent6 4" xfId="3950"/>
    <cellStyle name="Accent6 5" xfId="3951"/>
    <cellStyle name="Accent6 6" xfId="3952"/>
    <cellStyle name="Accent6 7" xfId="3953"/>
    <cellStyle name="Accent6 8" xfId="3954"/>
    <cellStyle name="Accent6 9" xfId="3955"/>
    <cellStyle name="Accent6_20101101 BBG Co Snapshot XCS3" xfId="3956"/>
    <cellStyle name="account" xfId="3957"/>
    <cellStyle name="Accounting" xfId="3958"/>
    <cellStyle name="acct" xfId="3959"/>
    <cellStyle name="Acctg" xfId="3960"/>
    <cellStyle name="AeE­ [0]_?A°??µAoC?" xfId="3961"/>
    <cellStyle name="AeE­_?A°??µAoC?" xfId="3962"/>
    <cellStyle name="Aeia?nnueea" xfId="3963"/>
    <cellStyle name="Aeia?nnueea 2" xfId="5543"/>
    <cellStyle name="AFE" xfId="3964"/>
    <cellStyle name="alternate" xfId="3965"/>
    <cellStyle name="aluminium" xfId="3966"/>
    <cellStyle name="Amount_from_OSV" xfId="3967"/>
    <cellStyle name="Analyst Name" xfId="3968"/>
    <cellStyle name="Anna" xfId="3969"/>
    <cellStyle name="AP_AR_UPS" xfId="3970"/>
    <cellStyle name="Arial 10" xfId="3971"/>
    <cellStyle name="Arial 12" xfId="3972"/>
    <cellStyle name="AutoFormat Options" xfId="3973"/>
    <cellStyle name="AutoFormat Options 2" xfId="3974"/>
    <cellStyle name="AutoFormat Options 3" xfId="3975"/>
    <cellStyle name="AutoFormat Options 4" xfId="3976"/>
    <cellStyle name="Availability" xfId="3977"/>
    <cellStyle name="b lue" xfId="3978"/>
    <cellStyle name="BackGround_General" xfId="3979"/>
    <cellStyle name="Bad" xfId="3980"/>
    <cellStyle name="Bad 10" xfId="3981"/>
    <cellStyle name="Bad 11" xfId="3982"/>
    <cellStyle name="Bad 12" xfId="3983"/>
    <cellStyle name="Bad 2" xfId="3984"/>
    <cellStyle name="Bad 3" xfId="3985"/>
    <cellStyle name="Bad 4" xfId="3986"/>
    <cellStyle name="Bad 5" xfId="3987"/>
    <cellStyle name="Bad 6" xfId="3988"/>
    <cellStyle name="Bad 7" xfId="3989"/>
    <cellStyle name="Bad 8" xfId="3990"/>
    <cellStyle name="Bad 9" xfId="3991"/>
    <cellStyle name="Bad_20101101 BBG Co Snapshot XCS3" xfId="3992"/>
    <cellStyle name="Balance" xfId="3993"/>
    <cellStyle name="Balance 10" xfId="5544"/>
    <cellStyle name="Balance 2" xfId="3994"/>
    <cellStyle name="Balance 2 2" xfId="5545"/>
    <cellStyle name="Balance 2 2 2" xfId="5546"/>
    <cellStyle name="Balance 2 2 3" xfId="5547"/>
    <cellStyle name="Balance 2_ФОТ" xfId="5548"/>
    <cellStyle name="Balance 3" xfId="3995"/>
    <cellStyle name="Balance 3 2" xfId="5549"/>
    <cellStyle name="Balance 3_ФОТ" xfId="5550"/>
    <cellStyle name="Balance 4" xfId="3996"/>
    <cellStyle name="Balance 4 2" xfId="5551"/>
    <cellStyle name="Balance 5" xfId="3997"/>
    <cellStyle name="Balance 6" xfId="5552"/>
    <cellStyle name="Balance 7" xfId="5553"/>
    <cellStyle name="Balance 8" xfId="5554"/>
    <cellStyle name="Balance 9" xfId="5555"/>
    <cellStyle name="Balance_ФОТ" xfId="5556"/>
    <cellStyle name="BalanceBold" xfId="3998"/>
    <cellStyle name="BalanceBold 2" xfId="5557"/>
    <cellStyle name="BalanceBold 2 2" xfId="5558"/>
    <cellStyle name="BalanceBold 2_ФОТ" xfId="5559"/>
    <cellStyle name="BalanceBold 3" xfId="5560"/>
    <cellStyle name="BalanceBold 3 2" xfId="5561"/>
    <cellStyle name="BalanceBold 3_ФОТ" xfId="5562"/>
    <cellStyle name="BalanceBold 4" xfId="5563"/>
    <cellStyle name="BalanceBold_ФОТ" xfId="5564"/>
    <cellStyle name="-Bas de tableau" xfId="3999"/>
    <cellStyle name="base" xfId="4000"/>
    <cellStyle name="Big" xfId="4001"/>
    <cellStyle name="BLACK" xfId="4002"/>
    <cellStyle name="blank" xfId="4003"/>
    <cellStyle name="Blue" xfId="4004"/>
    <cellStyle name="blur" xfId="4005"/>
    <cellStyle name="Body" xfId="4006"/>
    <cellStyle name="Border Heavy" xfId="4007"/>
    <cellStyle name="Border Thin" xfId="4008"/>
    <cellStyle name="Bottom Edge" xfId="4009"/>
    <cellStyle name="British Pound" xfId="4010"/>
    <cellStyle name="C" xfId="4011"/>
    <cellStyle name="C?AO_?A°??µAoC?" xfId="4012"/>
    <cellStyle name="CALC Amount" xfId="4013"/>
    <cellStyle name="CALC Amount [1]" xfId="4014"/>
    <cellStyle name="CALC Amount [2]" xfId="4015"/>
    <cellStyle name="CALC Amount Total" xfId="4016"/>
    <cellStyle name="CALC Amount Total [1]" xfId="4017"/>
    <cellStyle name="CALC Amount Total [1] 2" xfId="4018"/>
    <cellStyle name="CALC Amount Total [2]" xfId="4019"/>
    <cellStyle name="CALC Amount Total [2] 2" xfId="4020"/>
    <cellStyle name="CALC Amount Total 2" xfId="4021"/>
    <cellStyle name="CALC Amount Total 3" xfId="4022"/>
    <cellStyle name="CALC Amount Total 4" xfId="4023"/>
    <cellStyle name="CALC Amount_бизнес-план_2005-2012_макет ТГК-5" xfId="4024"/>
    <cellStyle name="CALC Currency" xfId="4025"/>
    <cellStyle name="Calc Currency (0)" xfId="4026"/>
    <cellStyle name="Calc Currency (0) 2" xfId="4027"/>
    <cellStyle name="Calc Currency (0) 2 2" xfId="5565"/>
    <cellStyle name="Calc Currency (0) 3" xfId="4028"/>
    <cellStyle name="Calc Currency (0) 4" xfId="4029"/>
    <cellStyle name="Calc Currency (0) 5" xfId="4030"/>
    <cellStyle name="Calc Currency (2)" xfId="4031"/>
    <cellStyle name="CALC Currency [1]" xfId="4032"/>
    <cellStyle name="CALC Currency [2]" xfId="4033"/>
    <cellStyle name="CALC Currency Total" xfId="4034"/>
    <cellStyle name="CALC Currency Total [1]" xfId="4035"/>
    <cellStyle name="CALC Currency Total [1] 2" xfId="4036"/>
    <cellStyle name="CALC Currency Total [2]" xfId="4037"/>
    <cellStyle name="CALC Currency Total [2] 2" xfId="4038"/>
    <cellStyle name="CALC Currency Total 2" xfId="4039"/>
    <cellStyle name="CALC Currency Total 3" xfId="4040"/>
    <cellStyle name="CALC Currency Total 4" xfId="4041"/>
    <cellStyle name="CALC Date Long" xfId="4042"/>
    <cellStyle name="CALC Date Short" xfId="4043"/>
    <cellStyle name="CALC Percent" xfId="4044"/>
    <cellStyle name="Calc Percent (0)" xfId="4045"/>
    <cellStyle name="Calc Percent (1)" xfId="4046"/>
    <cellStyle name="Calc Percent (1) 2" xfId="4047"/>
    <cellStyle name="Calc Percent (1) 3" xfId="4048"/>
    <cellStyle name="Calc Percent (1) 4" xfId="4049"/>
    <cellStyle name="Calc Percent (1) 5" xfId="4050"/>
    <cellStyle name="Calc Percent (2)" xfId="4051"/>
    <cellStyle name="Calc Percent (2) 2" xfId="4052"/>
    <cellStyle name="Calc Percent (2) 3" xfId="4053"/>
    <cellStyle name="Calc Percent (2) 4" xfId="4054"/>
    <cellStyle name="Calc Percent (2) 5" xfId="4055"/>
    <cellStyle name="CALC Percent [1]" xfId="4056"/>
    <cellStyle name="CALC Percent [2]" xfId="4057"/>
    <cellStyle name="CALC Percent Total" xfId="4058"/>
    <cellStyle name="CALC Percent Total [1]" xfId="4059"/>
    <cellStyle name="CALC Percent Total [1] 2" xfId="4060"/>
    <cellStyle name="CALC Percent Total [2]" xfId="4061"/>
    <cellStyle name="CALC Percent Total [2] 2" xfId="4062"/>
    <cellStyle name="CALC Percent Total 2" xfId="4063"/>
    <cellStyle name="CALC Percent Total 3" xfId="4064"/>
    <cellStyle name="CALC Percent Total 4" xfId="4065"/>
    <cellStyle name="Calc Units (0)" xfId="4066"/>
    <cellStyle name="Calc Units (0) 2" xfId="4067"/>
    <cellStyle name="Calc Units (0) 3" xfId="4068"/>
    <cellStyle name="Calc Units (0) 4" xfId="4069"/>
    <cellStyle name="Calc Units (0) 5" xfId="4070"/>
    <cellStyle name="Calc Units (1)" xfId="4071"/>
    <cellStyle name="Calc Units (1) 2" xfId="4072"/>
    <cellStyle name="Calc Units (1) 3" xfId="4073"/>
    <cellStyle name="Calc Units (1) 4" xfId="4074"/>
    <cellStyle name="Calc Units (1) 5" xfId="4075"/>
    <cellStyle name="Calc Units (2)" xfId="4076"/>
    <cellStyle name="Calculation" xfId="4077"/>
    <cellStyle name="Calculation 10" xfId="4078"/>
    <cellStyle name="Calculation 11" xfId="4079"/>
    <cellStyle name="Calculation 12" xfId="4080"/>
    <cellStyle name="Calculation 2" xfId="4081"/>
    <cellStyle name="Calculation 2 2" xfId="4082"/>
    <cellStyle name="Calculation 2 3" xfId="4083"/>
    <cellStyle name="Calculation 2 4" xfId="4084"/>
    <cellStyle name="Calculation 3" xfId="4085"/>
    <cellStyle name="Calculation 3 2" xfId="4086"/>
    <cellStyle name="Calculation 3 3" xfId="4087"/>
    <cellStyle name="Calculation 4" xfId="4088"/>
    <cellStyle name="Calculation 4 2" xfId="4089"/>
    <cellStyle name="Calculation 4 3" xfId="4090"/>
    <cellStyle name="Calculation 5" xfId="4091"/>
    <cellStyle name="Calculation 6" xfId="4092"/>
    <cellStyle name="Calculation 7" xfId="4093"/>
    <cellStyle name="Calculation 8" xfId="4094"/>
    <cellStyle name="Calculation 9" xfId="4095"/>
    <cellStyle name="Calculation_20101101 BBG Co Snapshot XCS3" xfId="4096"/>
    <cellStyle name="Case" xfId="4097"/>
    <cellStyle name="Case 2" xfId="4098"/>
    <cellStyle name="Case 3" xfId="4099"/>
    <cellStyle name="Case 4" xfId="4100"/>
    <cellStyle name="Center Across" xfId="4101"/>
    <cellStyle name="Cents" xfId="4102"/>
    <cellStyle name="Changeable" xfId="4103"/>
    <cellStyle name="Check" xfId="4104"/>
    <cellStyle name="Check 2" xfId="4105"/>
    <cellStyle name="Check 3" xfId="4106"/>
    <cellStyle name="Check Cell" xfId="4107"/>
    <cellStyle name="Check Cell 10" xfId="4108"/>
    <cellStyle name="Check Cell 11" xfId="4109"/>
    <cellStyle name="Check Cell 12" xfId="4110"/>
    <cellStyle name="Check Cell 2" xfId="4111"/>
    <cellStyle name="Check Cell 3" xfId="4112"/>
    <cellStyle name="Check Cell 4" xfId="4113"/>
    <cellStyle name="Check Cell 5" xfId="4114"/>
    <cellStyle name="Check Cell 6" xfId="4115"/>
    <cellStyle name="Check Cell 7" xfId="4116"/>
    <cellStyle name="Check Cell 8" xfId="4117"/>
    <cellStyle name="Check Cell 9" xfId="4118"/>
    <cellStyle name="Check Cell_20101101 BBG Co Snapshot XCS3" xfId="4119"/>
    <cellStyle name="ChooseAccount" xfId="4120"/>
    <cellStyle name="ChooseAccount 2" xfId="4121"/>
    <cellStyle name="ChooseAccount 3" xfId="4122"/>
    <cellStyle name="ChooseAccount 4" xfId="4123"/>
    <cellStyle name="ChooseAccount 5" xfId="4124"/>
    <cellStyle name="Code" xfId="4125"/>
    <cellStyle name="Code 2" xfId="4126"/>
    <cellStyle name="Code Section" xfId="4127"/>
    <cellStyle name="Code Section 2" xfId="4128"/>
    <cellStyle name="Code Section 3" xfId="4129"/>
    <cellStyle name="Code Section 4" xfId="4130"/>
    <cellStyle name="Code_Appendixes_Rolf Esteit_final" xfId="4131"/>
    <cellStyle name="ColHeading" xfId="4132"/>
    <cellStyle name="Column Heading" xfId="4133"/>
    <cellStyle name="Column Title" xfId="4134"/>
    <cellStyle name="Comma ," xfId="4135"/>
    <cellStyle name="Comma [0]" xfId="4136"/>
    <cellStyle name="Comma [00]" xfId="4137"/>
    <cellStyle name="Comma [1]" xfId="4138"/>
    <cellStyle name="Comma [2]" xfId="4139"/>
    <cellStyle name="Comma [3]" xfId="4140"/>
    <cellStyle name="Comma 0" xfId="4141"/>
    <cellStyle name="Comma 0*" xfId="4142"/>
    <cellStyle name="Comma 2" xfId="4143"/>
    <cellStyle name="Comma 3" xfId="5584"/>
    <cellStyle name="Comma Cents" xfId="4144"/>
    <cellStyle name="Comma(1)" xfId="4145"/>
    <cellStyle name="Comma0" xfId="4146"/>
    <cellStyle name="Comma0 - Style3" xfId="4147"/>
    <cellStyle name="Company" xfId="4148"/>
    <cellStyle name="CompanyName" xfId="4149"/>
    <cellStyle name="Coname" xfId="4150"/>
    <cellStyle name="Credit" xfId="4151"/>
    <cellStyle name="Credit subtotal" xfId="4152"/>
    <cellStyle name="Credit subtotal 2" xfId="4153"/>
    <cellStyle name="Credit Total" xfId="4154"/>
    <cellStyle name="Credit_Tickmarks" xfId="4155"/>
    <cellStyle name="CurRatio" xfId="4156"/>
    <cellStyle name="Currency [0]" xfId="4157"/>
    <cellStyle name="Currency [00]" xfId="4158"/>
    <cellStyle name="Currency [1]" xfId="4159"/>
    <cellStyle name="Currency [2]" xfId="4160"/>
    <cellStyle name="Currency [3]" xfId="4161"/>
    <cellStyle name="Currency 0" xfId="4162"/>
    <cellStyle name="Currency 2" xfId="4163"/>
    <cellStyle name="Currency EN" xfId="4164"/>
    <cellStyle name="Currency EN 2" xfId="4165"/>
    <cellStyle name="Currency EN 3" xfId="4166"/>
    <cellStyle name="Currency EN 4" xfId="4167"/>
    <cellStyle name="Currency RU" xfId="4168"/>
    <cellStyle name="Currency RU calc" xfId="4169"/>
    <cellStyle name="Currency RU calc 2" xfId="4170"/>
    <cellStyle name="Currency RU calc 3" xfId="4171"/>
    <cellStyle name="Currency RU_Appendixes_Rolf Esteit_final" xfId="4172"/>
    <cellStyle name="Currency0" xfId="4173"/>
    <cellStyle name="CUS.Work.Area" xfId="4174"/>
    <cellStyle name="Custom - Style8" xfId="4175"/>
    <cellStyle name="Data" xfId="4176"/>
    <cellStyle name="Data   - Style2" xfId="4177"/>
    <cellStyle name="Data   - Style2 2" xfId="4178"/>
    <cellStyle name="Data 2" xfId="4179"/>
    <cellStyle name="Data 3" xfId="4180"/>
    <cellStyle name="Data 4" xfId="4181"/>
    <cellStyle name="Data 5" xfId="4182"/>
    <cellStyle name="DATA Amount" xfId="4183"/>
    <cellStyle name="DATA Amount [1]" xfId="4184"/>
    <cellStyle name="DATA Amount [2]" xfId="4185"/>
    <cellStyle name="DATA Currency" xfId="4186"/>
    <cellStyle name="DATA Currency [1]" xfId="4187"/>
    <cellStyle name="DATA Currency [2]" xfId="4188"/>
    <cellStyle name="DATA Date Long" xfId="4189"/>
    <cellStyle name="DATA Date Short" xfId="4190"/>
    <cellStyle name="DATA List" xfId="4191"/>
    <cellStyle name="DATA Memo" xfId="4192"/>
    <cellStyle name="DATA Percent" xfId="4193"/>
    <cellStyle name="DATA Percent [1]" xfId="4194"/>
    <cellStyle name="DATA Percent [2]" xfId="4195"/>
    <cellStyle name="DATA Text" xfId="4196"/>
    <cellStyle name="DATA Version" xfId="4197"/>
    <cellStyle name="Data_ИСХ_ПАРАМ_Галоген" xfId="4198"/>
    <cellStyle name="DataBold" xfId="4199"/>
    <cellStyle name="Date" xfId="4200"/>
    <cellStyle name="Date [mmm-yy]" xfId="4201"/>
    <cellStyle name="Date 2" xfId="4202"/>
    <cellStyle name="Date 3" xfId="4203"/>
    <cellStyle name="Date 4" xfId="4204"/>
    <cellStyle name="Date 5" xfId="4205"/>
    <cellStyle name="Date Aligned" xfId="4206"/>
    <cellStyle name="Date EN" xfId="4207"/>
    <cellStyle name="Date RU" xfId="4208"/>
    <cellStyle name="Date Short" xfId="4209"/>
    <cellStyle name="Date Short 2" xfId="4210"/>
    <cellStyle name="Date Short 3" xfId="4211"/>
    <cellStyle name="Date Short 4" xfId="4212"/>
    <cellStyle name="Date, Long" xfId="4213"/>
    <cellStyle name="Date, Short" xfId="4214"/>
    <cellStyle name="Date_120" xfId="4215"/>
    <cellStyle name="Date2" xfId="4216"/>
    <cellStyle name="Dateline" xfId="4217"/>
    <cellStyle name="Debit" xfId="4218"/>
    <cellStyle name="Debit subtotal" xfId="4219"/>
    <cellStyle name="Debit Total" xfId="4220"/>
    <cellStyle name="Debit_Tickmarks" xfId="4221"/>
    <cellStyle name="Dec_0" xfId="4222"/>
    <cellStyle name="Decimal" xfId="4223"/>
    <cellStyle name="DELTA" xfId="4224"/>
    <cellStyle name="DELTA 2" xfId="4225"/>
    <cellStyle name="DELTA 3" xfId="4226"/>
    <cellStyle name="DELTA 4" xfId="4227"/>
    <cellStyle name="DELTA 5" xfId="4228"/>
    <cellStyle name="Deviant" xfId="4229"/>
    <cellStyle name="Dezimal [0]_1380" xfId="4230"/>
    <cellStyle name="Dezimal__Utopia Index Index und Guidance (Deutsch)" xfId="4231"/>
    <cellStyle name="Diary" xfId="4232"/>
    <cellStyle name="Dollar" xfId="4233"/>
    <cellStyle name="Dollars" xfId="4234"/>
    <cellStyle name="done" xfId="4235"/>
    <cellStyle name="Dotted Line" xfId="4236"/>
    <cellStyle name="Double Accounting" xfId="4237"/>
    <cellStyle name="Dziesiêtny [0]_1" xfId="4238"/>
    <cellStyle name="Dziesiêtny_1" xfId="4239"/>
    <cellStyle name="E&amp;Y House" xfId="4240"/>
    <cellStyle name="ein" xfId="4241"/>
    <cellStyle name="ein 2" xfId="4242"/>
    <cellStyle name="ein 3" xfId="4243"/>
    <cellStyle name="el" xfId="4244"/>
    <cellStyle name="el 2" xfId="4245"/>
    <cellStyle name="Enlever" xfId="4246"/>
    <cellStyle name="Enter Currency (0)" xfId="4247"/>
    <cellStyle name="Enter Currency (0) 2" xfId="4248"/>
    <cellStyle name="Enter Currency (0) 3" xfId="4249"/>
    <cellStyle name="Enter Currency (0) 4" xfId="4250"/>
    <cellStyle name="Enter Currency (0) 5" xfId="4251"/>
    <cellStyle name="Enter Currency (2)" xfId="4252"/>
    <cellStyle name="Enter Units (0)" xfId="4253"/>
    <cellStyle name="Enter Units (0) 2" xfId="4254"/>
    <cellStyle name="Enter Units (0) 3" xfId="4255"/>
    <cellStyle name="Enter Units (0) 4" xfId="4256"/>
    <cellStyle name="Enter Units (0) 5" xfId="4257"/>
    <cellStyle name="Enter Units (1)" xfId="4258"/>
    <cellStyle name="Enter Units (1) 2" xfId="4259"/>
    <cellStyle name="Enter Units (1) 3" xfId="4260"/>
    <cellStyle name="Enter Units (1) 4" xfId="4261"/>
    <cellStyle name="Enter Units (1) 5" xfId="4262"/>
    <cellStyle name="Enter Units (2)" xfId="4263"/>
    <cellStyle name="Euro" xfId="4264"/>
    <cellStyle name="Excel Built-in Normal" xfId="4265"/>
    <cellStyle name="Excel Built-in Normal 1" xfId="4266"/>
    <cellStyle name="Exchange rate" xfId="4267"/>
    <cellStyle name="Explanatory Text" xfId="4268"/>
    <cellStyle name="Ezres [0]_Document" xfId="4269"/>
    <cellStyle name="Ezres_Document" xfId="4270"/>
    <cellStyle name="F2" xfId="4271"/>
    <cellStyle name="F2 2" xfId="4272"/>
    <cellStyle name="F2 3" xfId="4273"/>
    <cellStyle name="F2 4" xfId="4274"/>
    <cellStyle name="F2 5" xfId="4275"/>
    <cellStyle name="F3" xfId="4276"/>
    <cellStyle name="F3 2" xfId="4277"/>
    <cellStyle name="F3 3" xfId="4278"/>
    <cellStyle name="F3 4" xfId="4279"/>
    <cellStyle name="F3 5" xfId="4280"/>
    <cellStyle name="F4" xfId="4281"/>
    <cellStyle name="F4 2" xfId="4282"/>
    <cellStyle name="F4 3" xfId="4283"/>
    <cellStyle name="F5" xfId="4284"/>
    <cellStyle name="F5 2" xfId="4285"/>
    <cellStyle name="F5 3" xfId="4286"/>
    <cellStyle name="F5 4" xfId="4287"/>
    <cellStyle name="F5 5" xfId="4288"/>
    <cellStyle name="F6" xfId="4289"/>
    <cellStyle name="F6 2" xfId="4290"/>
    <cellStyle name="F6 3" xfId="4291"/>
    <cellStyle name="F6 4" xfId="4292"/>
    <cellStyle name="F6 5" xfId="4293"/>
    <cellStyle name="F7" xfId="4294"/>
    <cellStyle name="F7 2" xfId="4295"/>
    <cellStyle name="F7 3" xfId="4296"/>
    <cellStyle name="F7 4" xfId="4297"/>
    <cellStyle name="F7 5" xfId="4298"/>
    <cellStyle name="F8" xfId="4299"/>
    <cellStyle name="F8 2" xfId="4300"/>
    <cellStyle name="F8 3" xfId="4301"/>
    <cellStyle name="Fixed" xfId="4302"/>
    <cellStyle name="Flag" xfId="4303"/>
    <cellStyle name="Flag 2" xfId="4304"/>
    <cellStyle name="Flag 3" xfId="4305"/>
    <cellStyle name="Flag 4" xfId="4306"/>
    <cellStyle name="footer" xfId="4307"/>
    <cellStyle name="Footnote" xfId="4308"/>
    <cellStyle name="Footnotes" xfId="4309"/>
    <cellStyle name="Footnotes 2" xfId="4310"/>
    <cellStyle name="Footnotes 3" xfId="4311"/>
    <cellStyle name="Footnotes 4" xfId="4312"/>
    <cellStyle name="Formula" xfId="30"/>
    <cellStyle name="From_Depreciation" xfId="4313"/>
    <cellStyle name="General_Ledger" xfId="4314"/>
    <cellStyle name="Good" xfId="4315"/>
    <cellStyle name="Good 10" xfId="4316"/>
    <cellStyle name="Good 11" xfId="4317"/>
    <cellStyle name="Good 12" xfId="4318"/>
    <cellStyle name="Good 2" xfId="4319"/>
    <cellStyle name="Good 3" xfId="4320"/>
    <cellStyle name="Good 4" xfId="4321"/>
    <cellStyle name="Good 5" xfId="4322"/>
    <cellStyle name="Good 6" xfId="4323"/>
    <cellStyle name="Good 7" xfId="4324"/>
    <cellStyle name="Good 8" xfId="4325"/>
    <cellStyle name="Good 9" xfId="4326"/>
    <cellStyle name="Good_20101101 BBG Co Snapshot XCS3" xfId="4327"/>
    <cellStyle name="Green" xfId="4328"/>
    <cellStyle name="Grey" xfId="4329"/>
    <cellStyle name="GWN Table Body" xfId="4330"/>
    <cellStyle name="GWN Table Body 2" xfId="4331"/>
    <cellStyle name="GWN Table Body 3" xfId="4332"/>
    <cellStyle name="GWN Table Body 4" xfId="4333"/>
    <cellStyle name="GWN Table Header" xfId="4334"/>
    <cellStyle name="GWN Table Left Header" xfId="4335"/>
    <cellStyle name="GWN Table Note" xfId="4336"/>
    <cellStyle name="GWN Table Note 2" xfId="4337"/>
    <cellStyle name="GWN Table Note 3" xfId="4338"/>
    <cellStyle name="GWN Table Note 4" xfId="4339"/>
    <cellStyle name="GWN Table Title" xfId="4340"/>
    <cellStyle name="hard no" xfId="4341"/>
    <cellStyle name="hard no 2" xfId="4342"/>
    <cellStyle name="hard no 3" xfId="4343"/>
    <cellStyle name="hard number" xfId="4344"/>
    <cellStyle name="Hard Percent" xfId="4345"/>
    <cellStyle name="hardno" xfId="4346"/>
    <cellStyle name="-Haut de tableau" xfId="4347"/>
    <cellStyle name="Header" xfId="4348"/>
    <cellStyle name="Header1" xfId="4349"/>
    <cellStyle name="Header2" xfId="4350"/>
    <cellStyle name="Header2 2" xfId="4351"/>
    <cellStyle name="Heading" xfId="4352"/>
    <cellStyle name="Heading 1" xfId="4353"/>
    <cellStyle name="Heading 1 10" xfId="4354"/>
    <cellStyle name="Heading 1 11" xfId="4355"/>
    <cellStyle name="Heading 1 12" xfId="4356"/>
    <cellStyle name="Heading 1 2" xfId="4357"/>
    <cellStyle name="Heading 1 3" xfId="4358"/>
    <cellStyle name="Heading 1 4" xfId="4359"/>
    <cellStyle name="Heading 1 5" xfId="4360"/>
    <cellStyle name="Heading 1 6" xfId="4361"/>
    <cellStyle name="Heading 1 7" xfId="4362"/>
    <cellStyle name="Heading 1 8" xfId="4363"/>
    <cellStyle name="Heading 1 9" xfId="4364"/>
    <cellStyle name="HEADING 1 REPORT" xfId="4365"/>
    <cellStyle name="Heading 1_20101101 BBG Co Snapshot XCS3" xfId="4366"/>
    <cellStyle name="Heading 2" xfId="4367"/>
    <cellStyle name="Heading 2 10" xfId="4368"/>
    <cellStyle name="Heading 2 11" xfId="4369"/>
    <cellStyle name="Heading 2 12" xfId="4370"/>
    <cellStyle name="Heading 2 2" xfId="4371"/>
    <cellStyle name="Heading 2 3" xfId="4372"/>
    <cellStyle name="Heading 2 4" xfId="4373"/>
    <cellStyle name="Heading 2 5" xfId="4374"/>
    <cellStyle name="Heading 2 6" xfId="4375"/>
    <cellStyle name="Heading 2 7" xfId="4376"/>
    <cellStyle name="Heading 2 8" xfId="4377"/>
    <cellStyle name="Heading 2 9" xfId="4378"/>
    <cellStyle name="Heading 2_20101101 BBG Co Snapshot XCS3" xfId="4379"/>
    <cellStyle name="Heading 3" xfId="4380"/>
    <cellStyle name="Heading 3 10" xfId="4381"/>
    <cellStyle name="Heading 3 11" xfId="4382"/>
    <cellStyle name="Heading 3 12" xfId="4383"/>
    <cellStyle name="Heading 3 2" xfId="4384"/>
    <cellStyle name="Heading 3 3" xfId="4385"/>
    <cellStyle name="Heading 3 4" xfId="4386"/>
    <cellStyle name="Heading 3 5" xfId="4387"/>
    <cellStyle name="Heading 3 6" xfId="4388"/>
    <cellStyle name="Heading 3 7" xfId="4389"/>
    <cellStyle name="Heading 3 8" xfId="4390"/>
    <cellStyle name="Heading 3 9" xfId="4391"/>
    <cellStyle name="Heading 3_20101101 BBG Co Snapshot XCS3" xfId="4392"/>
    <cellStyle name="Heading 4" xfId="4393"/>
    <cellStyle name="heading_a2" xfId="4394"/>
    <cellStyle name="Heading1" xfId="4395"/>
    <cellStyle name="Heading1 1" xfId="4396"/>
    <cellStyle name="Heading1 1 2" xfId="4397"/>
    <cellStyle name="Heading1 1 3" xfId="4398"/>
    <cellStyle name="Heading1 1 4" xfId="4399"/>
    <cellStyle name="heading1_Dalsvyaz_Total" xfId="4400"/>
    <cellStyle name="Heading2" xfId="4401"/>
    <cellStyle name="Heading3" xfId="4402"/>
    <cellStyle name="Heading4" xfId="4403"/>
    <cellStyle name="Heading5" xfId="4404"/>
    <cellStyle name="Heading5 2" xfId="4405"/>
    <cellStyle name="Heading5 3" xfId="4406"/>
    <cellStyle name="Heading5 4" xfId="4407"/>
    <cellStyle name="Heading6" xfId="4408"/>
    <cellStyle name="Heading6 2" xfId="4409"/>
    <cellStyle name="Heading6 3" xfId="4410"/>
    <cellStyle name="Heading6 4" xfId="4411"/>
    <cellStyle name="HeadingS" xfId="4412"/>
    <cellStyle name="Headline2" xfId="4413"/>
    <cellStyle name="Headline3" xfId="4414"/>
    <cellStyle name="Hidden" xfId="4415"/>
    <cellStyle name="Hidden 2" xfId="4416"/>
    <cellStyle name="Hidden 3" xfId="4417"/>
    <cellStyle name="Hide" xfId="4418"/>
    <cellStyle name="Horizontal" xfId="4419"/>
    <cellStyle name="Horizontal 2" xfId="4420"/>
    <cellStyle name="Horizontal 3" xfId="4421"/>
    <cellStyle name="Horizontal 4" xfId="4422"/>
    <cellStyle name="HUF" xfId="4423"/>
    <cellStyle name="í â› [0.00]_Sheet1" xfId="4424"/>
    <cellStyle name="Iau?iue_?anoiau" xfId="4425"/>
    <cellStyle name="Îáû÷íûé_KPIPRODTEMP-äîáû÷à" xfId="4426"/>
    <cellStyle name="Index" xfId="4427"/>
    <cellStyle name="Input" xfId="4428"/>
    <cellStyle name="Input [yellow]" xfId="4429"/>
    <cellStyle name="Input [yellow] 2" xfId="4430"/>
    <cellStyle name="Input [yellow] 3" xfId="4431"/>
    <cellStyle name="Input 10" xfId="4432"/>
    <cellStyle name="Input 11" xfId="4433"/>
    <cellStyle name="Input 12" xfId="4434"/>
    <cellStyle name="Input 2" xfId="4435"/>
    <cellStyle name="Input 2 2" xfId="4436"/>
    <cellStyle name="Input 3" xfId="4437"/>
    <cellStyle name="Input 4" xfId="4438"/>
    <cellStyle name="Input 5" xfId="4439"/>
    <cellStyle name="Input 6" xfId="4440"/>
    <cellStyle name="Input 7" xfId="4441"/>
    <cellStyle name="Input 8" xfId="4442"/>
    <cellStyle name="Input 9" xfId="4443"/>
    <cellStyle name="Input%" xfId="4444"/>
    <cellStyle name="Input, 0 dec" xfId="4445"/>
    <cellStyle name="Input, 1 dec" xfId="4446"/>
    <cellStyle name="Input, 2 dec" xfId="4447"/>
    <cellStyle name="Input_20101101 BBG Consensus Summary XEEO" xfId="4448"/>
    <cellStyle name="InputBlueFont" xfId="4449"/>
    <cellStyle name="InputDate" xfId="4450"/>
    <cellStyle name="InputDecimal" xfId="4451"/>
    <cellStyle name="InputGen" xfId="4452"/>
    <cellStyle name="InputValue" xfId="4453"/>
    <cellStyle name="Integer" xfId="4454"/>
    <cellStyle name="Invisible" xfId="4455"/>
    <cellStyle name="Ioe?uaaaoayny aeia?nnueea" xfId="4456"/>
    <cellStyle name="ISO" xfId="4457"/>
    <cellStyle name="Italic" xfId="4458"/>
    <cellStyle name="Item" xfId="4459"/>
    <cellStyle name="ItemTypeClass" xfId="4460"/>
    <cellStyle name="ItemTypeClass 2" xfId="4461"/>
    <cellStyle name="Ivedimas" xfId="4462"/>
    <cellStyle name="Ivedimas 2" xfId="4463"/>
    <cellStyle name="Ivedimo1" xfId="4464"/>
    <cellStyle name="Ivedimo1 2" xfId="4465"/>
    <cellStyle name="Ivedimo2" xfId="4466"/>
    <cellStyle name="Ivedimo2 2" xfId="4467"/>
    <cellStyle name="Ivedimo5" xfId="4468"/>
    <cellStyle name="Ivedimo5 2" xfId="4469"/>
    <cellStyle name="Just_Table" xfId="4470"/>
    <cellStyle name="k$" xfId="4471"/>
    <cellStyle name="kECU" xfId="4472"/>
    <cellStyle name="kHUF" xfId="4473"/>
    <cellStyle name="Kilo" xfId="4474"/>
    <cellStyle name="kLE" xfId="4475"/>
    <cellStyle name="Komma [0]_Arcen" xfId="4476"/>
    <cellStyle name="Komma_Arcen" xfId="4477"/>
    <cellStyle name="KOP" xfId="4478"/>
    <cellStyle name="KOP2" xfId="4479"/>
    <cellStyle name="KOPP" xfId="4480"/>
    <cellStyle name="KPMG Heading 1" xfId="4481"/>
    <cellStyle name="KPMG Heading 2" xfId="4482"/>
    <cellStyle name="KPMG Heading 3" xfId="4483"/>
    <cellStyle name="KPMG Heading 4" xfId="4484"/>
    <cellStyle name="KPMG Normal" xfId="4485"/>
    <cellStyle name="KPMG Normal Text" xfId="4486"/>
    <cellStyle name="LABEL Normal" xfId="4487"/>
    <cellStyle name="LABEL Note" xfId="4488"/>
    <cellStyle name="LABEL Units" xfId="4489"/>
    <cellStyle name="Label_Blue" xfId="4490"/>
    <cellStyle name="Labels - Style3" xfId="4491"/>
    <cellStyle name="Labels - Style3 2" xfId="4492"/>
    <cellStyle name="LeftTitle" xfId="4493"/>
    <cellStyle name="Levels" xfId="4494"/>
    <cellStyle name="Levels 2" xfId="4495"/>
    <cellStyle name="Levels 3" xfId="4496"/>
    <cellStyle name="Licence" xfId="4497"/>
    <cellStyle name="Line Number" xfId="4498"/>
    <cellStyle name="Line Number 2" xfId="4499"/>
    <cellStyle name="Line Number 3" xfId="4500"/>
    <cellStyle name="Line Number 4" xfId="4501"/>
    <cellStyle name="Link Currency (0)" xfId="4502"/>
    <cellStyle name="Link Currency (0) 2" xfId="4503"/>
    <cellStyle name="Link Currency (0) 3" xfId="4504"/>
    <cellStyle name="Link Currency (0) 4" xfId="4505"/>
    <cellStyle name="Link Currency (0) 5" xfId="4506"/>
    <cellStyle name="Link Currency (2)" xfId="4507"/>
    <cellStyle name="Link Units (0)" xfId="4508"/>
    <cellStyle name="Link Units (0) 2" xfId="4509"/>
    <cellStyle name="Link Units (0) 3" xfId="4510"/>
    <cellStyle name="Link Units (0) 4" xfId="4511"/>
    <cellStyle name="Link Units (0) 5" xfId="4512"/>
    <cellStyle name="Link Units (1)" xfId="4513"/>
    <cellStyle name="Link Units (1) 2" xfId="4514"/>
    <cellStyle name="Link Units (1) 3" xfId="4515"/>
    <cellStyle name="Link Units (1) 4" xfId="4516"/>
    <cellStyle name="Link Units (1) 5" xfId="4517"/>
    <cellStyle name="Link Units (2)" xfId="4518"/>
    <cellStyle name="Linked Cell" xfId="4519"/>
    <cellStyle name="Linked Cell 10" xfId="4520"/>
    <cellStyle name="Linked Cell 11" xfId="4521"/>
    <cellStyle name="Linked Cell 12" xfId="4522"/>
    <cellStyle name="Linked Cell 2" xfId="4523"/>
    <cellStyle name="Linked Cell 3" xfId="4524"/>
    <cellStyle name="Linked Cell 4" xfId="4525"/>
    <cellStyle name="Linked Cell 5" xfId="4526"/>
    <cellStyle name="Linked Cell 6" xfId="4527"/>
    <cellStyle name="Linked Cell 7" xfId="4528"/>
    <cellStyle name="Linked Cell 8" xfId="4529"/>
    <cellStyle name="Linked Cell 9" xfId="4530"/>
    <cellStyle name="Linked Cell_20101101 BBG Co Snapshot XCS3" xfId="4531"/>
    <cellStyle name="LP0" xfId="4532"/>
    <cellStyle name="LP0 2" xfId="4533"/>
    <cellStyle name="LP0 3" xfId="4534"/>
    <cellStyle name="lue" xfId="4535"/>
    <cellStyle name="Main text" xfId="4536"/>
    <cellStyle name="Margin" xfId="4537"/>
    <cellStyle name="Matrix" xfId="4538"/>
    <cellStyle name="Matrix 2" xfId="4539"/>
    <cellStyle name="Matrix 3" xfId="4540"/>
    <cellStyle name="Matrix 4" xfId="4541"/>
    <cellStyle name="Millares [0]_FINAL-10" xfId="4542"/>
    <cellStyle name="Millares_FINAL-10" xfId="4543"/>
    <cellStyle name="Milliers [0]_BUDGET" xfId="4544"/>
    <cellStyle name="Milliers_BPLAN FORMAT PET" xfId="4545"/>
    <cellStyle name="millions" xfId="4546"/>
    <cellStyle name="mnb" xfId="4547"/>
    <cellStyle name="mnb 2" xfId="4548"/>
    <cellStyle name="mnb 3" xfId="4549"/>
    <cellStyle name="Model" xfId="4550"/>
    <cellStyle name="Moneda [0]_FINAL-10" xfId="4551"/>
    <cellStyle name="Moneda_FINAL-10" xfId="4552"/>
    <cellStyle name="Monétaire [0]_470" xfId="4553"/>
    <cellStyle name="Monétaire_470" xfId="4554"/>
    <cellStyle name="Month-Year" xfId="4555"/>
    <cellStyle name="Multiple" xfId="4556"/>
    <cellStyle name="Multiple [0]" xfId="4557"/>
    <cellStyle name="Multiple [1]" xfId="4558"/>
    <cellStyle name="Multiple [2]" xfId="4559"/>
    <cellStyle name="Multiple [3]" xfId="4560"/>
    <cellStyle name="Multiple, 1 dec" xfId="4561"/>
    <cellStyle name="Multiple, 2 dec" xfId="4562"/>
    <cellStyle name="Multiple_1 Dec" xfId="4563"/>
    <cellStyle name="mмny_laroux" xfId="4564"/>
    <cellStyle name="n" xfId="4565"/>
    <cellStyle name="Neutral" xfId="4566"/>
    <cellStyle name="Neutral 10" xfId="4567"/>
    <cellStyle name="Neutral 11" xfId="4568"/>
    <cellStyle name="Neutral 12" xfId="4569"/>
    <cellStyle name="Neutral 2" xfId="4570"/>
    <cellStyle name="Neutral 3" xfId="4571"/>
    <cellStyle name="Neutral 4" xfId="4572"/>
    <cellStyle name="Neutral 5" xfId="4573"/>
    <cellStyle name="Neutral 6" xfId="4574"/>
    <cellStyle name="Neutral 7" xfId="4575"/>
    <cellStyle name="Neutral 8" xfId="4576"/>
    <cellStyle name="Neutral 9" xfId="4577"/>
    <cellStyle name="Neutral_20101101 BBG Co Snapshot XCS3" xfId="4578"/>
    <cellStyle name="no dec" xfId="4579"/>
    <cellStyle name="No_Input" xfId="4580"/>
    <cellStyle name="nor" xfId="4581"/>
    <cellStyle name="Norma11l" xfId="4582"/>
    <cellStyle name="normail" xfId="4583"/>
    <cellStyle name="Normal - Style1" xfId="4584"/>
    <cellStyle name="Normal - Style2" xfId="4585"/>
    <cellStyle name="Normal - Style3" xfId="4586"/>
    <cellStyle name="Normal - Style4" xfId="4587"/>
    <cellStyle name="Normal - Style5" xfId="4588"/>
    <cellStyle name="Normal - Style6" xfId="4589"/>
    <cellStyle name="Normal - Style7" xfId="4590"/>
    <cellStyle name="Normal - Style8" xfId="4591"/>
    <cellStyle name="Normal 10" xfId="4592"/>
    <cellStyle name="Normal 11" xfId="4593"/>
    <cellStyle name="Normal 12" xfId="4594"/>
    <cellStyle name="Normal 13" xfId="4595"/>
    <cellStyle name="Normal 14" xfId="4596"/>
    <cellStyle name="Normal 15" xfId="4597"/>
    <cellStyle name="Normal 16" xfId="4598"/>
    <cellStyle name="Normal 17" xfId="4599"/>
    <cellStyle name="Normal 18" xfId="4600"/>
    <cellStyle name="Normal 19" xfId="4601"/>
    <cellStyle name="Normal 2" xfId="4602"/>
    <cellStyle name="Normal 2 10" xfId="4603"/>
    <cellStyle name="Normal 2 11" xfId="4604"/>
    <cellStyle name="Normal 2 12" xfId="4605"/>
    <cellStyle name="Normal 2 13" xfId="4606"/>
    <cellStyle name="Normal 2 2" xfId="4607"/>
    <cellStyle name="Normal 2 3" xfId="4608"/>
    <cellStyle name="Normal 2 4" xfId="4609"/>
    <cellStyle name="Normal 2 5" xfId="4610"/>
    <cellStyle name="Normal 2 6" xfId="4611"/>
    <cellStyle name="Normal 2 7" xfId="4612"/>
    <cellStyle name="Normal 2 8" xfId="4613"/>
    <cellStyle name="Normal 2 9" xfId="4614"/>
    <cellStyle name="Normal 20" xfId="4615"/>
    <cellStyle name="Normal 21" xfId="5583"/>
    <cellStyle name="Normal 3" xfId="4616"/>
    <cellStyle name="Normal 3 2" xfId="4617"/>
    <cellStyle name="Normal 3 3" xfId="4618"/>
    <cellStyle name="Normal 3 4" xfId="4619"/>
    <cellStyle name="Normal 3 5" xfId="4620"/>
    <cellStyle name="Normal 4" xfId="4621"/>
    <cellStyle name="Normal 4 2" xfId="4622"/>
    <cellStyle name="Normal 5" xfId="4623"/>
    <cellStyle name="Normal 5 2" xfId="4624"/>
    <cellStyle name="Normal 6" xfId="4625"/>
    <cellStyle name="Normal 7" xfId="4626"/>
    <cellStyle name="Normal 7 2" xfId="4627"/>
    <cellStyle name="Normal 8" xfId="4628"/>
    <cellStyle name="Normal 8 2" xfId="4629"/>
    <cellStyle name="Normal 9" xfId="4630"/>
    <cellStyle name="Normal Bold" xfId="4631"/>
    <cellStyle name="Normal." xfId="4632"/>
    <cellStyle name="Normál_1." xfId="4633"/>
    <cellStyle name="Normal1" xfId="4634"/>
    <cellStyle name="Normale_MODELLO DI CONSOLIDAMENTO" xfId="4635"/>
    <cellStyle name="NormalGB" xfId="4636"/>
    <cellStyle name="normální_Rozvaha - aktiva" xfId="4637"/>
    <cellStyle name="Normalny_0" xfId="4638"/>
    <cellStyle name="normбlnм_laroux" xfId="4639"/>
    <cellStyle name="normбlnн_laroux" xfId="4640"/>
    <cellStyle name="Note" xfId="4641"/>
    <cellStyle name="Note 10" xfId="4642"/>
    <cellStyle name="Note 10 2" xfId="4643"/>
    <cellStyle name="Note 10 3" xfId="4644"/>
    <cellStyle name="Note 10 4" xfId="4645"/>
    <cellStyle name="Note 10 5" xfId="4646"/>
    <cellStyle name="Note 11" xfId="4647"/>
    <cellStyle name="Note 11 2" xfId="4648"/>
    <cellStyle name="Note 11 3" xfId="4649"/>
    <cellStyle name="Note 11 4" xfId="4650"/>
    <cellStyle name="Note 11 5" xfId="4651"/>
    <cellStyle name="Note 12" xfId="4652"/>
    <cellStyle name="Note 12 2" xfId="4653"/>
    <cellStyle name="Note 12 3" xfId="4654"/>
    <cellStyle name="Note 12 4" xfId="4655"/>
    <cellStyle name="Note 12 5" xfId="4656"/>
    <cellStyle name="Note 2" xfId="4657"/>
    <cellStyle name="Note 2 2" xfId="4658"/>
    <cellStyle name="Note 2 3" xfId="4659"/>
    <cellStyle name="Note 2 4" xfId="4660"/>
    <cellStyle name="Note 2 5" xfId="4661"/>
    <cellStyle name="Note 3" xfId="4662"/>
    <cellStyle name="Note 3 2" xfId="4663"/>
    <cellStyle name="Note 3 3" xfId="4664"/>
    <cellStyle name="Note 3 4" xfId="4665"/>
    <cellStyle name="Note 3 5" xfId="4666"/>
    <cellStyle name="Note 4" xfId="4667"/>
    <cellStyle name="Note 4 2" xfId="4668"/>
    <cellStyle name="Note 4 3" xfId="4669"/>
    <cellStyle name="Note 4 4" xfId="4670"/>
    <cellStyle name="Note 4 5" xfId="4671"/>
    <cellStyle name="Note 5" xfId="4672"/>
    <cellStyle name="Note 5 2" xfId="4673"/>
    <cellStyle name="Note 5 3" xfId="4674"/>
    <cellStyle name="Note 5 4" xfId="4675"/>
    <cellStyle name="Note 5 5" xfId="4676"/>
    <cellStyle name="Note 6" xfId="4677"/>
    <cellStyle name="Note 6 2" xfId="4678"/>
    <cellStyle name="Note 6 3" xfId="4679"/>
    <cellStyle name="Note 6 4" xfId="4680"/>
    <cellStyle name="Note 6 5" xfId="4681"/>
    <cellStyle name="Note 7" xfId="4682"/>
    <cellStyle name="Note 7 2" xfId="4683"/>
    <cellStyle name="Note 7 3" xfId="4684"/>
    <cellStyle name="Note 7 4" xfId="4685"/>
    <cellStyle name="Note 7 5" xfId="4686"/>
    <cellStyle name="Note 8" xfId="4687"/>
    <cellStyle name="Note 8 2" xfId="4688"/>
    <cellStyle name="Note 8 3" xfId="4689"/>
    <cellStyle name="Note 8 4" xfId="4690"/>
    <cellStyle name="Note 8 5" xfId="4691"/>
    <cellStyle name="Note 9" xfId="4692"/>
    <cellStyle name="Note 9 2" xfId="4693"/>
    <cellStyle name="Note 9 3" xfId="4694"/>
    <cellStyle name="Note 9 4" xfId="4695"/>
    <cellStyle name="Note 9 5" xfId="4696"/>
    <cellStyle name="Note_20101101 BBG Co Snapshot XCS3" xfId="4697"/>
    <cellStyle name="Nr 0 dec" xfId="4698"/>
    <cellStyle name="Nr 0 dec - Input" xfId="4699"/>
    <cellStyle name="Nr 0 dec - Subtotal" xfId="4700"/>
    <cellStyle name="Nr 0 dec - Subtotal 2" xfId="4701"/>
    <cellStyle name="Nr 0 dec_Data" xfId="4702"/>
    <cellStyle name="Nr 1 dec" xfId="4703"/>
    <cellStyle name="Nr 1 dec - Input" xfId="4704"/>
    <cellStyle name="Nr, 0 dec" xfId="4705"/>
    <cellStyle name="number" xfId="4706"/>
    <cellStyle name="Number entry" xfId="4707"/>
    <cellStyle name="Number entry 2" xfId="4708"/>
    <cellStyle name="Number entry 3" xfId="4709"/>
    <cellStyle name="Number entry dec" xfId="4710"/>
    <cellStyle name="Number entry dec 2" xfId="4711"/>
    <cellStyle name="Number entry dec 3" xfId="4712"/>
    <cellStyle name="Number, 0 dec" xfId="4713"/>
    <cellStyle name="Number, 1 dec" xfId="4714"/>
    <cellStyle name="Number, 2 dec" xfId="4715"/>
    <cellStyle name="№йєРАІ_±вЕё" xfId="4716"/>
    <cellStyle name="Œ…‹æØ‚è [0.00]_GE 3 MINIMUM" xfId="4717"/>
    <cellStyle name="Œ…‹æØ‚è_GE 3 MINIMUM" xfId="4718"/>
    <cellStyle name="Oeiainiaue [0]_?anoiau" xfId="4719"/>
    <cellStyle name="Oeiainiaue_?anoiau" xfId="4720"/>
    <cellStyle name="oft Excel]_x000d__x000a_Comment=Строки open=/f добавляют пользовательские функции к списку Вставить функцию._x000d__x000a_Maximized=3_x000d__x000a_Basi" xfId="4721"/>
    <cellStyle name="-Ombrage bleu" xfId="4722"/>
    <cellStyle name="-Ombrage Jaune" xfId="4723"/>
    <cellStyle name="Option" xfId="4724"/>
    <cellStyle name="Option 2" xfId="4725"/>
    <cellStyle name="Option 3" xfId="4726"/>
    <cellStyle name="Option 4" xfId="4727"/>
    <cellStyle name="OptionHeading" xfId="4728"/>
    <cellStyle name="Organization" xfId="4729"/>
    <cellStyle name="Organization 2" xfId="4730"/>
    <cellStyle name="Organization 3" xfId="4731"/>
    <cellStyle name="Ouny?e [0]_?anoiau" xfId="4732"/>
    <cellStyle name="Ouny?e_?anoiau" xfId="4733"/>
    <cellStyle name="outh America" xfId="4734"/>
    <cellStyle name="Output" xfId="4735"/>
    <cellStyle name="Output 10" xfId="4736"/>
    <cellStyle name="Output 11" xfId="4737"/>
    <cellStyle name="Output 12" xfId="4738"/>
    <cellStyle name="Output 2" xfId="4739"/>
    <cellStyle name="Output 2 2" xfId="4740"/>
    <cellStyle name="Output 3" xfId="4741"/>
    <cellStyle name="Output 4" xfId="4742"/>
    <cellStyle name="Output 5" xfId="4743"/>
    <cellStyle name="Output 6" xfId="4744"/>
    <cellStyle name="Output 7" xfId="4745"/>
    <cellStyle name="Output 8" xfId="4746"/>
    <cellStyle name="Output 9" xfId="4747"/>
    <cellStyle name="Output Amounts" xfId="4748"/>
    <cellStyle name="Output Column Headings" xfId="4749"/>
    <cellStyle name="Output Line Items" xfId="4750"/>
    <cellStyle name="Output Report Heading" xfId="4751"/>
    <cellStyle name="Output Report Title" xfId="4752"/>
    <cellStyle name="Output_20101101 BBG Co Snapshot XCS3" xfId="4753"/>
    <cellStyle name="Outputtitle" xfId="4754"/>
    <cellStyle name="p/n" xfId="4755"/>
    <cellStyle name="Paaotsikko" xfId="4756"/>
    <cellStyle name="Page Number" xfId="4757"/>
    <cellStyle name="PageHeading" xfId="4758"/>
    <cellStyle name="PageTitle" xfId="4759"/>
    <cellStyle name="pb_page_heading_LS" xfId="4760"/>
    <cellStyle name="PctLine" xfId="4761"/>
    <cellStyle name="Pénznem [0]_Document" xfId="4762"/>
    <cellStyle name="Pénznem_Document" xfId="4763"/>
    <cellStyle name="perc" xfId="4764"/>
    <cellStyle name="Percen - Style1" xfId="4765"/>
    <cellStyle name="Percent [0]" xfId="4766"/>
    <cellStyle name="Percent [00]" xfId="4767"/>
    <cellStyle name="Percent [1]" xfId="4768"/>
    <cellStyle name="Percent [2]" xfId="4769"/>
    <cellStyle name="Percent [3]" xfId="4770"/>
    <cellStyle name="Percent 1 dec" xfId="4771"/>
    <cellStyle name="Percent 1 dec - Input" xfId="4772"/>
    <cellStyle name="Percent 1 dec_Data" xfId="4773"/>
    <cellStyle name="Percent 2" xfId="4774"/>
    <cellStyle name="Percent 2 2" xfId="4775"/>
    <cellStyle name="Percent 2 3" xfId="4776"/>
    <cellStyle name="Percent 2 4" xfId="4777"/>
    <cellStyle name="Percent 2 5" xfId="4778"/>
    <cellStyle name="Percent 3" xfId="4779"/>
    <cellStyle name="Percent 3 2" xfId="4780"/>
    <cellStyle name="Percent 3 3" xfId="4781"/>
    <cellStyle name="Percent 3 4" xfId="4782"/>
    <cellStyle name="Percent 3 5" xfId="4783"/>
    <cellStyle name="Percent 4" xfId="5585"/>
    <cellStyle name="Percent Comma" xfId="4784"/>
    <cellStyle name="Percent Hard" xfId="4785"/>
    <cellStyle name="Percent hard no" xfId="4786"/>
    <cellStyle name="Percent(1)" xfId="4787"/>
    <cellStyle name="Percent(2)" xfId="4788"/>
    <cellStyle name="Percent, 0 dec" xfId="4789"/>
    <cellStyle name="Percent, 1 dec" xfId="4790"/>
    <cellStyle name="Percent, 2 dec" xfId="4791"/>
    <cellStyle name="Percent, bp" xfId="4792"/>
    <cellStyle name="Percentage" xfId="4793"/>
    <cellStyle name="PercentChange" xfId="4794"/>
    <cellStyle name="perecnt" xfId="4795"/>
    <cellStyle name="PillarData" xfId="4796"/>
    <cellStyle name="PillarText" xfId="4797"/>
    <cellStyle name="precent" xfId="4798"/>
    <cellStyle name="PrePop Currency (0)" xfId="4799"/>
    <cellStyle name="PrePop Currency (0) 2" xfId="4800"/>
    <cellStyle name="PrePop Currency (0) 3" xfId="4801"/>
    <cellStyle name="PrePop Currency (0) 4" xfId="4802"/>
    <cellStyle name="PrePop Currency (0) 5" xfId="4803"/>
    <cellStyle name="PrePop Currency (2)" xfId="4804"/>
    <cellStyle name="PrePop Units (0)" xfId="4805"/>
    <cellStyle name="PrePop Units (0) 2" xfId="4806"/>
    <cellStyle name="PrePop Units (0) 3" xfId="4807"/>
    <cellStyle name="PrePop Units (0) 4" xfId="4808"/>
    <cellStyle name="PrePop Units (0) 5" xfId="4809"/>
    <cellStyle name="PrePop Units (1)" xfId="4810"/>
    <cellStyle name="PrePop Units (1) 2" xfId="4811"/>
    <cellStyle name="PrePop Units (1) 3" xfId="4812"/>
    <cellStyle name="PrePop Units (1) 4" xfId="4813"/>
    <cellStyle name="PrePop Units (1) 5" xfId="4814"/>
    <cellStyle name="PrePop Units (2)" xfId="4815"/>
    <cellStyle name="Price" xfId="4816"/>
    <cellStyle name="Price 2" xfId="4817"/>
    <cellStyle name="Price 3" xfId="4818"/>
    <cellStyle name="Price 4" xfId="4819"/>
    <cellStyle name="price_New Header" xfId="4820"/>
    <cellStyle name="Problem" xfId="4821"/>
    <cellStyle name="prochrek" xfId="4822"/>
    <cellStyle name="prochrek 2" xfId="4823"/>
    <cellStyle name="Profit figure" xfId="4824"/>
    <cellStyle name="Profit figure 2" xfId="4825"/>
    <cellStyle name="Profit figure 3" xfId="4826"/>
    <cellStyle name="Profit figure 4" xfId="4827"/>
    <cellStyle name="PropBorderData" xfId="4828"/>
    <cellStyle name="PropBorderData 2" xfId="4829"/>
    <cellStyle name="PropBorderData 3" xfId="4830"/>
    <cellStyle name="Prosent_DS" xfId="4831"/>
    <cellStyle name="Puslapis1" xfId="4832"/>
    <cellStyle name="Puslapis2" xfId="4833"/>
    <cellStyle name="Pддotsikko" xfId="4834"/>
    <cellStyle name="QTitle" xfId="4835"/>
    <cellStyle name="QTitle 2" xfId="4836"/>
    <cellStyle name="QTitle 2 2" xfId="4837"/>
    <cellStyle name="QTitle 2 3" xfId="4838"/>
    <cellStyle name="QTitle 3" xfId="4839"/>
    <cellStyle name="QTitle 3 2" xfId="4840"/>
    <cellStyle name="QTitle 3 3" xfId="4841"/>
    <cellStyle name="QTitle 4" xfId="4842"/>
    <cellStyle name="QTitle 4 2" xfId="4843"/>
    <cellStyle name="QTitle 4 3" xfId="4844"/>
    <cellStyle name="QTitle 5" xfId="4845"/>
    <cellStyle name="QTitle 6" xfId="4846"/>
    <cellStyle name="range" xfId="4847"/>
    <cellStyle name="range 2" xfId="4848"/>
    <cellStyle name="range 3" xfId="4849"/>
    <cellStyle name="range 4" xfId="4850"/>
    <cellStyle name="rate" xfId="4851"/>
    <cellStyle name="Ratio" xfId="4852"/>
    <cellStyle name="Ratio Comma" xfId="4853"/>
    <cellStyle name="Ratio_Private" xfId="4854"/>
    <cellStyle name="RatioX" xfId="4855"/>
    <cellStyle name="Red" xfId="4856"/>
    <cellStyle name="Red font" xfId="4857"/>
    <cellStyle name="REGEL" xfId="4858"/>
    <cellStyle name="Reset  - Style7" xfId="4859"/>
    <cellStyle name="Result" xfId="4860"/>
    <cellStyle name="Result2" xfId="4861"/>
    <cellStyle name="S3" xfId="4862"/>
    <cellStyle name="S4" xfId="4863"/>
    <cellStyle name="Salomon Logo" xfId="4864"/>
    <cellStyle name="SAPBEXaggData" xfId="4865"/>
    <cellStyle name="SAPBEXaggData 2" xfId="4866"/>
    <cellStyle name="SAPBEXaggDataEmph" xfId="4867"/>
    <cellStyle name="SAPBEXaggDataEmph 2" xfId="4868"/>
    <cellStyle name="SAPBEXaggItem" xfId="4869"/>
    <cellStyle name="SAPBEXaggItem 2" xfId="4870"/>
    <cellStyle name="SAPBEXaggItemX" xfId="4871"/>
    <cellStyle name="SAPBEXaggItemX 2" xfId="4872"/>
    <cellStyle name="SAPBEXchaText" xfId="4873"/>
    <cellStyle name="SAPBEXexcBad7" xfId="4874"/>
    <cellStyle name="SAPBEXexcBad7 2" xfId="4875"/>
    <cellStyle name="SAPBEXexcBad8" xfId="4876"/>
    <cellStyle name="SAPBEXexcBad8 2" xfId="4877"/>
    <cellStyle name="SAPBEXexcBad9" xfId="4878"/>
    <cellStyle name="SAPBEXexcBad9 2" xfId="4879"/>
    <cellStyle name="SAPBEXexcCritical4" xfId="4880"/>
    <cellStyle name="SAPBEXexcCritical4 2" xfId="4881"/>
    <cellStyle name="SAPBEXexcCritical5" xfId="4882"/>
    <cellStyle name="SAPBEXexcCritical5 2" xfId="4883"/>
    <cellStyle name="SAPBEXexcCritical6" xfId="4884"/>
    <cellStyle name="SAPBEXexcCritical6 2" xfId="4885"/>
    <cellStyle name="SAPBEXexcGood1" xfId="4886"/>
    <cellStyle name="SAPBEXexcGood1 2" xfId="4887"/>
    <cellStyle name="SAPBEXexcGood2" xfId="4888"/>
    <cellStyle name="SAPBEXexcGood2 2" xfId="4889"/>
    <cellStyle name="SAPBEXexcGood3" xfId="4890"/>
    <cellStyle name="SAPBEXexcGood3 2" xfId="4891"/>
    <cellStyle name="SAPBEXfilterDrill" xfId="4892"/>
    <cellStyle name="SAPBEXfilterItem" xfId="4893"/>
    <cellStyle name="SAPBEXfilterText" xfId="4894"/>
    <cellStyle name="SAPBEXformats" xfId="4895"/>
    <cellStyle name="SAPBEXformats 2" xfId="4896"/>
    <cellStyle name="SAPBEXheaderItem" xfId="4897"/>
    <cellStyle name="SAPBEXheaderItem 2" xfId="4898"/>
    <cellStyle name="SAPBEXheaderItem 3" xfId="4899"/>
    <cellStyle name="SAPBEXheaderItem 4" xfId="4900"/>
    <cellStyle name="SAPBEXheaderText" xfId="4901"/>
    <cellStyle name="SAPBEXheaderText 2" xfId="4902"/>
    <cellStyle name="SAPBEXheaderText 3" xfId="4903"/>
    <cellStyle name="SAPBEXheaderText 4" xfId="4904"/>
    <cellStyle name="SAPBEXHLevel0" xfId="4905"/>
    <cellStyle name="SAPBEXHLevel0 2" xfId="4906"/>
    <cellStyle name="SAPBEXHLevel0X" xfId="4907"/>
    <cellStyle name="SAPBEXHLevel0X 2" xfId="4908"/>
    <cellStyle name="SAPBEXHLevel1" xfId="4909"/>
    <cellStyle name="SAPBEXHLevel1 2" xfId="4910"/>
    <cellStyle name="SAPBEXHLevel1X" xfId="4911"/>
    <cellStyle name="SAPBEXHLevel1X 2" xfId="4912"/>
    <cellStyle name="SAPBEXHLevel2" xfId="4913"/>
    <cellStyle name="SAPBEXHLevel2 2" xfId="4914"/>
    <cellStyle name="SAPBEXHLevel2X" xfId="4915"/>
    <cellStyle name="SAPBEXHLevel2X 2" xfId="4916"/>
    <cellStyle name="SAPBEXHLevel3" xfId="4917"/>
    <cellStyle name="SAPBEXHLevel3 2" xfId="4918"/>
    <cellStyle name="SAPBEXHLevel3X" xfId="4919"/>
    <cellStyle name="SAPBEXHLevel3X 2" xfId="4920"/>
    <cellStyle name="SAPBEXresData" xfId="4921"/>
    <cellStyle name="SAPBEXresData 2" xfId="4922"/>
    <cellStyle name="SAPBEXresDataEmph" xfId="4923"/>
    <cellStyle name="SAPBEXresDataEmph 2" xfId="4924"/>
    <cellStyle name="SAPBEXresItem" xfId="4925"/>
    <cellStyle name="SAPBEXresItem 2" xfId="4926"/>
    <cellStyle name="SAPBEXresItemX" xfId="4927"/>
    <cellStyle name="SAPBEXresItemX 2" xfId="4928"/>
    <cellStyle name="SAPBEXstdData" xfId="4929"/>
    <cellStyle name="SAPBEXstdData 2" xfId="4930"/>
    <cellStyle name="SAPBEXstdDataEmph" xfId="4931"/>
    <cellStyle name="SAPBEXstdDataEmph 2" xfId="4932"/>
    <cellStyle name="SAPBEXstdItem" xfId="4933"/>
    <cellStyle name="SAPBEXstdItem 2" xfId="4934"/>
    <cellStyle name="SAPBEXstdItemX" xfId="4935"/>
    <cellStyle name="SAPBEXstdItemX 2" xfId="4936"/>
    <cellStyle name="SAPBEXtitle" xfId="4937"/>
    <cellStyle name="SAPBEXundefined" xfId="4938"/>
    <cellStyle name="SAPBEXundefined 2" xfId="4939"/>
    <cellStyle name="SAPOutput" xfId="4940"/>
    <cellStyle name="ScotchRule" xfId="4941"/>
    <cellStyle name="ScripFactor" xfId="4942"/>
    <cellStyle name="Section" xfId="4943"/>
    <cellStyle name="SectionHeading" xfId="4944"/>
    <cellStyle name="SectionHeading 2" xfId="4945"/>
    <cellStyle name="SectionHeading 3" xfId="4946"/>
    <cellStyle name="SEM-BPS-data" xfId="4947"/>
    <cellStyle name="SEM-BPS-head" xfId="4948"/>
    <cellStyle name="SEM-BPS-headdata" xfId="4949"/>
    <cellStyle name="SEM-BPS-headkey" xfId="4950"/>
    <cellStyle name="SEM-BPS-input-on" xfId="4951"/>
    <cellStyle name="SEM-BPS-key" xfId="4952"/>
    <cellStyle name="SEM-BPS-sub1" xfId="4953"/>
    <cellStyle name="SEM-BPS-sub2" xfId="4954"/>
    <cellStyle name="SEM-BPS-total" xfId="4955"/>
    <cellStyle name="Serguei" xfId="4956"/>
    <cellStyle name="Serguei 2" xfId="4957"/>
    <cellStyle name="Show_Sell" xfId="4958"/>
    <cellStyle name="Single Accounting" xfId="4959"/>
    <cellStyle name="small" xfId="4960"/>
    <cellStyle name="Standaard_9410CORA" xfId="4961"/>
    <cellStyle name="Standard" xfId="4962"/>
    <cellStyle name="Stock Comma" xfId="4963"/>
    <cellStyle name="Stock Price" xfId="4964"/>
    <cellStyle name="Straipsnis1" xfId="4965"/>
    <cellStyle name="Straipsnis4" xfId="4966"/>
    <cellStyle name="Strange" xfId="4967"/>
    <cellStyle name="STYLE1 - Style1" xfId="4968"/>
    <cellStyle name="STYLE1 - Style1 2" xfId="4969"/>
    <cellStyle name="STYLE1 - Style1 3" xfId="4970"/>
    <cellStyle name="STYLE1 - Style1 4" xfId="4971"/>
    <cellStyle name="STYLE1 - Style1 5" xfId="4972"/>
    <cellStyle name="StyleAR" xfId="4973"/>
    <cellStyle name="StyleBold" xfId="4974"/>
    <cellStyle name="styleColumnTitles" xfId="4975"/>
    <cellStyle name="StyleDate" xfId="4976"/>
    <cellStyle name="styleDateRange" xfId="4977"/>
    <cellStyle name="StyleHead" xfId="4978"/>
    <cellStyle name="styleHidden" xfId="4979"/>
    <cellStyle name="StyleLG" xfId="4980"/>
    <cellStyle name="styleNormal" xfId="4981"/>
    <cellStyle name="StyleOcc" xfId="4982"/>
    <cellStyle name="StyleRevPAS" xfId="4983"/>
    <cellStyle name="StyleRevPOS" xfId="4984"/>
    <cellStyle name="StyleROcc" xfId="4985"/>
    <cellStyle name="StyleRP" xfId="4986"/>
    <cellStyle name="StyleRPD" xfId="4987"/>
    <cellStyle name="styleSeriesAttributes" xfId="4988"/>
    <cellStyle name="styleSeriesData" xfId="4989"/>
    <cellStyle name="styleSeriesDataForecast" xfId="4990"/>
    <cellStyle name="styleSeriesDataForecastNA" xfId="4991"/>
    <cellStyle name="styleSeriesDataNA" xfId="4992"/>
    <cellStyle name="StyleSOcc" xfId="4993"/>
    <cellStyle name="StyleSum" xfId="4994"/>
    <cellStyle name="StyleWhiteBg" xfId="4995"/>
    <cellStyle name="SubHead" xfId="4996"/>
    <cellStyle name="Subtitle" xfId="4997"/>
    <cellStyle name="Sum" xfId="4998"/>
    <cellStyle name="Sum 2" xfId="4999"/>
    <cellStyle name="Summe" xfId="5000"/>
    <cellStyle name="SYSTEM" xfId="5001"/>
    <cellStyle name="SYSTEM 2" xfId="5002"/>
    <cellStyle name="SYSTEM 3" xfId="5003"/>
    <cellStyle name="Table" xfId="5004"/>
    <cellStyle name="Table  - Style6" xfId="5005"/>
    <cellStyle name="Table  - Style6 2" xfId="5006"/>
    <cellStyle name="Table 2" xfId="5007"/>
    <cellStyle name="Table 3" xfId="5008"/>
    <cellStyle name="Table 4" xfId="5009"/>
    <cellStyle name="Table Col Head" xfId="5010"/>
    <cellStyle name="Table Head" xfId="5011"/>
    <cellStyle name="Table Head Aligned" xfId="5012"/>
    <cellStyle name="Table Head Aligned 2" xfId="5013"/>
    <cellStyle name="Table Head Blue" xfId="5014"/>
    <cellStyle name="Table Head Green" xfId="5015"/>
    <cellStyle name="Table Head Green 2" xfId="5016"/>
    <cellStyle name="Table Head_Val_Sum_Graph" xfId="5017"/>
    <cellStyle name="Table Sub Head" xfId="5018"/>
    <cellStyle name="Table Text" xfId="5019"/>
    <cellStyle name="Table Title" xfId="5020"/>
    <cellStyle name="Table Units" xfId="5021"/>
    <cellStyle name="Table Units 2" xfId="5022"/>
    <cellStyle name="Table_Header" xfId="5023"/>
    <cellStyle name="Tausender" xfId="5024"/>
    <cellStyle name="TCAM" xfId="5025"/>
    <cellStyle name="Test" xfId="5026"/>
    <cellStyle name="-Têtes de colonnes" xfId="5027"/>
    <cellStyle name="Text [3]" xfId="5028"/>
    <cellStyle name="Text [5]" xfId="5029"/>
    <cellStyle name="Text [6]" xfId="5030"/>
    <cellStyle name="Text 1" xfId="5031"/>
    <cellStyle name="Text Head 1" xfId="5032"/>
    <cellStyle name="Text Indent A" xfId="5033"/>
    <cellStyle name="Text Indent A 2" xfId="5034"/>
    <cellStyle name="Text Indent A 3" xfId="5035"/>
    <cellStyle name="Text Indent A 4" xfId="5036"/>
    <cellStyle name="Text Indent B" xfId="5037"/>
    <cellStyle name="Text Indent B 2" xfId="5038"/>
    <cellStyle name="Text Indent B 3" xfId="5039"/>
    <cellStyle name="Text Indent B 4" xfId="5040"/>
    <cellStyle name="Text Indent B 5" xfId="5041"/>
    <cellStyle name="Text Indent C" xfId="5042"/>
    <cellStyle name="Text Indent C 2" xfId="5043"/>
    <cellStyle name="Text Indent C 3" xfId="5044"/>
    <cellStyle name="Text Indent C 4" xfId="5045"/>
    <cellStyle name="Text Indent C 5" xfId="5046"/>
    <cellStyle name="textbold" xfId="5047"/>
    <cellStyle name="Tickmark" xfId="5048"/>
    <cellStyle name="TIME Detail" xfId="5049"/>
    <cellStyle name="TIME Period Start" xfId="5050"/>
    <cellStyle name="Times 10" xfId="5051"/>
    <cellStyle name="Times 12" xfId="5052"/>
    <cellStyle name="Title" xfId="5053"/>
    <cellStyle name="Title  - Style1" xfId="5054"/>
    <cellStyle name="Title_1" xfId="5055"/>
    <cellStyle name="Titles" xfId="5056"/>
    <cellStyle name="To" xfId="5057"/>
    <cellStyle name="Top Edge" xfId="5058"/>
    <cellStyle name="Total" xfId="5059"/>
    <cellStyle name="Total 10" xfId="5060"/>
    <cellStyle name="Total 11" xfId="5061"/>
    <cellStyle name="Total 12" xfId="5062"/>
    <cellStyle name="Total 2" xfId="5063"/>
    <cellStyle name="Total 2 2" xfId="5064"/>
    <cellStyle name="Total 3" xfId="5065"/>
    <cellStyle name="Total 4" xfId="5066"/>
    <cellStyle name="Total 5" xfId="5067"/>
    <cellStyle name="Total 6" xfId="5068"/>
    <cellStyle name="Total 7" xfId="5069"/>
    <cellStyle name="Total 8" xfId="5070"/>
    <cellStyle name="Total 9" xfId="5071"/>
    <cellStyle name="Total_20101101 BBG Co Snapshot XCS3" xfId="5072"/>
    <cellStyle name="Total2 - Style2" xfId="5073"/>
    <cellStyle name="TotCol - Style5" xfId="5074"/>
    <cellStyle name="TotRow - Style4" xfId="5075"/>
    <cellStyle name="TotRow - Style4 2" xfId="5076"/>
    <cellStyle name="-Trait bleu Bas" xfId="5077"/>
    <cellStyle name="-Trait bleu Haut" xfId="5078"/>
    <cellStyle name="Tusenskille [0]_DS" xfId="5079"/>
    <cellStyle name="Tusenskille_DS" xfId="5080"/>
    <cellStyle name="Überschrift 1" xfId="5081"/>
    <cellStyle name="Überschrift 2" xfId="5082"/>
    <cellStyle name="Überschrift 2 2" xfId="5083"/>
    <cellStyle name="Überschrift 2 3" xfId="5084"/>
    <cellStyle name="Überschrift 2 4" xfId="5085"/>
    <cellStyle name="Überschrift 3" xfId="5086"/>
    <cellStyle name="Überschrift 3 2" xfId="5087"/>
    <cellStyle name="Überschrift 3 3" xfId="5088"/>
    <cellStyle name="Überschrift 3 4" xfId="5089"/>
    <cellStyle name="ubordinated Debt" xfId="5090"/>
    <cellStyle name="Undefiniert" xfId="5091"/>
    <cellStyle name="Underline_Single" xfId="5092"/>
    <cellStyle name="Unit" xfId="5093"/>
    <cellStyle name="Unit 2" xfId="5094"/>
    <cellStyle name="Unit 3" xfId="5095"/>
    <cellStyle name="Unit 4" xfId="5096"/>
    <cellStyle name="Units" xfId="5097"/>
    <cellStyle name="Upload Only" xfId="5098"/>
    <cellStyle name="USD" xfId="5099"/>
    <cellStyle name="Validation" xfId="5100"/>
    <cellStyle name="Valiotsikko" xfId="5101"/>
    <cellStyle name="Valuta [0]_Arcen" xfId="5102"/>
    <cellStyle name="Valuta_Arcen" xfId="5103"/>
    <cellStyle name="Vertical" xfId="5104"/>
    <cellStyle name="Vertical 2" xfId="5105"/>
    <cellStyle name="Vertical 3" xfId="5106"/>
    <cellStyle name="Vertical 4" xfId="5107"/>
    <cellStyle name="Vдliotsikko" xfId="5108"/>
    <cellStyle name="Währung [0]_1380" xfId="5109"/>
    <cellStyle name="Wahrung [0]_Bilanz" xfId="5110"/>
    <cellStyle name="Währung [0]_laroux" xfId="5111"/>
    <cellStyle name="Währung_1380" xfId="5112"/>
    <cellStyle name="Wahrung_Bilanz" xfId="5113"/>
    <cellStyle name="Währung_laroux" xfId="5114"/>
    <cellStyle name="Walutowy [0]_1" xfId="5115"/>
    <cellStyle name="Walutowy_1" xfId="5116"/>
    <cellStyle name="Warning Text" xfId="5117"/>
    <cellStyle name="white" xfId="5118"/>
    <cellStyle name="Wдhrung [0]_Compiling Utility Macros" xfId="5119"/>
    <cellStyle name="Wдhrung_Compiling Utility Macros" xfId="5120"/>
    <cellStyle name="year" xfId="5121"/>
    <cellStyle name="Year 2" xfId="5122"/>
    <cellStyle name="Year EN" xfId="5123"/>
    <cellStyle name="Year RU" xfId="5124"/>
    <cellStyle name="Year, Actual" xfId="5125"/>
    <cellStyle name="Year, Expected" xfId="5126"/>
    <cellStyle name="Year_Расчет" xfId="5127"/>
    <cellStyle name="Yellow" xfId="5128"/>
    <cellStyle name="Yellow 2" xfId="5129"/>
    <cellStyle name="Yellow 3" xfId="5130"/>
    <cellStyle name="YelNumbersCurr" xfId="5131"/>
    <cellStyle name="YelNumbersCurr 2" xfId="5132"/>
    <cellStyle name="YelNumbersCurr 2 2" xfId="5133"/>
    <cellStyle name="YelNumbersCurr 2 3" xfId="5134"/>
    <cellStyle name="YelNumbersCurr 3" xfId="5135"/>
    <cellStyle name="YelNumbersCurr 3 2" xfId="5136"/>
    <cellStyle name="YelNumbersCurr 3 3" xfId="5137"/>
    <cellStyle name="YelNumbersCurr 4" xfId="5138"/>
    <cellStyle name="YelNumbersCurr 4 2" xfId="5139"/>
    <cellStyle name="YelNumbersCurr 4 3" xfId="5140"/>
    <cellStyle name="YelNumbersCurr 5" xfId="5141"/>
    <cellStyle name="YelNumbersCurr 6" xfId="5142"/>
    <cellStyle name="Yen" xfId="5143"/>
    <cellStyle name="Акцент1 2" xfId="5144"/>
    <cellStyle name="Акцент2 2" xfId="5145"/>
    <cellStyle name="Акцент3 2" xfId="5146"/>
    <cellStyle name="Акцент4 2" xfId="5147"/>
    <cellStyle name="Акцент5 2" xfId="5148"/>
    <cellStyle name="Акцент6 2" xfId="5149"/>
    <cellStyle name="Беззащитный" xfId="5150"/>
    <cellStyle name="вагоны" xfId="5151"/>
    <cellStyle name="Ввод" xfId="5152"/>
    <cellStyle name="Ввод  2" xfId="5153"/>
    <cellStyle name="Ввод  2 2" xfId="5154"/>
    <cellStyle name="Ввод  2 2 2" xfId="5155"/>
    <cellStyle name="Ввод  2 3" xfId="5156"/>
    <cellStyle name="Верт. заголовок" xfId="5157"/>
    <cellStyle name="Вес_продукта" xfId="5158"/>
    <cellStyle name="Вывод 2" xfId="5159"/>
    <cellStyle name="Вывод 2 2" xfId="5160"/>
    <cellStyle name="Вывод 2 2 2" xfId="5161"/>
    <cellStyle name="Вывод 2 3" xfId="5162"/>
    <cellStyle name="Вычисление 2" xfId="5163"/>
    <cellStyle name="Вычисление 2 2" xfId="5164"/>
    <cellStyle name="Вычисление 2 2 2" xfId="5165"/>
    <cellStyle name="Вычисление 2 3" xfId="5166"/>
    <cellStyle name="Гиперссылка 2" xfId="5167"/>
    <cellStyle name="Гиперссылка 3" xfId="5168"/>
    <cellStyle name="Гиперссылка 4" xfId="5169"/>
    <cellStyle name="Гиперссылка 5" xfId="5170"/>
    <cellStyle name="Гиперссылка 6" xfId="5171"/>
    <cellStyle name="Гиперссылка 7" xfId="5172"/>
    <cellStyle name="Гиперссылка 8" xfId="5578"/>
    <cellStyle name="Группа" xfId="5173"/>
    <cellStyle name="Группа 0" xfId="5174"/>
    <cellStyle name="Группа 1" xfId="5175"/>
    <cellStyle name="Группа 2" xfId="5176"/>
    <cellStyle name="Группа 3" xfId="5177"/>
    <cellStyle name="Группа 4" xfId="5178"/>
    <cellStyle name="Дата" xfId="5179"/>
    <cellStyle name="Дата UTL" xfId="5180"/>
    <cellStyle name="Денежный (0)" xfId="5181"/>
    <cellStyle name="Денежный 2" xfId="5182"/>
    <cellStyle name="Денежный 2 2" xfId="5183"/>
    <cellStyle name="Денежный 3" xfId="5184"/>
    <cellStyle name="Заметка" xfId="5185"/>
    <cellStyle name="ибrky [0]_laroux" xfId="5186"/>
    <cellStyle name="ибrky_laroux" xfId="5187"/>
    <cellStyle name="Итого" xfId="5188"/>
    <cellStyle name="мои_цифры" xfId="5190"/>
    <cellStyle name="мой" xfId="5189"/>
    <cellStyle name="Невидимый" xfId="5191"/>
    <cellStyle name="Низ1" xfId="5192"/>
    <cellStyle name="Низ2" xfId="5193"/>
    <cellStyle name="Обычный" xfId="0" builtinId="0"/>
    <cellStyle name="Обычный 10" xfId="5194"/>
    <cellStyle name="Обычный 10 2" xfId="6"/>
    <cellStyle name="Обычный 11" xfId="5195"/>
    <cellStyle name="Обычный 11 4 2 2" xfId="7"/>
    <cellStyle name="Обычный 12" xfId="8"/>
    <cellStyle name="Обычный 13" xfId="9"/>
    <cellStyle name="Обычный 13 2" xfId="5196"/>
    <cellStyle name="Обычный 14" xfId="5197"/>
    <cellStyle name="Обычный 15" xfId="5198"/>
    <cellStyle name="Обычный 16" xfId="5199"/>
    <cellStyle name="Обычный 17" xfId="5200"/>
    <cellStyle name="Обычный 18" xfId="5201"/>
    <cellStyle name="Обычный 19" xfId="5202"/>
    <cellStyle name="Обычный 2" xfId="10"/>
    <cellStyle name="Обычный 2 10" xfId="11"/>
    <cellStyle name="Обычный 2 11" xfId="5203"/>
    <cellStyle name="Обычный 2 12" xfId="5204"/>
    <cellStyle name="Обычный 2 13" xfId="5205"/>
    <cellStyle name="Обычный 2 14" xfId="5206"/>
    <cellStyle name="Обычный 2 15" xfId="5207"/>
    <cellStyle name="Обычный 2 16" xfId="5208"/>
    <cellStyle name="Обычный 2 17" xfId="5209"/>
    <cellStyle name="Обычный 2 18" xfId="5210"/>
    <cellStyle name="Обычный 2 19" xfId="5211"/>
    <cellStyle name="Обычный 2 2" xfId="12"/>
    <cellStyle name="Обычный 2 2 2" xfId="5212"/>
    <cellStyle name="Обычный 2 2 2 6" xfId="5586"/>
    <cellStyle name="Обычный 2 2 3" xfId="5213"/>
    <cellStyle name="Обычный 2 2 4" xfId="5214"/>
    <cellStyle name="Обычный 2 2 5" xfId="5587"/>
    <cellStyle name="Обычный 2 20" xfId="5215"/>
    <cellStyle name="Обычный 2 21" xfId="5216"/>
    <cellStyle name="Обычный 2 22" xfId="5217"/>
    <cellStyle name="Обычный 2 23" xfId="5218"/>
    <cellStyle name="Обычный 2 24" xfId="5219"/>
    <cellStyle name="Обычный 2 25" xfId="5220"/>
    <cellStyle name="Обычный 2 26" xfId="5221"/>
    <cellStyle name="Обычный 2 26 2" xfId="5222"/>
    <cellStyle name="Обычный 2 26 3" xfId="5223"/>
    <cellStyle name="Обычный 2 27" xfId="5224"/>
    <cellStyle name="Обычный 2 28" xfId="5225"/>
    <cellStyle name="Обычный 2 29" xfId="5226"/>
    <cellStyle name="Обычный 2 3" xfId="5227"/>
    <cellStyle name="Обычный 2 3 7" xfId="5576"/>
    <cellStyle name="Обычный 2 30" xfId="5228"/>
    <cellStyle name="Обычный 2 31" xfId="5229"/>
    <cellStyle name="Обычный 2 32" xfId="5230"/>
    <cellStyle name="Обычный 2 33" xfId="5231"/>
    <cellStyle name="Обычный 2 34" xfId="5232"/>
    <cellStyle name="Обычный 2 35" xfId="5233"/>
    <cellStyle name="Обычный 2 36" xfId="5234"/>
    <cellStyle name="Обычный 2 37" xfId="5567"/>
    <cellStyle name="Обычный 2 4" xfId="5235"/>
    <cellStyle name="Обычный 2 5" xfId="13"/>
    <cellStyle name="Обычный 2 5 3" xfId="14"/>
    <cellStyle name="Обычный 2 5 4" xfId="15"/>
    <cellStyle name="Обычный 2 52" xfId="5570"/>
    <cellStyle name="Обычный 2 6" xfId="5236"/>
    <cellStyle name="Обычный 2 7" xfId="5237"/>
    <cellStyle name="Обычный 2 7 2" xfId="5238"/>
    <cellStyle name="Обычный 2 8" xfId="16"/>
    <cellStyle name="Обычный 2 9" xfId="5239"/>
    <cellStyle name="Обычный 2_BS" xfId="5240"/>
    <cellStyle name="Обычный 20" xfId="5241"/>
    <cellStyle name="Обычный 21" xfId="5242"/>
    <cellStyle name="Обычный 22" xfId="5243"/>
    <cellStyle name="Обычный 23" xfId="5244"/>
    <cellStyle name="Обычный 24" xfId="5245"/>
    <cellStyle name="Обычный 25" xfId="5246"/>
    <cellStyle name="Обычный 26" xfId="5247"/>
    <cellStyle name="Обычный 27" xfId="5248"/>
    <cellStyle name="Обычный 28" xfId="5249"/>
    <cellStyle name="Обычный 29" xfId="5250"/>
    <cellStyle name="Обычный 3" xfId="17"/>
    <cellStyle name="Обычный 3 10" xfId="5251"/>
    <cellStyle name="Обычный 3 11" xfId="5252"/>
    <cellStyle name="Обычный 3 12" xfId="5253"/>
    <cellStyle name="Обычный 3 13" xfId="5254"/>
    <cellStyle name="Обычный 3 14" xfId="5255"/>
    <cellStyle name="Обычный 3 15" xfId="5256"/>
    <cellStyle name="Обычный 3 16" xfId="5257"/>
    <cellStyle name="Обычный 3 2" xfId="5258"/>
    <cellStyle name="Обычный 3 2 2" xfId="5259"/>
    <cellStyle name="Обычный 3 2 2 2" xfId="5260"/>
    <cellStyle name="Обычный 3 3" xfId="5261"/>
    <cellStyle name="Обычный 3 3 2" xfId="5262"/>
    <cellStyle name="Обычный 3 3 3" xfId="5263"/>
    <cellStyle name="Обычный 3 4" xfId="5264"/>
    <cellStyle name="Обычный 3 5" xfId="5265"/>
    <cellStyle name="Обычный 3 6" xfId="5266"/>
    <cellStyle name="Обычный 3 7" xfId="5267"/>
    <cellStyle name="Обычный 3 7 2" xfId="5449"/>
    <cellStyle name="Обычный 3 8" xfId="5268"/>
    <cellStyle name="Обычный 3 9" xfId="5269"/>
    <cellStyle name="Обычный 3_График погашения кредитов" xfId="5270"/>
    <cellStyle name="Обычный 30" xfId="5271"/>
    <cellStyle name="Обычный 31" xfId="5272"/>
    <cellStyle name="Обычный 32" xfId="5273"/>
    <cellStyle name="Обычный 33" xfId="5274"/>
    <cellStyle name="Обычный 34" xfId="5275"/>
    <cellStyle name="Обычный 35" xfId="5276"/>
    <cellStyle name="Обычный 36" xfId="5277"/>
    <cellStyle name="Обычный 36 2" xfId="5278"/>
    <cellStyle name="Обычный 37" xfId="5279"/>
    <cellStyle name="Обычный 38" xfId="5280"/>
    <cellStyle name="Обычный 39" xfId="5281"/>
    <cellStyle name="Обычный 4" xfId="18"/>
    <cellStyle name="Обычный 4 2" xfId="5282"/>
    <cellStyle name="Обычный 4 2 2" xfId="5283"/>
    <cellStyle name="Обычный 4 3" xfId="5284"/>
    <cellStyle name="Обычный 4 3 2" xfId="5285"/>
    <cellStyle name="Обычный 4 5" xfId="5286"/>
    <cellStyle name="Обычный 40" xfId="5287"/>
    <cellStyle name="Обычный 41" xfId="5288"/>
    <cellStyle name="Обычный 41 2" xfId="5289"/>
    <cellStyle name="Обычный 41 3" xfId="5290"/>
    <cellStyle name="Обычный 42" xfId="5566"/>
    <cellStyle name="Обычный 42 2" xfId="5572"/>
    <cellStyle name="Обычный 42 3" xfId="5574"/>
    <cellStyle name="Обычный 42 3 2" xfId="5581"/>
    <cellStyle name="Обычный 43" xfId="5568"/>
    <cellStyle name="Обычный 43 2" xfId="5575"/>
    <cellStyle name="Обычный 43 2 2" xfId="5580"/>
    <cellStyle name="Обычный 44" xfId="5571"/>
    <cellStyle name="Обычный 45" xfId="5577"/>
    <cellStyle name="Обычный 5" xfId="19"/>
    <cellStyle name="Обычный 5 2" xfId="5291"/>
    <cellStyle name="Обычный 5 2 2" xfId="5292"/>
    <cellStyle name="Обычный 5 2 3" xfId="5293"/>
    <cellStyle name="Обычный 5 3" xfId="5294"/>
    <cellStyle name="Обычный 5 4" xfId="5295"/>
    <cellStyle name="Обычный 5 5" xfId="5296"/>
    <cellStyle name="Обычный 6" xfId="26"/>
    <cellStyle name="Обычный 6 2" xfId="5297"/>
    <cellStyle name="Обычный 7" xfId="20"/>
    <cellStyle name="Обычный 7 2 2" xfId="21"/>
    <cellStyle name="Обычный 8" xfId="5298"/>
    <cellStyle name="Обычный 8 2" xfId="5299"/>
    <cellStyle name="Обычный 87 2" xfId="5451"/>
    <cellStyle name="Обычный 89 2" xfId="22"/>
    <cellStyle name="Обычный 9" xfId="5300"/>
    <cellStyle name="Обычный 9 2" xfId="5301"/>
    <cellStyle name="Обычный 92" xfId="5569"/>
    <cellStyle name="Обычный 94" xfId="5302"/>
    <cellStyle name="Обычный 94 2" xfId="5303"/>
    <cellStyle name="Обычный 94 2 2" xfId="5304"/>
    <cellStyle name="Обычный 94 2 3" xfId="5305"/>
    <cellStyle name="Обычный 94 3" xfId="5306"/>
    <cellStyle name="Подгруппа" xfId="5307"/>
    <cellStyle name="Пояснение 2" xfId="5308"/>
    <cellStyle name="Примечание 2" xfId="5309"/>
    <cellStyle name="Примечание 2 2" xfId="5310"/>
    <cellStyle name="Примечание 2 2 2" xfId="5311"/>
    <cellStyle name="Примечание 2 2 2 2" xfId="5312"/>
    <cellStyle name="Примечание 2 2 3" xfId="5313"/>
    <cellStyle name="Примечание 2 3" xfId="5314"/>
    <cellStyle name="Примечание 2 3 2" xfId="5315"/>
    <cellStyle name="Примечание 2_CF прогноз 2010" xfId="5316"/>
    <cellStyle name="Примечание 3" xfId="5317"/>
    <cellStyle name="Примечание 3 2" xfId="5318"/>
    <cellStyle name="Примечание 3 2 2" xfId="5319"/>
    <cellStyle name="Примечание 3 2 2 2" xfId="5320"/>
    <cellStyle name="Примечание 3 2 3" xfId="5321"/>
    <cellStyle name="Примечание 3 3" xfId="5322"/>
    <cellStyle name="Примечание 3 3 2" xfId="5323"/>
    <cellStyle name="Примечание 3_CF прогноз 2010" xfId="5324"/>
    <cellStyle name="Примечание 4" xfId="5325"/>
    <cellStyle name="Примечание 4 2" xfId="5326"/>
    <cellStyle name="Примечание 4 2 2" xfId="5327"/>
    <cellStyle name="Примечание 4 2 2 2" xfId="5328"/>
    <cellStyle name="Примечание 4 2 3" xfId="5329"/>
    <cellStyle name="Примечание 4 3" xfId="5330"/>
    <cellStyle name="Примечание 4 3 2" xfId="5331"/>
    <cellStyle name="Примечание 4_CF прогноз 2010" xfId="5332"/>
    <cellStyle name="проба" xfId="5333"/>
    <cellStyle name="Продукт" xfId="5334"/>
    <cellStyle name="Процентный" xfId="2805" builtinId="5"/>
    <cellStyle name="Процентный 10" xfId="5335"/>
    <cellStyle name="Процентный 10 2" xfId="5336"/>
    <cellStyle name="Процентный 10 2 2" xfId="5337"/>
    <cellStyle name="Процентный 10 2 3" xfId="5338"/>
    <cellStyle name="Процентный 11" xfId="5339"/>
    <cellStyle name="Процентный 12" xfId="5340"/>
    <cellStyle name="Процентный 12 2" xfId="5341"/>
    <cellStyle name="Процентный 13" xfId="5342"/>
    <cellStyle name="Процентный 14" xfId="5343"/>
    <cellStyle name="Процентный 15" xfId="5344"/>
    <cellStyle name="Процентный 15 2" xfId="5345"/>
    <cellStyle name="Процентный 16" xfId="5346"/>
    <cellStyle name="Процентный 17" xfId="5347"/>
    <cellStyle name="Процентный 18" xfId="5348"/>
    <cellStyle name="Процентный 19" xfId="5349"/>
    <cellStyle name="Процентный 2" xfId="23"/>
    <cellStyle name="Процентный 2 2" xfId="5350"/>
    <cellStyle name="Процентный 2 2 2" xfId="5450"/>
    <cellStyle name="Процентный 2 2 3" xfId="5588"/>
    <cellStyle name="Процентный 2 3" xfId="5351"/>
    <cellStyle name="Процентный 2 4" xfId="5352"/>
    <cellStyle name="Процентный 2 5" xfId="5353"/>
    <cellStyle name="Процентный 2 6" xfId="5354"/>
    <cellStyle name="Процентный 20" xfId="5355"/>
    <cellStyle name="Процентный 21" xfId="5356"/>
    <cellStyle name="Процентный 22" xfId="5357"/>
    <cellStyle name="Процентный 23" xfId="5358"/>
    <cellStyle name="Процентный 24" xfId="5359"/>
    <cellStyle name="Процентный 3" xfId="27"/>
    <cellStyle name="Процентный 3 2" xfId="24"/>
    <cellStyle name="Процентный 3 3" xfId="5589"/>
    <cellStyle name="Процентный 4" xfId="5360"/>
    <cellStyle name="Процентный 5" xfId="5361"/>
    <cellStyle name="Процентный 6" xfId="5362"/>
    <cellStyle name="Процентный 7" xfId="5363"/>
    <cellStyle name="Процентный 7 2" xfId="5364"/>
    <cellStyle name="Процентный 7 3" xfId="5365"/>
    <cellStyle name="Процентный 8" xfId="5366"/>
    <cellStyle name="Процентный 9" xfId="5367"/>
    <cellStyle name="Разница" xfId="5368"/>
    <cellStyle name="Стиль 1" xfId="5369"/>
    <cellStyle name="Субсчет" xfId="5370"/>
    <cellStyle name="Счет" xfId="5371"/>
    <cellStyle name="тонны" xfId="5372"/>
    <cellStyle name="Тысячи [0]_&quot;АПАТИТ&quot;" xfId="5373"/>
    <cellStyle name="Тысячи [а]" xfId="5374"/>
    <cellStyle name="Тысячи_&quot;АПАТИТ&quot;" xfId="5375"/>
    <cellStyle name="УровеньСтолб_2_Форма 14" xfId="5376"/>
    <cellStyle name="Финансовый" xfId="5573" builtinId="3"/>
    <cellStyle name="Финансовый [0] 2" xfId="5377"/>
    <cellStyle name="Финансовый 10" xfId="5378"/>
    <cellStyle name="Финансовый 109" xfId="5452"/>
    <cellStyle name="Финансовый 11" xfId="5379"/>
    <cellStyle name="Финансовый 12" xfId="5380"/>
    <cellStyle name="Финансовый 13" xfId="5381"/>
    <cellStyle name="Финансовый 14" xfId="5382"/>
    <cellStyle name="Финансовый 14 2" xfId="5383"/>
    <cellStyle name="Финансовый 15" xfId="5384"/>
    <cellStyle name="Финансовый 16" xfId="5385"/>
    <cellStyle name="Финансовый 16 2" xfId="5386"/>
    <cellStyle name="Финансовый 17" xfId="5387"/>
    <cellStyle name="Финансовый 18" xfId="5388"/>
    <cellStyle name="Финансовый 19" xfId="5389"/>
    <cellStyle name="Финансовый 2" xfId="25"/>
    <cellStyle name="Финансовый 2 10" xfId="5390"/>
    <cellStyle name="Финансовый 2 11" xfId="5391"/>
    <cellStyle name="Финансовый 2 12" xfId="5392"/>
    <cellStyle name="Финансовый 2 2" xfId="28"/>
    <cellStyle name="Финансовый 2 3" xfId="5393"/>
    <cellStyle name="Финансовый 2 4" xfId="5394"/>
    <cellStyle name="Финансовый 2 5" xfId="5395"/>
    <cellStyle name="Финансовый 2 6" xfId="5396"/>
    <cellStyle name="Финансовый 2 7" xfId="5397"/>
    <cellStyle name="Финансовый 2 8" xfId="5398"/>
    <cellStyle name="Финансовый 2 9" xfId="5399"/>
    <cellStyle name="Финансовый 20" xfId="5400"/>
    <cellStyle name="Финансовый 21" xfId="5579"/>
    <cellStyle name="Финансовый 22" xfId="5582"/>
    <cellStyle name="Финансовый 3" xfId="29"/>
    <cellStyle name="Финансовый 3 2" xfId="31"/>
    <cellStyle name="Финансовый 3 3" xfId="5401"/>
    <cellStyle name="Финансовый 4" xfId="5402"/>
    <cellStyle name="Финансовый 4 2" xfId="5403"/>
    <cellStyle name="Финансовый 5" xfId="5404"/>
    <cellStyle name="Финансовый 6" xfId="5405"/>
    <cellStyle name="Финансовый 7" xfId="5406"/>
    <cellStyle name="Финансовый 8" xfId="5407"/>
    <cellStyle name="Финансовый 9" xfId="5408"/>
    <cellStyle name="Цена_продукта" xfId="5409"/>
    <cellStyle name="Шапка" xfId="5410"/>
    <cellStyle name="ШАУ" xfId="5411"/>
    <cellStyle name="アクセント 1" xfId="5412"/>
    <cellStyle name="アクセント 2" xfId="5413"/>
    <cellStyle name="アクセント 3" xfId="5414"/>
    <cellStyle name="アクセント 4" xfId="5415"/>
    <cellStyle name="アクセント 5" xfId="5416"/>
    <cellStyle name="アクセント 6" xfId="5417"/>
    <cellStyle name="タイトル" xfId="5418"/>
    <cellStyle name="チェック セル" xfId="5419"/>
    <cellStyle name="どちらでもない" xfId="5420"/>
    <cellStyle name="メモ" xfId="5421"/>
    <cellStyle name="リンク セル" xfId="5422"/>
    <cellStyle name="入力" xfId="5423"/>
    <cellStyle name="出力" xfId="5424"/>
    <cellStyle name="悪い" xfId="5425"/>
    <cellStyle name="標準_finan_bbg10" xfId="5426"/>
    <cellStyle name="良い" xfId="5427"/>
    <cellStyle name="見出し 1" xfId="5428"/>
    <cellStyle name="見出し 2" xfId="5429"/>
    <cellStyle name="見出し 3" xfId="5430"/>
    <cellStyle name="見出し 4" xfId="5431"/>
    <cellStyle name="計算" xfId="5432"/>
    <cellStyle name="説明文" xfId="5433"/>
    <cellStyle name="警告文" xfId="5434"/>
    <cellStyle name="集計" xfId="5435"/>
  </cellStyles>
  <dxfs count="0"/>
  <tableStyles count="0" defaultTableStyle="TableStyleMedium2" defaultPivotStyle="PivotStyleLight16"/>
  <colors>
    <mruColors>
      <color rgb="FF0000CC"/>
      <color rgb="FFFFFFCC"/>
      <color rgb="FF003DB8"/>
      <color rgb="FF3B4A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O269"/>
  <sheetViews>
    <sheetView tabSelected="1" zoomScaleNormal="100" workbookViewId="0"/>
  </sheetViews>
  <sheetFormatPr defaultRowHeight="15"/>
  <cols>
    <col min="3" max="12" width="6" customWidth="1"/>
    <col min="14" max="15" width="11.140625" bestFit="1" customWidth="1"/>
    <col min="16" max="16" width="10.140625" bestFit="1" customWidth="1"/>
    <col min="17" max="176" width="10.140625" customWidth="1"/>
    <col min="177" max="177" width="11.140625" bestFit="1" customWidth="1"/>
    <col min="178" max="178" width="11.140625" hidden="1" customWidth="1"/>
    <col min="179" max="198" width="0" hidden="1" customWidth="1"/>
    <col min="200" max="249" width="0" hidden="1" customWidth="1"/>
  </cols>
  <sheetData>
    <row r="1" spans="2:249" ht="15.75" thickBot="1">
      <c r="B1" s="178" t="s">
        <v>197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</row>
    <row r="2" spans="2:249">
      <c r="B2" s="183" t="s">
        <v>0</v>
      </c>
      <c r="C2" s="185">
        <v>2021</v>
      </c>
      <c r="D2" s="186"/>
      <c r="E2" s="185">
        <v>2022</v>
      </c>
      <c r="F2" s="186"/>
      <c r="G2" s="185">
        <v>2023</v>
      </c>
      <c r="H2" s="186"/>
      <c r="I2" s="185">
        <v>2024</v>
      </c>
      <c r="J2" s="186"/>
      <c r="K2" s="185">
        <v>2025</v>
      </c>
      <c r="L2" s="187"/>
      <c r="O2" s="179" t="s">
        <v>196</v>
      </c>
      <c r="P2" s="180"/>
      <c r="GR2" s="62"/>
      <c r="GS2" s="62"/>
      <c r="GT2" s="62"/>
      <c r="GU2" s="62"/>
      <c r="GV2" s="63"/>
      <c r="GW2" s="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</row>
    <row r="3" spans="2:249" ht="45.75" thickBot="1">
      <c r="B3" s="184"/>
      <c r="C3" s="124" t="s">
        <v>1</v>
      </c>
      <c r="D3" s="124" t="s">
        <v>2</v>
      </c>
      <c r="E3" s="124" t="s">
        <v>1</v>
      </c>
      <c r="F3" s="124" t="s">
        <v>2</v>
      </c>
      <c r="G3" s="124" t="s">
        <v>1</v>
      </c>
      <c r="H3" s="124" t="s">
        <v>2</v>
      </c>
      <c r="I3" s="124" t="s">
        <v>1</v>
      </c>
      <c r="J3" s="124" t="s">
        <v>2</v>
      </c>
      <c r="K3" s="124" t="s">
        <v>1</v>
      </c>
      <c r="L3" s="125" t="s">
        <v>2</v>
      </c>
      <c r="O3" s="165">
        <v>50</v>
      </c>
      <c r="P3" s="166" t="s">
        <v>194</v>
      </c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R3" s="1"/>
      <c r="GS3" s="1"/>
      <c r="GT3" s="1"/>
      <c r="GU3" s="1"/>
      <c r="GV3" s="9"/>
      <c r="GW3" s="1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1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1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</row>
    <row r="4" spans="2:249" ht="34.5">
      <c r="B4" s="127" t="s">
        <v>3</v>
      </c>
      <c r="C4" s="128">
        <v>2000</v>
      </c>
      <c r="D4" s="128" t="s">
        <v>193</v>
      </c>
      <c r="E4" s="128">
        <v>2200.0000000000005</v>
      </c>
      <c r="F4" s="128" t="s">
        <v>193</v>
      </c>
      <c r="G4" s="128">
        <v>2156.0000000000005</v>
      </c>
      <c r="H4" s="128" t="s">
        <v>193</v>
      </c>
      <c r="I4" s="128">
        <v>2519.6392000000005</v>
      </c>
      <c r="J4" s="128" t="s">
        <v>193</v>
      </c>
      <c r="K4" s="128">
        <v>2686.1958399999999</v>
      </c>
      <c r="L4" s="128" t="s">
        <v>193</v>
      </c>
      <c r="O4" s="181" t="s">
        <v>195</v>
      </c>
      <c r="P4" s="182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137"/>
      <c r="FV4" s="1"/>
      <c r="FW4" s="72"/>
      <c r="FX4" s="72"/>
      <c r="FY4" s="72"/>
      <c r="FZ4" s="72"/>
      <c r="GA4" s="72"/>
      <c r="GB4" s="72"/>
      <c r="GC4" s="72"/>
      <c r="GD4" s="72"/>
      <c r="GE4" s="72"/>
      <c r="GF4" s="72"/>
      <c r="GG4" s="72"/>
      <c r="GH4" s="1"/>
      <c r="GI4" s="72"/>
      <c r="GJ4" s="72"/>
      <c r="GK4" s="72"/>
      <c r="GL4" s="72"/>
      <c r="GM4" s="72"/>
      <c r="GN4" s="72"/>
      <c r="GO4" s="72"/>
      <c r="GP4" s="72"/>
      <c r="GR4" s="14"/>
      <c r="GS4" s="14"/>
      <c r="GT4" s="14"/>
      <c r="GU4" s="14"/>
      <c r="GV4" s="65"/>
      <c r="GW4" s="1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</row>
    <row r="5" spans="2:249">
      <c r="B5" s="126" t="s">
        <v>5</v>
      </c>
      <c r="C5" s="129">
        <v>93000</v>
      </c>
      <c r="D5" s="129" t="s">
        <v>4</v>
      </c>
      <c r="E5" s="129">
        <v>105600.00000000001</v>
      </c>
      <c r="F5" s="129" t="s">
        <v>4</v>
      </c>
      <c r="G5" s="129">
        <v>98098.000000000015</v>
      </c>
      <c r="H5" s="129" t="s">
        <v>4</v>
      </c>
      <c r="I5" s="129">
        <v>120895.68160000003</v>
      </c>
      <c r="J5" s="129" t="s">
        <v>4</v>
      </c>
      <c r="K5" s="129">
        <v>122645.00864000001</v>
      </c>
      <c r="L5" s="129" t="s">
        <v>4</v>
      </c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7"/>
      <c r="BO5" s="137"/>
      <c r="BP5" s="137"/>
      <c r="BQ5" s="137"/>
      <c r="BR5" s="137"/>
      <c r="BS5" s="137"/>
      <c r="BT5" s="137"/>
      <c r="BU5" s="137"/>
      <c r="BV5" s="137"/>
      <c r="BW5" s="137"/>
      <c r="BX5" s="137"/>
      <c r="BY5" s="137"/>
      <c r="BZ5" s="137"/>
      <c r="CA5" s="137"/>
      <c r="CB5" s="137"/>
      <c r="CC5" s="137"/>
      <c r="CD5" s="137"/>
      <c r="CE5" s="137"/>
      <c r="CF5" s="137"/>
      <c r="CG5" s="137"/>
      <c r="CH5" s="137"/>
      <c r="CI5" s="137"/>
      <c r="CJ5" s="137"/>
      <c r="CK5" s="137"/>
      <c r="CL5" s="137"/>
      <c r="CM5" s="137"/>
      <c r="CN5" s="137"/>
      <c r="CO5" s="137"/>
      <c r="CP5" s="137"/>
      <c r="CQ5" s="137"/>
      <c r="CR5" s="137"/>
      <c r="CS5" s="137"/>
      <c r="CT5" s="137"/>
      <c r="CU5" s="137"/>
      <c r="CV5" s="137"/>
      <c r="CW5" s="137"/>
      <c r="CX5" s="137"/>
      <c r="CY5" s="137"/>
      <c r="CZ5" s="137"/>
      <c r="DA5" s="137"/>
      <c r="DB5" s="137"/>
      <c r="DC5" s="137"/>
      <c r="DD5" s="137"/>
      <c r="DE5" s="137"/>
      <c r="DF5" s="137"/>
      <c r="DG5" s="137"/>
      <c r="DH5" s="137"/>
      <c r="DI5" s="137"/>
      <c r="DJ5" s="137"/>
      <c r="DK5" s="137"/>
      <c r="DL5" s="137"/>
      <c r="DM5" s="137"/>
      <c r="DN5" s="137"/>
      <c r="DO5" s="137"/>
      <c r="DP5" s="137"/>
      <c r="DQ5" s="137"/>
      <c r="DR5" s="137"/>
      <c r="DS5" s="137"/>
      <c r="DT5" s="137"/>
      <c r="DU5" s="137"/>
      <c r="DV5" s="137"/>
      <c r="DW5" s="137"/>
      <c r="DX5" s="137"/>
      <c r="DY5" s="137"/>
      <c r="DZ5" s="137"/>
      <c r="EA5" s="137"/>
      <c r="EB5" s="137"/>
      <c r="EC5" s="137"/>
      <c r="ED5" s="137"/>
      <c r="EE5" s="137"/>
      <c r="EF5" s="137"/>
      <c r="EG5" s="137"/>
      <c r="EH5" s="137"/>
      <c r="EI5" s="137"/>
      <c r="EJ5" s="137"/>
      <c r="EK5" s="137"/>
      <c r="EL5" s="137"/>
      <c r="EM5" s="137"/>
      <c r="EN5" s="137"/>
      <c r="EO5" s="137"/>
      <c r="EP5" s="137"/>
      <c r="EQ5" s="137"/>
      <c r="ER5" s="137"/>
      <c r="ES5" s="137"/>
      <c r="ET5" s="137"/>
      <c r="EU5" s="137"/>
      <c r="EV5" s="137"/>
      <c r="EW5" s="137"/>
      <c r="EX5" s="137"/>
      <c r="EY5" s="137"/>
      <c r="EZ5" s="137"/>
      <c r="FA5" s="137"/>
      <c r="FB5" s="137"/>
      <c r="FC5" s="137"/>
      <c r="FD5" s="137"/>
      <c r="FE5" s="137"/>
      <c r="FF5" s="137"/>
      <c r="FG5" s="137"/>
      <c r="FH5" s="137"/>
      <c r="FI5" s="137"/>
      <c r="FJ5" s="137"/>
      <c r="FK5" s="137"/>
      <c r="FL5" s="137"/>
      <c r="FM5" s="137"/>
      <c r="FN5" s="137"/>
      <c r="FO5" s="137"/>
      <c r="FP5" s="137"/>
      <c r="FQ5" s="137"/>
      <c r="FR5" s="137"/>
      <c r="FS5" s="137"/>
      <c r="FT5" s="137"/>
      <c r="FU5" s="137"/>
      <c r="FV5" s="1"/>
      <c r="FW5" s="123"/>
      <c r="FX5" s="75"/>
      <c r="FY5" s="75"/>
      <c r="FZ5" s="75"/>
      <c r="GA5" s="75"/>
      <c r="GB5" s="75"/>
      <c r="GC5" s="75"/>
      <c r="GD5" s="75"/>
      <c r="GE5" s="75"/>
      <c r="GF5" s="75"/>
      <c r="GG5" s="75"/>
      <c r="GH5" s="1"/>
      <c r="GI5" s="1"/>
      <c r="GJ5" s="1"/>
      <c r="GK5" s="1"/>
      <c r="GL5" s="1"/>
      <c r="GM5" s="1"/>
      <c r="GN5" s="1"/>
      <c r="GO5" s="1"/>
      <c r="GP5" s="1"/>
      <c r="GR5" s="55"/>
      <c r="GS5" s="146"/>
      <c r="GT5" s="92"/>
      <c r="GU5" s="92"/>
      <c r="GV5" s="66"/>
      <c r="GW5" s="10"/>
      <c r="GX5" s="22"/>
      <c r="GY5" s="22"/>
      <c r="GZ5" s="44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2"/>
      <c r="IB5" s="21"/>
      <c r="IC5" s="21"/>
      <c r="ID5" s="21"/>
      <c r="IE5" s="17"/>
      <c r="IF5" s="21"/>
      <c r="IG5" s="21"/>
      <c r="IH5" s="21"/>
      <c r="II5" s="21"/>
      <c r="IJ5" s="21"/>
      <c r="IK5" s="21"/>
      <c r="IL5" s="21"/>
      <c r="IM5" s="21"/>
      <c r="IN5" s="21"/>
      <c r="IO5" s="21"/>
    </row>
    <row r="6" spans="2:249">
      <c r="B6" s="127" t="s">
        <v>6</v>
      </c>
      <c r="C6" s="128">
        <v>88350</v>
      </c>
      <c r="D6" s="128" t="s">
        <v>4</v>
      </c>
      <c r="E6" s="128">
        <v>96096.000000000015</v>
      </c>
      <c r="F6" s="128" t="s">
        <v>4</v>
      </c>
      <c r="G6" s="128">
        <v>95155.060000000012</v>
      </c>
      <c r="H6" s="128" t="s">
        <v>4</v>
      </c>
      <c r="I6" s="128">
        <v>110015.16025600003</v>
      </c>
      <c r="J6" s="128" t="s">
        <v>4</v>
      </c>
      <c r="K6" s="128">
        <v>111606.95786240003</v>
      </c>
      <c r="L6" s="128" t="s">
        <v>4</v>
      </c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CX6" s="137"/>
      <c r="CY6" s="137"/>
      <c r="CZ6" s="137"/>
      <c r="DA6" s="137"/>
      <c r="DB6" s="137"/>
      <c r="DC6" s="137"/>
      <c r="DD6" s="137"/>
      <c r="DE6" s="137"/>
      <c r="DF6" s="137"/>
      <c r="DG6" s="137"/>
      <c r="DH6" s="137"/>
      <c r="DI6" s="137"/>
      <c r="DJ6" s="137"/>
      <c r="DK6" s="137"/>
      <c r="DL6" s="137"/>
      <c r="DM6" s="137"/>
      <c r="DN6" s="137"/>
      <c r="DO6" s="137"/>
      <c r="DP6" s="137"/>
      <c r="DQ6" s="137"/>
      <c r="DR6" s="137"/>
      <c r="DS6" s="137"/>
      <c r="DT6" s="137"/>
      <c r="DU6" s="137"/>
      <c r="DV6" s="137"/>
      <c r="DW6" s="137"/>
      <c r="DX6" s="137"/>
      <c r="DY6" s="137"/>
      <c r="DZ6" s="137"/>
      <c r="EA6" s="137"/>
      <c r="EB6" s="137"/>
      <c r="EC6" s="137"/>
      <c r="ED6" s="137"/>
      <c r="EE6" s="137"/>
      <c r="EF6" s="137"/>
      <c r="EG6" s="137"/>
      <c r="EH6" s="137"/>
      <c r="EI6" s="137"/>
      <c r="EJ6" s="137"/>
      <c r="EK6" s="137"/>
      <c r="EL6" s="137"/>
      <c r="EM6" s="137"/>
      <c r="EN6" s="137"/>
      <c r="EO6" s="137"/>
      <c r="EP6" s="137"/>
      <c r="EQ6" s="137"/>
      <c r="ER6" s="137"/>
      <c r="ES6" s="137"/>
      <c r="ET6" s="137"/>
      <c r="EU6" s="137"/>
      <c r="EV6" s="137"/>
      <c r="EW6" s="137"/>
      <c r="EX6" s="137"/>
      <c r="EY6" s="137"/>
      <c r="EZ6" s="137"/>
      <c r="FA6" s="137"/>
      <c r="FB6" s="137"/>
      <c r="FC6" s="137"/>
      <c r="FD6" s="137"/>
      <c r="FE6" s="137"/>
      <c r="FF6" s="137"/>
      <c r="FG6" s="137"/>
      <c r="FH6" s="137"/>
      <c r="FI6" s="137"/>
      <c r="FJ6" s="137"/>
      <c r="FK6" s="137"/>
      <c r="FL6" s="137"/>
      <c r="FM6" s="137"/>
      <c r="FN6" s="137"/>
      <c r="FO6" s="137"/>
      <c r="FP6" s="137"/>
      <c r="FQ6" s="137"/>
      <c r="FR6" s="137"/>
      <c r="FS6" s="137"/>
      <c r="FT6" s="137"/>
      <c r="FU6" s="137"/>
      <c r="FV6" s="1"/>
      <c r="FW6" s="1"/>
      <c r="FX6" s="1"/>
      <c r="FY6" s="84"/>
      <c r="FZ6" s="84"/>
      <c r="GA6" s="84"/>
      <c r="GB6" s="84"/>
      <c r="GC6" s="84"/>
      <c r="GD6" s="84"/>
      <c r="GE6" s="84"/>
      <c r="GF6" s="84"/>
      <c r="GG6" s="84"/>
      <c r="GH6" s="2"/>
      <c r="GI6" s="1"/>
      <c r="GJ6" s="1"/>
      <c r="GK6" s="1"/>
      <c r="GL6" s="1"/>
      <c r="GM6" s="1"/>
      <c r="GN6" s="1"/>
      <c r="GO6" s="1"/>
      <c r="GP6" s="1"/>
      <c r="GR6" s="55"/>
      <c r="GS6" s="79"/>
      <c r="GT6" s="78"/>
      <c r="GU6" s="78"/>
      <c r="GV6" s="67"/>
      <c r="GW6" s="10"/>
      <c r="GX6" s="147"/>
      <c r="GY6" s="147"/>
      <c r="GZ6" s="148"/>
      <c r="HA6" s="147"/>
      <c r="HB6" s="147"/>
      <c r="HC6" s="25"/>
      <c r="HD6" s="25"/>
      <c r="HE6" s="25"/>
      <c r="HF6" s="25"/>
      <c r="HG6" s="25"/>
      <c r="HH6" s="25"/>
      <c r="HI6" s="25"/>
      <c r="HJ6" s="25"/>
      <c r="HK6" s="25"/>
      <c r="HL6" s="22"/>
      <c r="HM6" s="29"/>
      <c r="HN6" s="29"/>
      <c r="HO6" s="29"/>
      <c r="HP6" s="29"/>
      <c r="HQ6" s="29"/>
      <c r="HR6" s="25"/>
      <c r="HS6" s="25"/>
      <c r="HT6" s="25"/>
      <c r="HU6" s="25"/>
      <c r="HV6" s="25"/>
      <c r="HW6" s="25"/>
      <c r="HX6" s="25"/>
      <c r="HY6" s="25"/>
      <c r="HZ6" s="25"/>
      <c r="IA6" s="108"/>
      <c r="IB6" s="149"/>
      <c r="IC6" s="149"/>
      <c r="ID6" s="149"/>
      <c r="IE6" s="149"/>
      <c r="IF6" s="149"/>
      <c r="IG6" s="25"/>
      <c r="IH6" s="25"/>
      <c r="II6" s="25"/>
      <c r="IJ6" s="25"/>
      <c r="IK6" s="25"/>
      <c r="IL6" s="25"/>
      <c r="IM6" s="25"/>
      <c r="IN6" s="25"/>
      <c r="IO6" s="25"/>
    </row>
    <row r="7" spans="2:249">
      <c r="B7" s="126" t="s">
        <v>7</v>
      </c>
      <c r="C7" s="129">
        <v>82165.5</v>
      </c>
      <c r="D7" s="129" t="s">
        <v>4</v>
      </c>
      <c r="E7" s="129">
        <v>93213.120000000024</v>
      </c>
      <c r="F7" s="129" t="s">
        <v>4</v>
      </c>
      <c r="G7" s="129">
        <v>86591.104600000006</v>
      </c>
      <c r="H7" s="129" t="s">
        <v>4</v>
      </c>
      <c r="I7" s="129">
        <v>102314.16903808004</v>
      </c>
      <c r="J7" s="129" t="s">
        <v>4</v>
      </c>
      <c r="K7" s="129">
        <v>108258.74912652804</v>
      </c>
      <c r="L7" s="129" t="s">
        <v>4</v>
      </c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7"/>
      <c r="CF7" s="137"/>
      <c r="CG7" s="137"/>
      <c r="CH7" s="137"/>
      <c r="CI7" s="137"/>
      <c r="CJ7" s="137"/>
      <c r="CK7" s="137"/>
      <c r="CL7" s="137"/>
      <c r="CM7" s="137"/>
      <c r="CN7" s="137"/>
      <c r="CO7" s="137"/>
      <c r="CP7" s="137"/>
      <c r="CQ7" s="137"/>
      <c r="CR7" s="137"/>
      <c r="CS7" s="137"/>
      <c r="CT7" s="137"/>
      <c r="CU7" s="137"/>
      <c r="CV7" s="137"/>
      <c r="CW7" s="137"/>
      <c r="CX7" s="137"/>
      <c r="CY7" s="137"/>
      <c r="CZ7" s="137"/>
      <c r="DA7" s="137"/>
      <c r="DB7" s="137"/>
      <c r="DC7" s="137"/>
      <c r="DD7" s="137"/>
      <c r="DE7" s="137"/>
      <c r="DF7" s="137"/>
      <c r="DG7" s="137"/>
      <c r="DH7" s="137"/>
      <c r="DI7" s="137"/>
      <c r="DJ7" s="137"/>
      <c r="DK7" s="137"/>
      <c r="DL7" s="137"/>
      <c r="DM7" s="137"/>
      <c r="DN7" s="137"/>
      <c r="DO7" s="137"/>
      <c r="DP7" s="137"/>
      <c r="DQ7" s="137"/>
      <c r="DR7" s="137"/>
      <c r="DS7" s="137"/>
      <c r="DT7" s="137"/>
      <c r="DU7" s="137"/>
      <c r="DV7" s="137"/>
      <c r="DW7" s="137"/>
      <c r="DX7" s="137"/>
      <c r="DY7" s="137"/>
      <c r="DZ7" s="137"/>
      <c r="EA7" s="137"/>
      <c r="EB7" s="137"/>
      <c r="EC7" s="137"/>
      <c r="ED7" s="137"/>
      <c r="EE7" s="137"/>
      <c r="EF7" s="137"/>
      <c r="EG7" s="137"/>
      <c r="EH7" s="137"/>
      <c r="EI7" s="137"/>
      <c r="EJ7" s="137"/>
      <c r="EK7" s="137"/>
      <c r="EL7" s="137"/>
      <c r="EM7" s="137"/>
      <c r="EN7" s="137"/>
      <c r="EO7" s="137"/>
      <c r="EP7" s="137"/>
      <c r="EQ7" s="137"/>
      <c r="ER7" s="137"/>
      <c r="ES7" s="137"/>
      <c r="ET7" s="137"/>
      <c r="EU7" s="137"/>
      <c r="EV7" s="137"/>
      <c r="EW7" s="137"/>
      <c r="EX7" s="137"/>
      <c r="EY7" s="137"/>
      <c r="EZ7" s="137"/>
      <c r="FA7" s="137"/>
      <c r="FB7" s="137"/>
      <c r="FC7" s="137"/>
      <c r="FD7" s="137"/>
      <c r="FE7" s="137"/>
      <c r="FF7" s="137"/>
      <c r="FG7" s="137"/>
      <c r="FH7" s="137"/>
      <c r="FI7" s="137"/>
      <c r="FJ7" s="137"/>
      <c r="FK7" s="137"/>
      <c r="FL7" s="137"/>
      <c r="FM7" s="137"/>
      <c r="FN7" s="137"/>
      <c r="FO7" s="137"/>
      <c r="FP7" s="137"/>
      <c r="FQ7" s="137"/>
      <c r="FR7" s="137"/>
      <c r="FS7" s="137"/>
      <c r="FT7" s="137"/>
      <c r="FU7" s="137"/>
      <c r="FV7" s="1"/>
      <c r="FW7" s="10"/>
      <c r="FX7" s="1"/>
      <c r="FY7" s="84"/>
      <c r="FZ7" s="84"/>
      <c r="GA7" s="84"/>
      <c r="GB7" s="84"/>
      <c r="GC7" s="84"/>
      <c r="GD7" s="84"/>
      <c r="GE7" s="84"/>
      <c r="GF7" s="84"/>
      <c r="GG7" s="84"/>
      <c r="GH7" s="1"/>
      <c r="GI7" s="1"/>
      <c r="GJ7" s="1"/>
      <c r="GK7" s="1"/>
      <c r="GL7" s="1"/>
      <c r="GM7" s="1"/>
      <c r="GN7" s="1"/>
      <c r="GO7" s="1"/>
      <c r="GP7" s="1"/>
      <c r="GR7" s="1"/>
      <c r="GS7" s="16"/>
      <c r="GT7" s="85"/>
      <c r="GU7" s="85"/>
      <c r="GV7" s="68"/>
      <c r="GW7" s="7"/>
      <c r="GX7" s="42"/>
      <c r="GY7" s="42"/>
      <c r="GZ7" s="41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36"/>
      <c r="HM7" s="41"/>
      <c r="HN7" s="41"/>
      <c r="HO7" s="41"/>
      <c r="HP7" s="41"/>
      <c r="HQ7" s="41"/>
      <c r="HR7" s="42"/>
      <c r="HS7" s="42"/>
      <c r="HT7" s="42"/>
      <c r="HU7" s="42"/>
      <c r="HV7" s="42"/>
      <c r="HW7" s="42"/>
      <c r="HX7" s="42"/>
      <c r="HY7" s="42"/>
      <c r="HZ7" s="42"/>
      <c r="IA7" s="36"/>
      <c r="IB7" s="42"/>
      <c r="IC7" s="42"/>
      <c r="ID7" s="42"/>
      <c r="IE7" s="42"/>
      <c r="IF7" s="42"/>
      <c r="IG7" s="17"/>
      <c r="IH7" s="17"/>
      <c r="II7" s="17"/>
      <c r="IJ7" s="17"/>
      <c r="IK7" s="17"/>
      <c r="IL7" s="17"/>
      <c r="IM7" s="17"/>
      <c r="IN7" s="17"/>
      <c r="IO7" s="17"/>
    </row>
    <row r="8" spans="2:249">
      <c r="B8" s="127" t="s">
        <v>8</v>
      </c>
      <c r="C8" s="128">
        <v>79700.535000000003</v>
      </c>
      <c r="D8" s="128" t="s">
        <v>4</v>
      </c>
      <c r="E8" s="128">
        <v>86688.201600000015</v>
      </c>
      <c r="F8" s="128" t="s">
        <v>4</v>
      </c>
      <c r="G8" s="128">
        <v>80529.727278000006</v>
      </c>
      <c r="H8" s="128" t="s">
        <v>4</v>
      </c>
      <c r="I8" s="128">
        <v>97198.510586176038</v>
      </c>
      <c r="J8" s="128" t="s">
        <v>4</v>
      </c>
      <c r="K8" s="128">
        <v>103928.39916146692</v>
      </c>
      <c r="L8" s="128" t="s">
        <v>4</v>
      </c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7"/>
      <c r="BY8" s="137"/>
      <c r="BZ8" s="137"/>
      <c r="CA8" s="137"/>
      <c r="CB8" s="137"/>
      <c r="CC8" s="137"/>
      <c r="CD8" s="137"/>
      <c r="CE8" s="137"/>
      <c r="CF8" s="137"/>
      <c r="CG8" s="137"/>
      <c r="CH8" s="137"/>
      <c r="CI8" s="137"/>
      <c r="CJ8" s="137"/>
      <c r="CK8" s="137"/>
      <c r="CL8" s="137"/>
      <c r="CM8" s="137"/>
      <c r="CN8" s="137"/>
      <c r="CO8" s="137"/>
      <c r="CP8" s="137"/>
      <c r="CQ8" s="137"/>
      <c r="CR8" s="137"/>
      <c r="CS8" s="137"/>
      <c r="CT8" s="137"/>
      <c r="CU8" s="137"/>
      <c r="CV8" s="137"/>
      <c r="CW8" s="137"/>
      <c r="CX8" s="137"/>
      <c r="CY8" s="137"/>
      <c r="CZ8" s="137"/>
      <c r="DA8" s="137"/>
      <c r="DB8" s="137"/>
      <c r="DC8" s="137"/>
      <c r="DD8" s="137"/>
      <c r="DE8" s="137"/>
      <c r="DF8" s="137"/>
      <c r="DG8" s="137"/>
      <c r="DH8" s="137"/>
      <c r="DI8" s="137"/>
      <c r="DJ8" s="137"/>
      <c r="DK8" s="137"/>
      <c r="DL8" s="137"/>
      <c r="DM8" s="137"/>
      <c r="DN8" s="137"/>
      <c r="DO8" s="137"/>
      <c r="DP8" s="137"/>
      <c r="DQ8" s="137"/>
      <c r="DR8" s="137"/>
      <c r="DS8" s="137"/>
      <c r="DT8" s="137"/>
      <c r="DU8" s="137"/>
      <c r="DV8" s="137"/>
      <c r="DW8" s="137"/>
      <c r="DX8" s="137"/>
      <c r="DY8" s="137"/>
      <c r="DZ8" s="137"/>
      <c r="EA8" s="137"/>
      <c r="EB8" s="137"/>
      <c r="EC8" s="137"/>
      <c r="ED8" s="137"/>
      <c r="EE8" s="137"/>
      <c r="EF8" s="137"/>
      <c r="EG8" s="137"/>
      <c r="EH8" s="137"/>
      <c r="EI8" s="137"/>
      <c r="EJ8" s="137"/>
      <c r="EK8" s="137"/>
      <c r="EL8" s="137"/>
      <c r="EM8" s="137"/>
      <c r="EN8" s="137"/>
      <c r="EO8" s="137"/>
      <c r="EP8" s="137"/>
      <c r="EQ8" s="137"/>
      <c r="ER8" s="137"/>
      <c r="ES8" s="137"/>
      <c r="ET8" s="137"/>
      <c r="EU8" s="137"/>
      <c r="EV8" s="137"/>
      <c r="EW8" s="137"/>
      <c r="EX8" s="137"/>
      <c r="EY8" s="137"/>
      <c r="EZ8" s="137"/>
      <c r="FA8" s="137"/>
      <c r="FB8" s="137"/>
      <c r="FC8" s="137"/>
      <c r="FD8" s="137"/>
      <c r="FE8" s="137"/>
      <c r="FF8" s="137"/>
      <c r="FG8" s="137"/>
      <c r="FH8" s="137"/>
      <c r="FI8" s="137"/>
      <c r="FJ8" s="137"/>
      <c r="FK8" s="137"/>
      <c r="FL8" s="137"/>
      <c r="FM8" s="137"/>
      <c r="FN8" s="137"/>
      <c r="FO8" s="137"/>
      <c r="FP8" s="137"/>
      <c r="FQ8" s="137"/>
      <c r="FR8" s="137"/>
      <c r="FS8" s="137"/>
      <c r="FT8" s="137"/>
      <c r="FU8" s="137"/>
      <c r="FV8" s="1"/>
      <c r="FW8" s="1"/>
      <c r="FX8" s="1"/>
      <c r="FY8" s="84"/>
      <c r="FZ8" s="84"/>
      <c r="GA8" s="84"/>
      <c r="GB8" s="84"/>
      <c r="GC8" s="84"/>
      <c r="GD8" s="84"/>
      <c r="GE8" s="84"/>
      <c r="GF8" s="84"/>
      <c r="GG8" s="84"/>
      <c r="GH8" s="1"/>
      <c r="GI8" s="1"/>
      <c r="GJ8" s="1"/>
      <c r="GK8" s="1"/>
      <c r="GL8" s="1"/>
      <c r="GM8" s="1"/>
      <c r="GN8" s="1"/>
      <c r="GO8" s="1"/>
      <c r="GP8" s="1"/>
      <c r="GR8" s="1"/>
      <c r="GS8" s="16"/>
      <c r="GT8" s="85"/>
      <c r="GU8" s="85"/>
      <c r="GV8" s="68"/>
      <c r="GW8" s="7"/>
      <c r="GX8" s="42"/>
      <c r="GY8" s="42"/>
      <c r="GZ8" s="41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36"/>
      <c r="HM8" s="41"/>
      <c r="HN8" s="41"/>
      <c r="HO8" s="41"/>
      <c r="HP8" s="41"/>
      <c r="HQ8" s="41"/>
      <c r="HR8" s="42"/>
      <c r="HS8" s="42"/>
      <c r="HT8" s="42"/>
      <c r="HU8" s="42"/>
      <c r="HV8" s="42"/>
      <c r="HW8" s="42"/>
      <c r="HX8" s="42"/>
      <c r="HY8" s="42"/>
      <c r="HZ8" s="42"/>
      <c r="IA8" s="36"/>
      <c r="IB8" s="42"/>
      <c r="IC8" s="42"/>
      <c r="ID8" s="42"/>
      <c r="IE8" s="42"/>
      <c r="IF8" s="42"/>
      <c r="IG8" s="17"/>
      <c r="IH8" s="17"/>
      <c r="II8" s="17"/>
      <c r="IJ8" s="17"/>
      <c r="IK8" s="17"/>
      <c r="IL8" s="17"/>
      <c r="IM8" s="17"/>
      <c r="IN8" s="17"/>
      <c r="IO8" s="17"/>
    </row>
    <row r="9" spans="2:249">
      <c r="B9" s="126" t="s">
        <v>9</v>
      </c>
      <c r="C9" s="129">
        <v>74918.502900000007</v>
      </c>
      <c r="D9" s="129" t="s">
        <v>4</v>
      </c>
      <c r="E9" s="129">
        <v>84087.555552000005</v>
      </c>
      <c r="F9" s="129" t="s">
        <v>4</v>
      </c>
      <c r="G9" s="129">
        <v>75697.943641320002</v>
      </c>
      <c r="H9" s="129" t="s">
        <v>4</v>
      </c>
      <c r="I9" s="129">
        <v>89422.709739281956</v>
      </c>
      <c r="J9" s="129" t="s">
        <v>4</v>
      </c>
      <c r="K9" s="129">
        <v>98731.979203393566</v>
      </c>
      <c r="L9" s="129" t="s">
        <v>4</v>
      </c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7"/>
      <c r="BW9" s="137"/>
      <c r="BX9" s="137"/>
      <c r="BY9" s="137"/>
      <c r="BZ9" s="137"/>
      <c r="CA9" s="137"/>
      <c r="CB9" s="137"/>
      <c r="CC9" s="137"/>
      <c r="CD9" s="137"/>
      <c r="CE9" s="137"/>
      <c r="CF9" s="137"/>
      <c r="CG9" s="137"/>
      <c r="CH9" s="137"/>
      <c r="CI9" s="137"/>
      <c r="CJ9" s="137"/>
      <c r="CK9" s="137"/>
      <c r="CL9" s="137"/>
      <c r="CM9" s="137"/>
      <c r="CN9" s="137"/>
      <c r="CO9" s="137"/>
      <c r="CP9" s="137"/>
      <c r="CQ9" s="137"/>
      <c r="CR9" s="137"/>
      <c r="CS9" s="137"/>
      <c r="CT9" s="137"/>
      <c r="CU9" s="137"/>
      <c r="CV9" s="137"/>
      <c r="CW9" s="137"/>
      <c r="CX9" s="137"/>
      <c r="CY9" s="137"/>
      <c r="CZ9" s="137"/>
      <c r="DA9" s="137"/>
      <c r="DB9" s="137"/>
      <c r="DC9" s="137"/>
      <c r="DD9" s="137"/>
      <c r="DE9" s="137"/>
      <c r="DF9" s="137"/>
      <c r="DG9" s="137"/>
      <c r="DH9" s="137"/>
      <c r="DI9" s="137"/>
      <c r="DJ9" s="137"/>
      <c r="DK9" s="137"/>
      <c r="DL9" s="137"/>
      <c r="DM9" s="137"/>
      <c r="DN9" s="137"/>
      <c r="DO9" s="137"/>
      <c r="DP9" s="137"/>
      <c r="DQ9" s="137"/>
      <c r="DR9" s="137"/>
      <c r="DS9" s="137"/>
      <c r="DT9" s="137"/>
      <c r="DU9" s="137"/>
      <c r="DV9" s="137"/>
      <c r="DW9" s="137"/>
      <c r="DX9" s="137"/>
      <c r="DY9" s="137"/>
      <c r="DZ9" s="137"/>
      <c r="EA9" s="137"/>
      <c r="EB9" s="137"/>
      <c r="EC9" s="137"/>
      <c r="ED9" s="137"/>
      <c r="EE9" s="137"/>
      <c r="EF9" s="137"/>
      <c r="EG9" s="137"/>
      <c r="EH9" s="137"/>
      <c r="EI9" s="137"/>
      <c r="EJ9" s="137"/>
      <c r="EK9" s="137"/>
      <c r="EL9" s="137"/>
      <c r="EM9" s="137"/>
      <c r="EN9" s="137"/>
      <c r="EO9" s="137"/>
      <c r="EP9" s="137"/>
      <c r="EQ9" s="137"/>
      <c r="ER9" s="137"/>
      <c r="ES9" s="137"/>
      <c r="ET9" s="137"/>
      <c r="EU9" s="137"/>
      <c r="EV9" s="137"/>
      <c r="EW9" s="137"/>
      <c r="EX9" s="137"/>
      <c r="EY9" s="137"/>
      <c r="EZ9" s="137"/>
      <c r="FA9" s="137"/>
      <c r="FB9" s="137"/>
      <c r="FC9" s="137"/>
      <c r="FD9" s="137"/>
      <c r="FE9" s="137"/>
      <c r="FF9" s="137"/>
      <c r="FG9" s="137"/>
      <c r="FH9" s="137"/>
      <c r="FI9" s="137"/>
      <c r="FJ9" s="137"/>
      <c r="FK9" s="137"/>
      <c r="FL9" s="137"/>
      <c r="FM9" s="137"/>
      <c r="FN9" s="137"/>
      <c r="FO9" s="137"/>
      <c r="FP9" s="137"/>
      <c r="FQ9" s="137"/>
      <c r="FR9" s="137"/>
      <c r="FS9" s="137"/>
      <c r="FT9" s="137"/>
      <c r="FU9" s="137"/>
      <c r="FV9" s="10"/>
      <c r="FW9" s="10"/>
      <c r="FX9" s="10"/>
      <c r="FY9" s="91"/>
      <c r="FZ9" s="91"/>
      <c r="GA9" s="91"/>
      <c r="GB9" s="91"/>
      <c r="GC9" s="91"/>
      <c r="GD9" s="91"/>
      <c r="GE9" s="91"/>
      <c r="GF9" s="91"/>
      <c r="GG9" s="91"/>
      <c r="GH9" s="10"/>
      <c r="GI9" s="10"/>
      <c r="GJ9" s="10"/>
      <c r="GK9" s="10"/>
      <c r="GL9" s="10"/>
      <c r="GM9" s="10"/>
      <c r="GN9" s="10"/>
      <c r="GO9" s="10"/>
      <c r="GP9" s="10"/>
      <c r="GR9" s="1"/>
      <c r="GS9" s="16"/>
      <c r="GT9" s="85"/>
      <c r="GU9" s="85"/>
      <c r="GV9" s="68"/>
      <c r="GW9" s="7"/>
      <c r="GX9" s="42"/>
      <c r="GY9" s="42"/>
      <c r="GZ9" s="41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36"/>
      <c r="HM9" s="41"/>
      <c r="HN9" s="41"/>
      <c r="HO9" s="41"/>
      <c r="HP9" s="41"/>
      <c r="HQ9" s="41"/>
      <c r="HR9" s="42"/>
      <c r="HS9" s="42"/>
      <c r="HT9" s="42"/>
      <c r="HU9" s="42"/>
      <c r="HV9" s="42"/>
      <c r="HW9" s="42"/>
      <c r="HX9" s="42"/>
      <c r="HY9" s="42"/>
      <c r="HZ9" s="42"/>
      <c r="IA9" s="36"/>
      <c r="IB9" s="42"/>
      <c r="IC9" s="42"/>
      <c r="ID9" s="42"/>
      <c r="IE9" s="42"/>
      <c r="IF9" s="42"/>
      <c r="IG9" s="17"/>
      <c r="IH9" s="17"/>
      <c r="II9" s="17"/>
      <c r="IJ9" s="17"/>
      <c r="IK9" s="17"/>
      <c r="IL9" s="17"/>
      <c r="IM9" s="17"/>
      <c r="IN9" s="17"/>
      <c r="IO9" s="17"/>
    </row>
    <row r="10" spans="2:249" ht="23.25">
      <c r="B10" s="127" t="s">
        <v>10</v>
      </c>
      <c r="C10" s="128">
        <v>1423.4515551000002</v>
      </c>
      <c r="D10" s="128" t="s">
        <v>193</v>
      </c>
      <c r="E10" s="128">
        <v>1597.6635554879999</v>
      </c>
      <c r="F10" s="128" t="s">
        <v>193</v>
      </c>
      <c r="G10" s="128">
        <v>1453.4005179133442</v>
      </c>
      <c r="H10" s="128" t="s">
        <v>193</v>
      </c>
      <c r="I10" s="128">
        <v>1735.7811689420701</v>
      </c>
      <c r="J10" s="128" t="s">
        <v>193</v>
      </c>
      <c r="K10" s="128">
        <v>1875.9076048644777</v>
      </c>
      <c r="L10" s="128" t="s">
        <v>193</v>
      </c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7"/>
      <c r="DA10" s="137"/>
      <c r="DB10" s="137"/>
      <c r="DC10" s="137"/>
      <c r="DD10" s="137"/>
      <c r="DE10" s="137"/>
      <c r="DF10" s="137"/>
      <c r="DG10" s="137"/>
      <c r="DH10" s="137"/>
      <c r="DI10" s="137"/>
      <c r="DJ10" s="137"/>
      <c r="DK10" s="137"/>
      <c r="DL10" s="137"/>
      <c r="DM10" s="137"/>
      <c r="DN10" s="137"/>
      <c r="DO10" s="137"/>
      <c r="DP10" s="137"/>
      <c r="DQ10" s="137"/>
      <c r="DR10" s="137"/>
      <c r="DS10" s="137"/>
      <c r="DT10" s="137"/>
      <c r="DU10" s="137"/>
      <c r="DV10" s="137"/>
      <c r="DW10" s="137"/>
      <c r="DX10" s="137"/>
      <c r="DY10" s="137"/>
      <c r="DZ10" s="137"/>
      <c r="EA10" s="137"/>
      <c r="EB10" s="137"/>
      <c r="EC10" s="137"/>
      <c r="ED10" s="137"/>
      <c r="EE10" s="137"/>
      <c r="EF10" s="137"/>
      <c r="EG10" s="137"/>
      <c r="EH10" s="137"/>
      <c r="EI10" s="137"/>
      <c r="EJ10" s="137"/>
      <c r="EK10" s="137"/>
      <c r="EL10" s="137"/>
      <c r="EM10" s="137"/>
      <c r="EN10" s="137"/>
      <c r="EO10" s="137"/>
      <c r="EP10" s="137"/>
      <c r="EQ10" s="137"/>
      <c r="ER10" s="137"/>
      <c r="ES10" s="137"/>
      <c r="ET10" s="137"/>
      <c r="EU10" s="137"/>
      <c r="EV10" s="137"/>
      <c r="EW10" s="137"/>
      <c r="EX10" s="137"/>
      <c r="EY10" s="137"/>
      <c r="EZ10" s="137"/>
      <c r="FA10" s="137"/>
      <c r="FB10" s="137"/>
      <c r="FC10" s="137"/>
      <c r="FD10" s="137"/>
      <c r="FE10" s="137"/>
      <c r="FF10" s="137"/>
      <c r="FG10" s="137"/>
      <c r="FH10" s="137"/>
      <c r="FI10" s="137"/>
      <c r="FJ10" s="137"/>
      <c r="FK10" s="137"/>
      <c r="FL10" s="137"/>
      <c r="FM10" s="137"/>
      <c r="FN10" s="137"/>
      <c r="FO10" s="137"/>
      <c r="FP10" s="137"/>
      <c r="FQ10" s="137"/>
      <c r="FR10" s="137"/>
      <c r="FS10" s="137"/>
      <c r="FT10" s="137"/>
      <c r="FU10" s="137"/>
      <c r="FV10" s="1"/>
      <c r="FW10" s="73"/>
      <c r="FX10" s="73"/>
      <c r="FY10" s="84"/>
      <c r="FZ10" s="84"/>
      <c r="GA10" s="84"/>
      <c r="GB10" s="84"/>
      <c r="GC10" s="84"/>
      <c r="GD10" s="84"/>
      <c r="GE10" s="84"/>
      <c r="GF10" s="84"/>
      <c r="GG10" s="84"/>
      <c r="GH10" s="1"/>
      <c r="GI10" s="1"/>
      <c r="GJ10" s="1"/>
      <c r="GK10" s="1"/>
      <c r="GL10" s="1"/>
      <c r="GM10" s="1"/>
      <c r="GN10" s="1"/>
      <c r="GO10" s="1"/>
      <c r="GP10" s="1"/>
      <c r="GR10" s="1"/>
      <c r="GS10" s="16"/>
      <c r="GT10" s="85"/>
      <c r="GU10" s="85"/>
      <c r="GV10" s="68"/>
      <c r="GW10" s="7"/>
      <c r="GX10" s="42"/>
      <c r="GY10" s="42"/>
      <c r="GZ10" s="41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36"/>
      <c r="HM10" s="41"/>
      <c r="HN10" s="41"/>
      <c r="HO10" s="41"/>
      <c r="HP10" s="41"/>
      <c r="HQ10" s="41"/>
      <c r="HR10" s="42"/>
      <c r="HS10" s="42"/>
      <c r="HT10" s="42"/>
      <c r="HU10" s="42"/>
      <c r="HV10" s="42"/>
      <c r="HW10" s="42"/>
      <c r="HX10" s="42"/>
      <c r="HY10" s="42"/>
      <c r="HZ10" s="42"/>
      <c r="IA10" s="36"/>
      <c r="IB10" s="42"/>
      <c r="IC10" s="42"/>
      <c r="ID10" s="42"/>
      <c r="IE10" s="42"/>
      <c r="IF10" s="42"/>
      <c r="IG10" s="17"/>
      <c r="IH10" s="17"/>
      <c r="II10" s="17"/>
      <c r="IJ10" s="17"/>
      <c r="IK10" s="17"/>
      <c r="IL10" s="17"/>
      <c r="IM10" s="17"/>
      <c r="IN10" s="17"/>
      <c r="IO10" s="17"/>
    </row>
    <row r="11" spans="2:249" ht="23.25">
      <c r="B11" s="126" t="s">
        <v>11</v>
      </c>
      <c r="C11" s="129">
        <v>65478.771534600004</v>
      </c>
      <c r="D11" s="129" t="s">
        <v>4</v>
      </c>
      <c r="E11" s="129">
        <v>74291.355330192004</v>
      </c>
      <c r="F11" s="129" t="s">
        <v>4</v>
      </c>
      <c r="G11" s="129">
        <v>65403.023306100484</v>
      </c>
      <c r="H11" s="129" t="s">
        <v>4</v>
      </c>
      <c r="I11" s="129">
        <v>79800.933771335214</v>
      </c>
      <c r="J11" s="129" t="s">
        <v>4</v>
      </c>
      <c r="K11" s="129">
        <v>89105.611231062692</v>
      </c>
      <c r="L11" s="129" t="s">
        <v>4</v>
      </c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37"/>
      <c r="BU11" s="137"/>
      <c r="BV11" s="137"/>
      <c r="BW11" s="137"/>
      <c r="BX11" s="137"/>
      <c r="BY11" s="137"/>
      <c r="BZ11" s="137"/>
      <c r="CA11" s="137"/>
      <c r="CB11" s="137"/>
      <c r="CC11" s="137"/>
      <c r="CD11" s="137"/>
      <c r="CE11" s="137"/>
      <c r="CF11" s="137"/>
      <c r="CG11" s="137"/>
      <c r="CH11" s="137"/>
      <c r="CI11" s="137"/>
      <c r="CJ11" s="137"/>
      <c r="CK11" s="137"/>
      <c r="CL11" s="137"/>
      <c r="CM11" s="137"/>
      <c r="CN11" s="137"/>
      <c r="CO11" s="137"/>
      <c r="CP11" s="137"/>
      <c r="CQ11" s="137"/>
      <c r="CR11" s="137"/>
      <c r="CS11" s="137"/>
      <c r="CT11" s="137"/>
      <c r="CU11" s="137"/>
      <c r="CV11" s="137"/>
      <c r="CW11" s="137"/>
      <c r="CX11" s="137"/>
      <c r="CY11" s="137"/>
      <c r="CZ11" s="137"/>
      <c r="DA11" s="137"/>
      <c r="DB11" s="137"/>
      <c r="DC11" s="137"/>
      <c r="DD11" s="137"/>
      <c r="DE11" s="137"/>
      <c r="DF11" s="137"/>
      <c r="DG11" s="137"/>
      <c r="DH11" s="137"/>
      <c r="DI11" s="137"/>
      <c r="DJ11" s="137"/>
      <c r="DK11" s="137"/>
      <c r="DL11" s="137"/>
      <c r="DM11" s="137"/>
      <c r="DN11" s="137"/>
      <c r="DO11" s="137"/>
      <c r="DP11" s="137"/>
      <c r="DQ11" s="137"/>
      <c r="DR11" s="137"/>
      <c r="DS11" s="137"/>
      <c r="DT11" s="137"/>
      <c r="DU11" s="137"/>
      <c r="DV11" s="137"/>
      <c r="DW11" s="137"/>
      <c r="DX11" s="137"/>
      <c r="DY11" s="137"/>
      <c r="DZ11" s="137"/>
      <c r="EA11" s="137"/>
      <c r="EB11" s="137"/>
      <c r="EC11" s="137"/>
      <c r="ED11" s="137"/>
      <c r="EE11" s="137"/>
      <c r="EF11" s="137"/>
      <c r="EG11" s="137"/>
      <c r="EH11" s="137"/>
      <c r="EI11" s="137"/>
      <c r="EJ11" s="137"/>
      <c r="EK11" s="137"/>
      <c r="EL11" s="137"/>
      <c r="EM11" s="137"/>
      <c r="EN11" s="137"/>
      <c r="EO11" s="137"/>
      <c r="EP11" s="137"/>
      <c r="EQ11" s="137"/>
      <c r="ER11" s="137"/>
      <c r="ES11" s="137"/>
      <c r="ET11" s="137"/>
      <c r="EU11" s="137"/>
      <c r="EV11" s="137"/>
      <c r="EW11" s="137"/>
      <c r="EX11" s="137"/>
      <c r="EY11" s="137"/>
      <c r="EZ11" s="137"/>
      <c r="FA11" s="137"/>
      <c r="FB11" s="137"/>
      <c r="FC11" s="137"/>
      <c r="FD11" s="137"/>
      <c r="FE11" s="137"/>
      <c r="FF11" s="137"/>
      <c r="FG11" s="137"/>
      <c r="FH11" s="137"/>
      <c r="FI11" s="137"/>
      <c r="FJ11" s="137"/>
      <c r="FK11" s="137"/>
      <c r="FL11" s="137"/>
      <c r="FM11" s="137"/>
      <c r="FN11" s="137"/>
      <c r="FO11" s="137"/>
      <c r="FP11" s="137"/>
      <c r="FQ11" s="137"/>
      <c r="FR11" s="137"/>
      <c r="FS11" s="137"/>
      <c r="FT11" s="137"/>
      <c r="FU11" s="137"/>
      <c r="FV11" s="1"/>
      <c r="FW11" s="73"/>
      <c r="FX11" s="1"/>
      <c r="FY11" s="110"/>
      <c r="FZ11" s="110"/>
      <c r="GA11" s="110"/>
      <c r="GB11" s="110"/>
      <c r="GC11" s="110"/>
      <c r="GD11" s="110"/>
      <c r="GE11" s="110"/>
      <c r="GF11" s="110"/>
      <c r="GG11" s="110"/>
      <c r="GH11" s="1"/>
      <c r="GI11" s="1"/>
      <c r="GJ11" s="1"/>
      <c r="GK11" s="1"/>
      <c r="GL11" s="1"/>
      <c r="GM11" s="1"/>
      <c r="GN11" s="1"/>
      <c r="GO11" s="1"/>
      <c r="GP11" s="1"/>
      <c r="GR11" s="1"/>
      <c r="GS11" s="16"/>
      <c r="GT11" s="85"/>
      <c r="GU11" s="85"/>
      <c r="GV11" s="68"/>
      <c r="GW11" s="7"/>
      <c r="GX11" s="42"/>
      <c r="GY11" s="42"/>
      <c r="GZ11" s="41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36"/>
      <c r="HM11" s="41"/>
      <c r="HN11" s="41"/>
      <c r="HO11" s="41"/>
      <c r="HP11" s="41"/>
      <c r="HQ11" s="41"/>
      <c r="HR11" s="42"/>
      <c r="HS11" s="42"/>
      <c r="HT11" s="42"/>
      <c r="HU11" s="42"/>
      <c r="HV11" s="42"/>
      <c r="HW11" s="42"/>
      <c r="HX11" s="42"/>
      <c r="HY11" s="42"/>
      <c r="HZ11" s="42"/>
      <c r="IA11" s="36"/>
      <c r="IB11" s="42"/>
      <c r="IC11" s="42"/>
      <c r="ID11" s="42"/>
      <c r="IE11" s="42"/>
      <c r="IF11" s="42"/>
      <c r="IG11" s="17"/>
      <c r="IH11" s="17"/>
      <c r="II11" s="17"/>
      <c r="IJ11" s="17"/>
      <c r="IK11" s="17"/>
      <c r="IL11" s="17"/>
      <c r="IM11" s="17"/>
      <c r="IN11" s="17"/>
      <c r="IO11" s="17"/>
    </row>
    <row r="12" spans="2:249">
      <c r="B12" s="127" t="s">
        <v>12</v>
      </c>
      <c r="C12" s="128">
        <v>60895.257527178008</v>
      </c>
      <c r="D12" s="128" t="s">
        <v>4</v>
      </c>
      <c r="E12" s="128">
        <v>69833.874010380488</v>
      </c>
      <c r="F12" s="128" t="s">
        <v>4</v>
      </c>
      <c r="G12" s="128">
        <v>62132.872140795458</v>
      </c>
      <c r="H12" s="128" t="s">
        <v>4</v>
      </c>
      <c r="I12" s="128">
        <v>72618.939731915045</v>
      </c>
      <c r="J12" s="128" t="s">
        <v>4</v>
      </c>
      <c r="K12" s="128">
        <v>82868.218444888305</v>
      </c>
      <c r="L12" s="128" t="s">
        <v>4</v>
      </c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7"/>
      <c r="CF12" s="137"/>
      <c r="CG12" s="137"/>
      <c r="CH12" s="137"/>
      <c r="CI12" s="137"/>
      <c r="CJ12" s="137"/>
      <c r="CK12" s="137"/>
      <c r="CL12" s="137"/>
      <c r="CM12" s="137"/>
      <c r="CN12" s="137"/>
      <c r="CO12" s="137"/>
      <c r="CP12" s="137"/>
      <c r="CQ12" s="137"/>
      <c r="CR12" s="137"/>
      <c r="CS12" s="137"/>
      <c r="CT12" s="137"/>
      <c r="CU12" s="137"/>
      <c r="CV12" s="137"/>
      <c r="CW12" s="137"/>
      <c r="CX12" s="137"/>
      <c r="CY12" s="137"/>
      <c r="CZ12" s="137"/>
      <c r="DA12" s="137"/>
      <c r="DB12" s="137"/>
      <c r="DC12" s="137"/>
      <c r="DD12" s="137"/>
      <c r="DE12" s="137"/>
      <c r="DF12" s="137"/>
      <c r="DG12" s="137"/>
      <c r="DH12" s="137"/>
      <c r="DI12" s="137"/>
      <c r="DJ12" s="137"/>
      <c r="DK12" s="137"/>
      <c r="DL12" s="137"/>
      <c r="DM12" s="137"/>
      <c r="DN12" s="137"/>
      <c r="DO12" s="137"/>
      <c r="DP12" s="137"/>
      <c r="DQ12" s="137"/>
      <c r="DR12" s="137"/>
      <c r="DS12" s="137"/>
      <c r="DT12" s="137"/>
      <c r="DU12" s="137"/>
      <c r="DV12" s="137"/>
      <c r="DW12" s="137"/>
      <c r="DX12" s="137"/>
      <c r="DY12" s="137"/>
      <c r="DZ12" s="137"/>
      <c r="EA12" s="137"/>
      <c r="EB12" s="137"/>
      <c r="EC12" s="137"/>
      <c r="ED12" s="137"/>
      <c r="EE12" s="137"/>
      <c r="EF12" s="137"/>
      <c r="EG12" s="137"/>
      <c r="EH12" s="137"/>
      <c r="EI12" s="137"/>
      <c r="EJ12" s="137"/>
      <c r="EK12" s="137"/>
      <c r="EL12" s="137"/>
      <c r="EM12" s="137"/>
      <c r="EN12" s="137"/>
      <c r="EO12" s="137"/>
      <c r="EP12" s="137"/>
      <c r="EQ12" s="137"/>
      <c r="ER12" s="137"/>
      <c r="ES12" s="137"/>
      <c r="ET12" s="137"/>
      <c r="EU12" s="137"/>
      <c r="EV12" s="137"/>
      <c r="EW12" s="137"/>
      <c r="EX12" s="137"/>
      <c r="EY12" s="137"/>
      <c r="EZ12" s="137"/>
      <c r="FA12" s="137"/>
      <c r="FB12" s="137"/>
      <c r="FC12" s="137"/>
      <c r="FD12" s="137"/>
      <c r="FE12" s="137"/>
      <c r="FF12" s="137"/>
      <c r="FG12" s="137"/>
      <c r="FH12" s="137"/>
      <c r="FI12" s="137"/>
      <c r="FJ12" s="137"/>
      <c r="FK12" s="137"/>
      <c r="FL12" s="137"/>
      <c r="FM12" s="137"/>
      <c r="FN12" s="137"/>
      <c r="FO12" s="137"/>
      <c r="FP12" s="137"/>
      <c r="FQ12" s="137"/>
      <c r="FR12" s="137"/>
      <c r="FS12" s="137"/>
      <c r="FT12" s="137"/>
      <c r="FU12" s="137"/>
      <c r="FV12" s="1"/>
      <c r="FW12" s="73"/>
      <c r="FX12" s="1"/>
      <c r="FY12" s="110"/>
      <c r="FZ12" s="110"/>
      <c r="GA12" s="110"/>
      <c r="GB12" s="110"/>
      <c r="GC12" s="110"/>
      <c r="GD12" s="110"/>
      <c r="GE12" s="110"/>
      <c r="GF12" s="110"/>
      <c r="GG12" s="110"/>
      <c r="GH12" s="1"/>
      <c r="GI12" s="1"/>
      <c r="GJ12" s="1"/>
      <c r="GK12" s="1"/>
      <c r="GL12" s="1"/>
      <c r="GM12" s="1"/>
      <c r="GN12" s="1"/>
      <c r="GO12" s="1"/>
      <c r="GP12" s="1"/>
      <c r="GR12" s="1"/>
      <c r="GS12" s="16"/>
      <c r="GT12" s="85"/>
      <c r="GU12" s="85"/>
      <c r="GV12" s="68"/>
      <c r="GW12" s="7"/>
      <c r="GX12" s="42"/>
      <c r="GY12" s="42"/>
      <c r="GZ12" s="41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36"/>
      <c r="HM12" s="41"/>
      <c r="HN12" s="41"/>
      <c r="HO12" s="41"/>
      <c r="HP12" s="41"/>
      <c r="HQ12" s="41"/>
      <c r="HR12" s="42"/>
      <c r="HS12" s="42"/>
      <c r="HT12" s="42"/>
      <c r="HU12" s="42"/>
      <c r="HV12" s="42"/>
      <c r="HW12" s="42"/>
      <c r="HX12" s="42"/>
      <c r="HY12" s="42"/>
      <c r="HZ12" s="42"/>
      <c r="IA12" s="36"/>
      <c r="IB12" s="42"/>
      <c r="IC12" s="42"/>
      <c r="ID12" s="42"/>
      <c r="IE12" s="42"/>
      <c r="IF12" s="42"/>
      <c r="IG12" s="17"/>
      <c r="IH12" s="17"/>
      <c r="II12" s="17"/>
      <c r="IJ12" s="17"/>
      <c r="IK12" s="17"/>
      <c r="IL12" s="17"/>
      <c r="IM12" s="17"/>
      <c r="IN12" s="17"/>
      <c r="IO12" s="17"/>
    </row>
    <row r="13" spans="2:249" ht="23.25">
      <c r="B13" s="126" t="s">
        <v>13</v>
      </c>
      <c r="C13" s="129">
        <v>1181.3679960272534</v>
      </c>
      <c r="D13" s="129" t="s">
        <v>193</v>
      </c>
      <c r="E13" s="129">
        <v>1340.8103809993054</v>
      </c>
      <c r="F13" s="129" t="s">
        <v>193</v>
      </c>
      <c r="G13" s="129">
        <v>1168.0979962469546</v>
      </c>
      <c r="H13" s="129" t="s">
        <v>193</v>
      </c>
      <c r="I13" s="129">
        <v>1351.6936790136201</v>
      </c>
      <c r="J13" s="129" t="s">
        <v>193</v>
      </c>
      <c r="K13" s="129">
        <v>1591.0697941418555</v>
      </c>
      <c r="L13" s="129" t="s">
        <v>193</v>
      </c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7"/>
      <c r="CF13" s="137"/>
      <c r="CG13" s="137"/>
      <c r="CH13" s="137"/>
      <c r="CI13" s="137"/>
      <c r="CJ13" s="137"/>
      <c r="CK13" s="137"/>
      <c r="CL13" s="137"/>
      <c r="CM13" s="137"/>
      <c r="CN13" s="137"/>
      <c r="CO13" s="137"/>
      <c r="CP13" s="137"/>
      <c r="CQ13" s="137"/>
      <c r="CR13" s="137"/>
      <c r="CS13" s="137"/>
      <c r="CT13" s="137"/>
      <c r="CU13" s="137"/>
      <c r="CV13" s="137"/>
      <c r="CW13" s="137"/>
      <c r="CX13" s="137"/>
      <c r="CY13" s="137"/>
      <c r="CZ13" s="137"/>
      <c r="DA13" s="137"/>
      <c r="DB13" s="137"/>
      <c r="DC13" s="137"/>
      <c r="DD13" s="137"/>
      <c r="DE13" s="137"/>
      <c r="DF13" s="137"/>
      <c r="DG13" s="137"/>
      <c r="DH13" s="137"/>
      <c r="DI13" s="137"/>
      <c r="DJ13" s="137"/>
      <c r="DK13" s="137"/>
      <c r="DL13" s="137"/>
      <c r="DM13" s="137"/>
      <c r="DN13" s="137"/>
      <c r="DO13" s="137"/>
      <c r="DP13" s="137"/>
      <c r="DQ13" s="137"/>
      <c r="DR13" s="137"/>
      <c r="DS13" s="137"/>
      <c r="DT13" s="137"/>
      <c r="DU13" s="137"/>
      <c r="DV13" s="137"/>
      <c r="DW13" s="137"/>
      <c r="DX13" s="137"/>
      <c r="DY13" s="137"/>
      <c r="DZ13" s="137"/>
      <c r="EA13" s="137"/>
      <c r="EB13" s="137"/>
      <c r="EC13" s="137"/>
      <c r="ED13" s="137"/>
      <c r="EE13" s="137"/>
      <c r="EF13" s="137"/>
      <c r="EG13" s="137"/>
      <c r="EH13" s="137"/>
      <c r="EI13" s="137"/>
      <c r="EJ13" s="137"/>
      <c r="EK13" s="137"/>
      <c r="EL13" s="137"/>
      <c r="EM13" s="137"/>
      <c r="EN13" s="137"/>
      <c r="EO13" s="137"/>
      <c r="EP13" s="137"/>
      <c r="EQ13" s="137"/>
      <c r="ER13" s="137"/>
      <c r="ES13" s="137"/>
      <c r="ET13" s="137"/>
      <c r="EU13" s="137"/>
      <c r="EV13" s="137"/>
      <c r="EW13" s="137"/>
      <c r="EX13" s="137"/>
      <c r="EY13" s="137"/>
      <c r="EZ13" s="137"/>
      <c r="FA13" s="137"/>
      <c r="FB13" s="137"/>
      <c r="FC13" s="137"/>
      <c r="FD13" s="137"/>
      <c r="FE13" s="137"/>
      <c r="FF13" s="137"/>
      <c r="FG13" s="137"/>
      <c r="FH13" s="137"/>
      <c r="FI13" s="137"/>
      <c r="FJ13" s="137"/>
      <c r="FK13" s="137"/>
      <c r="FL13" s="137"/>
      <c r="FM13" s="137"/>
      <c r="FN13" s="137"/>
      <c r="FO13" s="137"/>
      <c r="FP13" s="137"/>
      <c r="FQ13" s="137"/>
      <c r="FR13" s="137"/>
      <c r="FS13" s="137"/>
      <c r="FT13" s="137"/>
      <c r="FU13" s="137"/>
      <c r="FV13" s="1"/>
      <c r="FW13" s="73"/>
      <c r="FX13" s="1"/>
      <c r="FY13" s="110"/>
      <c r="FZ13" s="110"/>
      <c r="GA13" s="110"/>
      <c r="GB13" s="110"/>
      <c r="GC13" s="110"/>
      <c r="GD13" s="110"/>
      <c r="GE13" s="110"/>
      <c r="GF13" s="110"/>
      <c r="GG13" s="110"/>
      <c r="GH13" s="1"/>
      <c r="GI13" s="1"/>
      <c r="GJ13" s="1"/>
      <c r="GK13" s="1"/>
      <c r="GL13" s="1"/>
      <c r="GM13" s="1"/>
      <c r="GN13" s="1"/>
      <c r="GO13" s="1"/>
      <c r="GP13" s="1"/>
      <c r="GR13" s="1"/>
      <c r="GS13" s="16"/>
      <c r="GT13" s="85"/>
      <c r="GU13" s="85"/>
      <c r="GV13" s="68"/>
      <c r="GW13" s="7"/>
      <c r="GX13" s="42"/>
      <c r="GY13" s="42"/>
      <c r="GZ13" s="41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36"/>
      <c r="HM13" s="41"/>
      <c r="HN13" s="41"/>
      <c r="HO13" s="41"/>
      <c r="HP13" s="41"/>
      <c r="HQ13" s="41"/>
      <c r="HR13" s="42"/>
      <c r="HS13" s="42"/>
      <c r="HT13" s="42"/>
      <c r="HU13" s="42"/>
      <c r="HV13" s="42"/>
      <c r="HW13" s="42"/>
      <c r="HX13" s="42"/>
      <c r="HY13" s="42"/>
      <c r="HZ13" s="42"/>
      <c r="IA13" s="36"/>
      <c r="IB13" s="42"/>
      <c r="IC13" s="42"/>
      <c r="ID13" s="42"/>
      <c r="IE13" s="42"/>
      <c r="IF13" s="42"/>
      <c r="IG13" s="17"/>
      <c r="IH13" s="17"/>
      <c r="II13" s="17"/>
      <c r="IJ13" s="17"/>
      <c r="IK13" s="17"/>
      <c r="IL13" s="17"/>
      <c r="IM13" s="17"/>
      <c r="IN13" s="17"/>
      <c r="IO13" s="17"/>
    </row>
    <row r="14" spans="2:249">
      <c r="B14" s="127" t="s">
        <v>14</v>
      </c>
      <c r="C14" s="128">
        <v>56114.979811294535</v>
      </c>
      <c r="D14" s="128" t="s">
        <v>4</v>
      </c>
      <c r="E14" s="128">
        <v>65029.30347846631</v>
      </c>
      <c r="F14" s="128" t="s">
        <v>4</v>
      </c>
      <c r="G14" s="128">
        <v>56068.703819853821</v>
      </c>
      <c r="H14" s="128" t="s">
        <v>4</v>
      </c>
      <c r="I14" s="128">
        <v>61457.562395119712</v>
      </c>
      <c r="J14" s="128" t="s">
        <v>4</v>
      </c>
      <c r="K14" s="128">
        <v>77166.885015879991</v>
      </c>
      <c r="L14" s="128" t="s">
        <v>4</v>
      </c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7"/>
      <c r="CD14" s="137"/>
      <c r="CE14" s="137"/>
      <c r="CF14" s="137"/>
      <c r="CG14" s="137"/>
      <c r="CH14" s="137"/>
      <c r="CI14" s="137"/>
      <c r="CJ14" s="137"/>
      <c r="CK14" s="137"/>
      <c r="CL14" s="137"/>
      <c r="CM14" s="137"/>
      <c r="CN14" s="137"/>
      <c r="CO14" s="137"/>
      <c r="CP14" s="137"/>
      <c r="CQ14" s="137"/>
      <c r="CR14" s="137"/>
      <c r="CS14" s="137"/>
      <c r="CT14" s="137"/>
      <c r="CU14" s="137"/>
      <c r="CV14" s="137"/>
      <c r="CW14" s="137"/>
      <c r="CX14" s="137"/>
      <c r="CY14" s="137"/>
      <c r="CZ14" s="137"/>
      <c r="DA14" s="137"/>
      <c r="DB14" s="137"/>
      <c r="DC14" s="137"/>
      <c r="DD14" s="137"/>
      <c r="DE14" s="137"/>
      <c r="DF14" s="137"/>
      <c r="DG14" s="137"/>
      <c r="DH14" s="137"/>
      <c r="DI14" s="137"/>
      <c r="DJ14" s="137"/>
      <c r="DK14" s="137"/>
      <c r="DL14" s="137"/>
      <c r="DM14" s="137"/>
      <c r="DN14" s="137"/>
      <c r="DO14" s="137"/>
      <c r="DP14" s="137"/>
      <c r="DQ14" s="137"/>
      <c r="DR14" s="137"/>
      <c r="DS14" s="137"/>
      <c r="DT14" s="137"/>
      <c r="DU14" s="137"/>
      <c r="DV14" s="137"/>
      <c r="DW14" s="137"/>
      <c r="DX14" s="137"/>
      <c r="DY14" s="137"/>
      <c r="DZ14" s="137"/>
      <c r="EA14" s="137"/>
      <c r="EB14" s="137"/>
      <c r="EC14" s="137"/>
      <c r="ED14" s="137"/>
      <c r="EE14" s="137"/>
      <c r="EF14" s="137"/>
      <c r="EG14" s="137"/>
      <c r="EH14" s="137"/>
      <c r="EI14" s="137"/>
      <c r="EJ14" s="137"/>
      <c r="EK14" s="137"/>
      <c r="EL14" s="137"/>
      <c r="EM14" s="137"/>
      <c r="EN14" s="137"/>
      <c r="EO14" s="137"/>
      <c r="EP14" s="137"/>
      <c r="EQ14" s="137"/>
      <c r="ER14" s="137"/>
      <c r="ES14" s="137"/>
      <c r="ET14" s="137"/>
      <c r="EU14" s="137"/>
      <c r="EV14" s="137"/>
      <c r="EW14" s="137"/>
      <c r="EX14" s="137"/>
      <c r="EY14" s="137"/>
      <c r="EZ14" s="137"/>
      <c r="FA14" s="137"/>
      <c r="FB14" s="137"/>
      <c r="FC14" s="137"/>
      <c r="FD14" s="137"/>
      <c r="FE14" s="137"/>
      <c r="FF14" s="137"/>
      <c r="FG14" s="137"/>
      <c r="FH14" s="137"/>
      <c r="FI14" s="137"/>
      <c r="FJ14" s="137"/>
      <c r="FK14" s="137"/>
      <c r="FL14" s="137"/>
      <c r="FM14" s="137"/>
      <c r="FN14" s="137"/>
      <c r="FO14" s="137"/>
      <c r="FP14" s="137"/>
      <c r="FQ14" s="137"/>
      <c r="FR14" s="137"/>
      <c r="FS14" s="137"/>
      <c r="FT14" s="137"/>
      <c r="FU14" s="137"/>
      <c r="FV14" s="1"/>
      <c r="FW14" s="73"/>
      <c r="FX14" s="1"/>
      <c r="FY14" s="110"/>
      <c r="FZ14" s="110"/>
      <c r="GA14" s="110"/>
      <c r="GB14" s="110"/>
      <c r="GC14" s="110"/>
      <c r="GD14" s="110"/>
      <c r="GE14" s="110"/>
      <c r="GF14" s="110"/>
      <c r="GG14" s="110"/>
      <c r="GH14" s="1"/>
      <c r="GI14" s="1"/>
      <c r="GJ14" s="1"/>
      <c r="GK14" s="1"/>
      <c r="GL14" s="1"/>
      <c r="GM14" s="1"/>
      <c r="GN14" s="1"/>
      <c r="GO14" s="1"/>
      <c r="GP14" s="1"/>
      <c r="GR14" s="1"/>
      <c r="GS14" s="16"/>
      <c r="GT14" s="85"/>
      <c r="GU14" s="85"/>
      <c r="GV14" s="68"/>
      <c r="GW14" s="7"/>
      <c r="GX14" s="106"/>
      <c r="GY14" s="106"/>
      <c r="GZ14" s="41"/>
      <c r="HA14" s="106"/>
      <c r="HB14" s="106"/>
      <c r="HC14" s="42"/>
      <c r="HD14" s="42"/>
      <c r="HE14" s="42"/>
      <c r="HF14" s="42"/>
      <c r="HG14" s="42"/>
      <c r="HH14" s="42"/>
      <c r="HI14" s="42"/>
      <c r="HJ14" s="42"/>
      <c r="HK14" s="42"/>
      <c r="HL14" s="36"/>
      <c r="HM14" s="107"/>
      <c r="HN14" s="107"/>
      <c r="HO14" s="107"/>
      <c r="HP14" s="107"/>
      <c r="HQ14" s="107"/>
      <c r="HR14" s="42"/>
      <c r="HS14" s="42"/>
      <c r="HT14" s="42"/>
      <c r="HU14" s="42"/>
      <c r="HV14" s="42"/>
      <c r="HW14" s="42"/>
      <c r="HX14" s="42"/>
      <c r="HY14" s="42"/>
      <c r="HZ14" s="42"/>
      <c r="IA14" s="36"/>
      <c r="IB14" s="106"/>
      <c r="IC14" s="106"/>
      <c r="ID14" s="106"/>
      <c r="IE14" s="106"/>
      <c r="IF14" s="106"/>
      <c r="IG14" s="106"/>
      <c r="IH14" s="106"/>
      <c r="II14" s="106"/>
      <c r="IJ14" s="106"/>
      <c r="IK14" s="106"/>
      <c r="IL14" s="106"/>
      <c r="IM14" s="106"/>
      <c r="IN14" s="106"/>
      <c r="IO14" s="106"/>
    </row>
    <row r="15" spans="2:249" ht="23.25">
      <c r="B15" s="126" t="s">
        <v>15</v>
      </c>
      <c r="C15" s="129">
        <v>1088.6306083391139</v>
      </c>
      <c r="D15" s="129" t="s">
        <v>193</v>
      </c>
      <c r="E15" s="129">
        <v>1261.5684874822464</v>
      </c>
      <c r="F15" s="129" t="s">
        <v>193</v>
      </c>
      <c r="G15" s="129">
        <v>1031.6641502853104</v>
      </c>
      <c r="H15" s="129" t="s">
        <v>193</v>
      </c>
      <c r="I15" s="129">
        <v>1144.0920605492267</v>
      </c>
      <c r="J15" s="129" t="s">
        <v>193</v>
      </c>
      <c r="K15" s="129">
        <v>1389.0039302858395</v>
      </c>
      <c r="L15" s="129" t="s">
        <v>193</v>
      </c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137"/>
      <c r="BT15" s="137"/>
      <c r="BU15" s="137"/>
      <c r="BV15" s="137"/>
      <c r="BW15" s="137"/>
      <c r="BX15" s="137"/>
      <c r="BY15" s="137"/>
      <c r="BZ15" s="137"/>
      <c r="CA15" s="137"/>
      <c r="CB15" s="137"/>
      <c r="CC15" s="137"/>
      <c r="CD15" s="137"/>
      <c r="CE15" s="137"/>
      <c r="CF15" s="137"/>
      <c r="CG15" s="137"/>
      <c r="CH15" s="137"/>
      <c r="CI15" s="137"/>
      <c r="CJ15" s="137"/>
      <c r="CK15" s="137"/>
      <c r="CL15" s="137"/>
      <c r="CM15" s="137"/>
      <c r="CN15" s="137"/>
      <c r="CO15" s="137"/>
      <c r="CP15" s="137"/>
      <c r="CQ15" s="137"/>
      <c r="CR15" s="137"/>
      <c r="CS15" s="137"/>
      <c r="CT15" s="137"/>
      <c r="CU15" s="137"/>
      <c r="CV15" s="137"/>
      <c r="CW15" s="137"/>
      <c r="CX15" s="137"/>
      <c r="CY15" s="137"/>
      <c r="CZ15" s="137"/>
      <c r="DA15" s="137"/>
      <c r="DB15" s="137"/>
      <c r="DC15" s="137"/>
      <c r="DD15" s="137"/>
      <c r="DE15" s="137"/>
      <c r="DF15" s="137"/>
      <c r="DG15" s="137"/>
      <c r="DH15" s="137"/>
      <c r="DI15" s="137"/>
      <c r="DJ15" s="137"/>
      <c r="DK15" s="137"/>
      <c r="DL15" s="137"/>
      <c r="DM15" s="137"/>
      <c r="DN15" s="137"/>
      <c r="DO15" s="137"/>
      <c r="DP15" s="137"/>
      <c r="DQ15" s="137"/>
      <c r="DR15" s="137"/>
      <c r="DS15" s="137"/>
      <c r="DT15" s="137"/>
      <c r="DU15" s="137"/>
      <c r="DV15" s="137"/>
      <c r="DW15" s="137"/>
      <c r="DX15" s="137"/>
      <c r="DY15" s="137"/>
      <c r="DZ15" s="137"/>
      <c r="EA15" s="137"/>
      <c r="EB15" s="137"/>
      <c r="EC15" s="137"/>
      <c r="ED15" s="137"/>
      <c r="EE15" s="137"/>
      <c r="EF15" s="137"/>
      <c r="EG15" s="137"/>
      <c r="EH15" s="137"/>
      <c r="EI15" s="137"/>
      <c r="EJ15" s="137"/>
      <c r="EK15" s="137"/>
      <c r="EL15" s="137"/>
      <c r="EM15" s="137"/>
      <c r="EN15" s="137"/>
      <c r="EO15" s="137"/>
      <c r="EP15" s="137"/>
      <c r="EQ15" s="137"/>
      <c r="ER15" s="137"/>
      <c r="ES15" s="137"/>
      <c r="ET15" s="137"/>
      <c r="EU15" s="137"/>
      <c r="EV15" s="137"/>
      <c r="EW15" s="137"/>
      <c r="EX15" s="137"/>
      <c r="EY15" s="137"/>
      <c r="EZ15" s="137"/>
      <c r="FA15" s="137"/>
      <c r="FB15" s="137"/>
      <c r="FC15" s="137"/>
      <c r="FD15" s="137"/>
      <c r="FE15" s="137"/>
      <c r="FF15" s="137"/>
      <c r="FG15" s="137"/>
      <c r="FH15" s="137"/>
      <c r="FI15" s="137"/>
      <c r="FJ15" s="137"/>
      <c r="FK15" s="137"/>
      <c r="FL15" s="137"/>
      <c r="FM15" s="137"/>
      <c r="FN15" s="137"/>
      <c r="FO15" s="137"/>
      <c r="FP15" s="137"/>
      <c r="FQ15" s="137"/>
      <c r="FR15" s="137"/>
      <c r="FS15" s="137"/>
      <c r="FT15" s="137"/>
      <c r="FU15" s="137"/>
      <c r="FV15" s="1"/>
      <c r="FW15" s="73"/>
      <c r="FX15" s="1"/>
      <c r="FY15" s="110"/>
      <c r="FZ15" s="110"/>
      <c r="GA15" s="110"/>
      <c r="GB15" s="110"/>
      <c r="GC15" s="110"/>
      <c r="GD15" s="110"/>
      <c r="GE15" s="110"/>
      <c r="GF15" s="110"/>
      <c r="GG15" s="110"/>
      <c r="GH15" s="1"/>
      <c r="GI15" s="1"/>
      <c r="GJ15" s="1"/>
      <c r="GK15" s="1"/>
      <c r="GL15" s="1"/>
      <c r="GM15" s="1"/>
      <c r="GN15" s="1"/>
      <c r="GO15" s="1"/>
      <c r="GP15" s="1"/>
      <c r="GR15" s="1"/>
      <c r="GS15" s="16"/>
      <c r="GT15" s="85"/>
      <c r="GU15" s="85"/>
      <c r="GV15" s="68"/>
      <c r="GW15" s="7"/>
      <c r="GX15" s="106"/>
      <c r="GY15" s="106"/>
      <c r="GZ15" s="41"/>
      <c r="HA15" s="106"/>
      <c r="HB15" s="106"/>
      <c r="HC15" s="42"/>
      <c r="HD15" s="42"/>
      <c r="HE15" s="42"/>
      <c r="HF15" s="42"/>
      <c r="HG15" s="42"/>
      <c r="HH15" s="42"/>
      <c r="HI15" s="42"/>
      <c r="HJ15" s="42"/>
      <c r="HK15" s="42"/>
      <c r="HL15" s="36"/>
      <c r="HM15" s="107"/>
      <c r="HN15" s="107"/>
      <c r="HO15" s="107"/>
      <c r="HP15" s="106"/>
      <c r="HQ15" s="106"/>
      <c r="HR15" s="106"/>
      <c r="HS15" s="106"/>
      <c r="HT15" s="106"/>
      <c r="HU15" s="106"/>
      <c r="HV15" s="106"/>
      <c r="HW15" s="106"/>
      <c r="HX15" s="106"/>
      <c r="HY15" s="106"/>
      <c r="HZ15" s="106"/>
      <c r="IA15" s="36"/>
      <c r="IB15" s="106"/>
      <c r="IC15" s="106"/>
      <c r="ID15" s="106"/>
      <c r="IE15" s="106"/>
      <c r="IF15" s="106"/>
      <c r="IG15" s="106"/>
      <c r="IH15" s="106"/>
      <c r="II15" s="106"/>
      <c r="IJ15" s="106"/>
      <c r="IK15" s="106"/>
      <c r="IL15" s="106"/>
      <c r="IM15" s="106"/>
      <c r="IN15" s="106"/>
      <c r="IO15" s="106"/>
    </row>
    <row r="16" spans="2:249" ht="23.25">
      <c r="B16" s="127" t="s">
        <v>16</v>
      </c>
      <c r="C16" s="128">
        <v>1001.5401596719847</v>
      </c>
      <c r="D16" s="128" t="s">
        <v>193</v>
      </c>
      <c r="E16" s="128">
        <v>1160.6430084836668</v>
      </c>
      <c r="F16" s="128" t="s">
        <v>193</v>
      </c>
      <c r="G16" s="128">
        <v>990.39758427389779</v>
      </c>
      <c r="H16" s="128" t="s">
        <v>193</v>
      </c>
      <c r="I16" s="128">
        <v>1029.782854494304</v>
      </c>
      <c r="J16" s="128" t="s">
        <v>193</v>
      </c>
      <c r="K16" s="128">
        <v>1291.7736551658309</v>
      </c>
      <c r="L16" s="128" t="s">
        <v>193</v>
      </c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/>
      <c r="CL16" s="137"/>
      <c r="CM16" s="137"/>
      <c r="CN16" s="137"/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7"/>
      <c r="DB16" s="137"/>
      <c r="DC16" s="137"/>
      <c r="DD16" s="137"/>
      <c r="DE16" s="137"/>
      <c r="DF16" s="137"/>
      <c r="DG16" s="137"/>
      <c r="DH16" s="137"/>
      <c r="DI16" s="137"/>
      <c r="DJ16" s="137"/>
      <c r="DK16" s="137"/>
      <c r="DL16" s="137"/>
      <c r="DM16" s="137"/>
      <c r="DN16" s="137"/>
      <c r="DO16" s="137"/>
      <c r="DP16" s="137"/>
      <c r="DQ16" s="137"/>
      <c r="DR16" s="137"/>
      <c r="DS16" s="137"/>
      <c r="DT16" s="137"/>
      <c r="DU16" s="137"/>
      <c r="DV16" s="137"/>
      <c r="DW16" s="137"/>
      <c r="DX16" s="137"/>
      <c r="DY16" s="137"/>
      <c r="DZ16" s="137"/>
      <c r="EA16" s="137"/>
      <c r="EB16" s="137"/>
      <c r="EC16" s="137"/>
      <c r="ED16" s="137"/>
      <c r="EE16" s="137"/>
      <c r="EF16" s="137"/>
      <c r="EG16" s="137"/>
      <c r="EH16" s="137"/>
      <c r="EI16" s="137"/>
      <c r="EJ16" s="137"/>
      <c r="EK16" s="137"/>
      <c r="EL16" s="137"/>
      <c r="EM16" s="137"/>
      <c r="EN16" s="137"/>
      <c r="EO16" s="137"/>
      <c r="EP16" s="137"/>
      <c r="EQ16" s="137"/>
      <c r="ER16" s="137"/>
      <c r="ES16" s="137"/>
      <c r="ET16" s="137"/>
      <c r="EU16" s="137"/>
      <c r="EV16" s="137"/>
      <c r="EW16" s="137"/>
      <c r="EX16" s="137"/>
      <c r="EY16" s="137"/>
      <c r="EZ16" s="137"/>
      <c r="FA16" s="137"/>
      <c r="FB16" s="137"/>
      <c r="FC16" s="137"/>
      <c r="FD16" s="137"/>
      <c r="FE16" s="137"/>
      <c r="FF16" s="137"/>
      <c r="FG16" s="137"/>
      <c r="FH16" s="137"/>
      <c r="FI16" s="137"/>
      <c r="FJ16" s="137"/>
      <c r="FK16" s="137"/>
      <c r="FL16" s="137"/>
      <c r="FM16" s="137"/>
      <c r="FN16" s="137"/>
      <c r="FO16" s="137"/>
      <c r="FP16" s="137"/>
      <c r="FQ16" s="137"/>
      <c r="FR16" s="137"/>
      <c r="FS16" s="137"/>
      <c r="FT16" s="137"/>
      <c r="FU16" s="137"/>
      <c r="FV16" s="1"/>
      <c r="FW16" s="73"/>
      <c r="FX16" s="1"/>
      <c r="FY16" s="110"/>
      <c r="FZ16" s="110"/>
      <c r="GA16" s="110"/>
      <c r="GB16" s="110"/>
      <c r="GC16" s="110"/>
      <c r="GD16" s="110"/>
      <c r="GE16" s="110"/>
      <c r="GF16" s="110"/>
      <c r="GG16" s="110"/>
      <c r="GH16" s="1"/>
      <c r="GI16" s="1"/>
      <c r="GJ16" s="1"/>
      <c r="GK16" s="1"/>
      <c r="GL16" s="1"/>
      <c r="GM16" s="1"/>
      <c r="GN16" s="1"/>
      <c r="GO16" s="1"/>
      <c r="GP16" s="1"/>
      <c r="GR16" s="1"/>
      <c r="GS16" s="16"/>
      <c r="GT16" s="85"/>
      <c r="GU16" s="85"/>
      <c r="GV16" s="68"/>
      <c r="GW16" s="7"/>
      <c r="GX16" s="106"/>
      <c r="GY16" s="106"/>
      <c r="GZ16" s="41"/>
      <c r="HA16" s="106"/>
      <c r="HB16" s="106"/>
      <c r="HC16" s="42"/>
      <c r="HD16" s="42"/>
      <c r="HE16" s="42"/>
      <c r="HF16" s="42"/>
      <c r="HG16" s="42"/>
      <c r="HH16" s="42"/>
      <c r="HI16" s="42"/>
      <c r="HJ16" s="42"/>
      <c r="HK16" s="42"/>
      <c r="HL16" s="36"/>
      <c r="HM16" s="107"/>
      <c r="HN16" s="107"/>
      <c r="HO16" s="107"/>
      <c r="HP16" s="106"/>
      <c r="HQ16" s="106"/>
      <c r="HR16" s="106"/>
      <c r="HS16" s="106"/>
      <c r="HT16" s="106"/>
      <c r="HU16" s="106"/>
      <c r="HV16" s="106"/>
      <c r="HW16" s="106"/>
      <c r="HX16" s="106"/>
      <c r="HY16" s="106"/>
      <c r="HZ16" s="106"/>
      <c r="IA16" s="36"/>
      <c r="IB16" s="106"/>
      <c r="IC16" s="106"/>
      <c r="ID16" s="106"/>
      <c r="IE16" s="106"/>
      <c r="IF16" s="106"/>
      <c r="IG16" s="106"/>
      <c r="IH16" s="106"/>
      <c r="II16" s="106"/>
      <c r="IJ16" s="106"/>
      <c r="IK16" s="106"/>
      <c r="IL16" s="106"/>
      <c r="IM16" s="106"/>
      <c r="IN16" s="106"/>
      <c r="IO16" s="106"/>
    </row>
    <row r="17" spans="2:249">
      <c r="B17" s="126" t="s">
        <v>17</v>
      </c>
      <c r="C17" s="129">
        <v>47573.157584419278</v>
      </c>
      <c r="D17" s="129" t="s">
        <v>4</v>
      </c>
      <c r="E17" s="129">
        <v>53389.578390248673</v>
      </c>
      <c r="F17" s="129" t="s">
        <v>4</v>
      </c>
      <c r="G17" s="129">
        <v>47539.084045147094</v>
      </c>
      <c r="H17" s="129" t="s">
        <v>4</v>
      </c>
      <c r="I17" s="129">
        <v>47839.402733985138</v>
      </c>
      <c r="J17" s="129" t="s">
        <v>4</v>
      </c>
      <c r="K17" s="129">
        <v>58775.701310045297</v>
      </c>
      <c r="L17" s="129" t="s">
        <v>4</v>
      </c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7"/>
      <c r="CD17" s="137"/>
      <c r="CE17" s="137"/>
      <c r="CF17" s="137"/>
      <c r="CG17" s="137"/>
      <c r="CH17" s="137"/>
      <c r="CI17" s="137"/>
      <c r="CJ17" s="137"/>
      <c r="CK17" s="137"/>
      <c r="CL17" s="137"/>
      <c r="CM17" s="137"/>
      <c r="CN17" s="137"/>
      <c r="CO17" s="137"/>
      <c r="CP17" s="137"/>
      <c r="CQ17" s="137"/>
      <c r="CR17" s="137"/>
      <c r="CS17" s="137"/>
      <c r="CT17" s="137"/>
      <c r="CU17" s="137"/>
      <c r="CV17" s="137"/>
      <c r="CW17" s="137"/>
      <c r="CX17" s="137"/>
      <c r="CY17" s="137"/>
      <c r="CZ17" s="137"/>
      <c r="DA17" s="137"/>
      <c r="DB17" s="137"/>
      <c r="DC17" s="137"/>
      <c r="DD17" s="137"/>
      <c r="DE17" s="137"/>
      <c r="DF17" s="137"/>
      <c r="DG17" s="137"/>
      <c r="DH17" s="137"/>
      <c r="DI17" s="137"/>
      <c r="DJ17" s="137"/>
      <c r="DK17" s="137"/>
      <c r="DL17" s="137"/>
      <c r="DM17" s="137"/>
      <c r="DN17" s="137"/>
      <c r="DO17" s="137"/>
      <c r="DP17" s="137"/>
      <c r="DQ17" s="137"/>
      <c r="DR17" s="137"/>
      <c r="DS17" s="137"/>
      <c r="DT17" s="137"/>
      <c r="DU17" s="137"/>
      <c r="DV17" s="137"/>
      <c r="DW17" s="137"/>
      <c r="DX17" s="137"/>
      <c r="DY17" s="137"/>
      <c r="DZ17" s="137"/>
      <c r="EA17" s="137"/>
      <c r="EB17" s="137"/>
      <c r="EC17" s="137"/>
      <c r="ED17" s="137"/>
      <c r="EE17" s="137"/>
      <c r="EF17" s="137"/>
      <c r="EG17" s="137"/>
      <c r="EH17" s="137"/>
      <c r="EI17" s="137"/>
      <c r="EJ17" s="137"/>
      <c r="EK17" s="137"/>
      <c r="EL17" s="137"/>
      <c r="EM17" s="137"/>
      <c r="EN17" s="137"/>
      <c r="EO17" s="137"/>
      <c r="EP17" s="137"/>
      <c r="EQ17" s="137"/>
      <c r="ER17" s="137"/>
      <c r="ES17" s="137"/>
      <c r="ET17" s="137"/>
      <c r="EU17" s="137"/>
      <c r="EV17" s="137"/>
      <c r="EW17" s="137"/>
      <c r="EX17" s="137"/>
      <c r="EY17" s="137"/>
      <c r="EZ17" s="137"/>
      <c r="FA17" s="137"/>
      <c r="FB17" s="137"/>
      <c r="FC17" s="137"/>
      <c r="FD17" s="137"/>
      <c r="FE17" s="137"/>
      <c r="FF17" s="137"/>
      <c r="FG17" s="137"/>
      <c r="FH17" s="137"/>
      <c r="FI17" s="137"/>
      <c r="FJ17" s="137"/>
      <c r="FK17" s="137"/>
      <c r="FL17" s="137"/>
      <c r="FM17" s="137"/>
      <c r="FN17" s="137"/>
      <c r="FO17" s="137"/>
      <c r="FP17" s="137"/>
      <c r="FQ17" s="137"/>
      <c r="FR17" s="137"/>
      <c r="FS17" s="137"/>
      <c r="FT17" s="137"/>
      <c r="FU17" s="137"/>
      <c r="FV17" s="1"/>
      <c r="FW17" s="102"/>
      <c r="FX17" s="98"/>
      <c r="FY17" s="110"/>
      <c r="FZ17" s="110"/>
      <c r="GA17" s="110"/>
      <c r="GB17" s="110"/>
      <c r="GC17" s="110"/>
      <c r="GD17" s="110"/>
      <c r="GE17" s="110"/>
      <c r="GF17" s="110"/>
      <c r="GG17" s="110"/>
      <c r="GH17" s="1"/>
      <c r="GI17" s="1"/>
      <c r="GJ17" s="1"/>
      <c r="GK17" s="1"/>
      <c r="GL17" s="1"/>
      <c r="GM17" s="1"/>
      <c r="GN17" s="1"/>
      <c r="GO17" s="1"/>
      <c r="GP17" s="1"/>
      <c r="GR17" s="1"/>
      <c r="GS17" s="16"/>
      <c r="GT17" s="85"/>
      <c r="GU17" s="85"/>
      <c r="GV17" s="68"/>
      <c r="GW17" s="7"/>
      <c r="GX17" s="106"/>
      <c r="GY17" s="106"/>
      <c r="GZ17" s="41"/>
      <c r="HA17" s="106"/>
      <c r="HB17" s="106"/>
      <c r="HC17" s="42"/>
      <c r="HD17" s="42"/>
      <c r="HE17" s="42"/>
      <c r="HF17" s="42"/>
      <c r="HG17" s="42"/>
      <c r="HH17" s="42"/>
      <c r="HI17" s="42"/>
      <c r="HJ17" s="42"/>
      <c r="HK17" s="42"/>
      <c r="HL17" s="36"/>
      <c r="HM17" s="107"/>
      <c r="HN17" s="107"/>
      <c r="HO17" s="107"/>
      <c r="HP17" s="106"/>
      <c r="HQ17" s="106"/>
      <c r="HR17" s="106"/>
      <c r="HS17" s="106"/>
      <c r="HT17" s="106"/>
      <c r="HU17" s="106"/>
      <c r="HV17" s="106"/>
      <c r="HW17" s="106"/>
      <c r="HX17" s="106"/>
      <c r="HY17" s="106"/>
      <c r="HZ17" s="106"/>
      <c r="IA17" s="36"/>
      <c r="IB17" s="106"/>
      <c r="IC17" s="106"/>
      <c r="ID17" s="106"/>
      <c r="IE17" s="106"/>
      <c r="IF17" s="106"/>
      <c r="IG17" s="106"/>
      <c r="IH17" s="106"/>
      <c r="II17" s="106"/>
      <c r="IJ17" s="106"/>
      <c r="IK17" s="106"/>
      <c r="IL17" s="106"/>
      <c r="IM17" s="106"/>
      <c r="IN17" s="106"/>
      <c r="IO17" s="106"/>
    </row>
    <row r="18" spans="2:249" ht="23.25">
      <c r="B18" s="127" t="s">
        <v>18</v>
      </c>
      <c r="C18" s="128">
        <v>884.86073107019854</v>
      </c>
      <c r="D18" s="128" t="s">
        <v>193</v>
      </c>
      <c r="E18" s="128">
        <v>993.04615805862534</v>
      </c>
      <c r="F18" s="128" t="s">
        <v>193</v>
      </c>
      <c r="G18" s="128">
        <v>922.25823047585368</v>
      </c>
      <c r="H18" s="128" t="s">
        <v>193</v>
      </c>
      <c r="I18" s="128">
        <v>919.49733249251472</v>
      </c>
      <c r="J18" s="128" t="s">
        <v>193</v>
      </c>
      <c r="K18" s="128">
        <v>1093.2280443668426</v>
      </c>
      <c r="L18" s="128" t="s">
        <v>193</v>
      </c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7"/>
      <c r="BS18" s="137"/>
      <c r="BT18" s="137"/>
      <c r="BU18" s="137"/>
      <c r="BV18" s="137"/>
      <c r="BW18" s="137"/>
      <c r="BX18" s="137"/>
      <c r="BY18" s="137"/>
      <c r="BZ18" s="137"/>
      <c r="CA18" s="137"/>
      <c r="CB18" s="137"/>
      <c r="CC18" s="137"/>
      <c r="CD18" s="137"/>
      <c r="CE18" s="137"/>
      <c r="CF18" s="137"/>
      <c r="CG18" s="137"/>
      <c r="CH18" s="137"/>
      <c r="CI18" s="137"/>
      <c r="CJ18" s="137"/>
      <c r="CK18" s="137"/>
      <c r="CL18" s="137"/>
      <c r="CM18" s="137"/>
      <c r="CN18" s="137"/>
      <c r="CO18" s="137"/>
      <c r="CP18" s="137"/>
      <c r="CQ18" s="137"/>
      <c r="CR18" s="137"/>
      <c r="CS18" s="137"/>
      <c r="CT18" s="137"/>
      <c r="CU18" s="137"/>
      <c r="CV18" s="137"/>
      <c r="CW18" s="137"/>
      <c r="CX18" s="137"/>
      <c r="CY18" s="137"/>
      <c r="CZ18" s="137"/>
      <c r="DA18" s="137"/>
      <c r="DB18" s="137"/>
      <c r="DC18" s="137"/>
      <c r="DD18" s="137"/>
      <c r="DE18" s="137"/>
      <c r="DF18" s="137"/>
      <c r="DG18" s="137"/>
      <c r="DH18" s="137"/>
      <c r="DI18" s="137"/>
      <c r="DJ18" s="137"/>
      <c r="DK18" s="137"/>
      <c r="DL18" s="137"/>
      <c r="DM18" s="137"/>
      <c r="DN18" s="137"/>
      <c r="DO18" s="137"/>
      <c r="DP18" s="137"/>
      <c r="DQ18" s="137"/>
      <c r="DR18" s="137"/>
      <c r="DS18" s="137"/>
      <c r="DT18" s="137"/>
      <c r="DU18" s="137"/>
      <c r="DV18" s="137"/>
      <c r="DW18" s="137"/>
      <c r="DX18" s="137"/>
      <c r="DY18" s="137"/>
      <c r="DZ18" s="137"/>
      <c r="EA18" s="137"/>
      <c r="EB18" s="137"/>
      <c r="EC18" s="137"/>
      <c r="ED18" s="137"/>
      <c r="EE18" s="137"/>
      <c r="EF18" s="137"/>
      <c r="EG18" s="137"/>
      <c r="EH18" s="137"/>
      <c r="EI18" s="137"/>
      <c r="EJ18" s="137"/>
      <c r="EK18" s="137"/>
      <c r="EL18" s="137"/>
      <c r="EM18" s="137"/>
      <c r="EN18" s="137"/>
      <c r="EO18" s="137"/>
      <c r="EP18" s="137"/>
      <c r="EQ18" s="137"/>
      <c r="ER18" s="137"/>
      <c r="ES18" s="137"/>
      <c r="ET18" s="137"/>
      <c r="EU18" s="137"/>
      <c r="EV18" s="137"/>
      <c r="EW18" s="137"/>
      <c r="EX18" s="137"/>
      <c r="EY18" s="137"/>
      <c r="EZ18" s="137"/>
      <c r="FA18" s="137"/>
      <c r="FB18" s="137"/>
      <c r="FC18" s="137"/>
      <c r="FD18" s="137"/>
      <c r="FE18" s="137"/>
      <c r="FF18" s="137"/>
      <c r="FG18" s="137"/>
      <c r="FH18" s="137"/>
      <c r="FI18" s="137"/>
      <c r="FJ18" s="137"/>
      <c r="FK18" s="137"/>
      <c r="FL18" s="137"/>
      <c r="FM18" s="137"/>
      <c r="FN18" s="137"/>
      <c r="FO18" s="137"/>
      <c r="FP18" s="137"/>
      <c r="FQ18" s="137"/>
      <c r="FR18" s="137"/>
      <c r="FS18" s="137"/>
      <c r="FT18" s="137"/>
      <c r="FU18" s="137"/>
      <c r="FV18" s="1"/>
      <c r="FW18" s="1"/>
      <c r="FX18" s="1"/>
      <c r="FY18" s="84"/>
      <c r="FZ18" s="84"/>
      <c r="GA18" s="84"/>
      <c r="GB18" s="84"/>
      <c r="GC18" s="84"/>
      <c r="GD18" s="84"/>
      <c r="GE18" s="84"/>
      <c r="GF18" s="84"/>
      <c r="GG18" s="84"/>
      <c r="GH18" s="1"/>
      <c r="GI18" s="1"/>
      <c r="GJ18" s="1"/>
      <c r="GK18" s="1"/>
      <c r="GL18" s="1"/>
      <c r="GM18" s="1"/>
      <c r="GN18" s="1"/>
      <c r="GO18" s="1"/>
      <c r="GP18" s="1"/>
      <c r="GR18" s="3"/>
      <c r="GS18" s="16"/>
      <c r="GT18" s="85"/>
      <c r="GU18" s="85"/>
      <c r="GV18" s="68"/>
      <c r="GW18" s="7"/>
      <c r="GX18" s="106"/>
      <c r="GY18" s="106"/>
      <c r="GZ18" s="41"/>
      <c r="HA18" s="106"/>
      <c r="HB18" s="106"/>
      <c r="HC18" s="42"/>
      <c r="HD18" s="42"/>
      <c r="HE18" s="42"/>
      <c r="HF18" s="42"/>
      <c r="HG18" s="42"/>
      <c r="HH18" s="42"/>
      <c r="HI18" s="42"/>
      <c r="HJ18" s="42"/>
      <c r="HK18" s="42"/>
      <c r="HL18" s="36"/>
      <c r="HM18" s="107"/>
      <c r="HN18" s="107"/>
      <c r="HO18" s="107"/>
      <c r="HP18" s="106"/>
      <c r="HQ18" s="106"/>
      <c r="HR18" s="106"/>
      <c r="HS18" s="106"/>
      <c r="HT18" s="106"/>
      <c r="HU18" s="106"/>
      <c r="HV18" s="106"/>
      <c r="HW18" s="106"/>
      <c r="HX18" s="106"/>
      <c r="HY18" s="106"/>
      <c r="HZ18" s="106"/>
      <c r="IA18" s="36"/>
      <c r="IB18" s="106"/>
      <c r="IC18" s="106"/>
      <c r="ID18" s="106"/>
      <c r="IE18" s="106"/>
      <c r="IF18" s="106"/>
      <c r="IG18" s="106"/>
      <c r="IH18" s="106"/>
      <c r="II18" s="106"/>
      <c r="IJ18" s="106"/>
      <c r="IK18" s="106"/>
      <c r="IL18" s="106"/>
      <c r="IM18" s="106"/>
      <c r="IN18" s="106"/>
      <c r="IO18" s="106"/>
    </row>
    <row r="19" spans="2:249" ht="23.25">
      <c r="B19" s="126" t="s">
        <v>19</v>
      </c>
      <c r="C19" s="130">
        <v>40261.163263694034</v>
      </c>
      <c r="D19" s="130" t="s">
        <v>4</v>
      </c>
      <c r="E19" s="130">
        <v>47666.215586814011</v>
      </c>
      <c r="F19" s="130" t="s">
        <v>4</v>
      </c>
      <c r="G19" s="130">
        <v>43807.265947603046</v>
      </c>
      <c r="H19" s="130" t="s">
        <v>4</v>
      </c>
      <c r="I19" s="130">
        <v>44088.871959640703</v>
      </c>
      <c r="J19" s="130" t="s">
        <v>4</v>
      </c>
      <c r="K19" s="130">
        <v>51928.332107425013</v>
      </c>
      <c r="L19" s="130" t="s">
        <v>4</v>
      </c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  <c r="BO19" s="137"/>
      <c r="BP19" s="137"/>
      <c r="BQ19" s="137"/>
      <c r="BR19" s="137"/>
      <c r="BS19" s="137"/>
      <c r="BT19" s="137"/>
      <c r="BU19" s="137"/>
      <c r="BV19" s="137"/>
      <c r="BW19" s="137"/>
      <c r="BX19" s="137"/>
      <c r="BY19" s="137"/>
      <c r="BZ19" s="137"/>
      <c r="CA19" s="137"/>
      <c r="CB19" s="137"/>
      <c r="CC19" s="137"/>
      <c r="CD19" s="137"/>
      <c r="CE19" s="137"/>
      <c r="CF19" s="137"/>
      <c r="CG19" s="137"/>
      <c r="CH19" s="137"/>
      <c r="CI19" s="137"/>
      <c r="CJ19" s="137"/>
      <c r="CK19" s="137"/>
      <c r="CL19" s="137"/>
      <c r="CM19" s="137"/>
      <c r="CN19" s="137"/>
      <c r="CO19" s="137"/>
      <c r="CP19" s="137"/>
      <c r="CQ19" s="137"/>
      <c r="CR19" s="137"/>
      <c r="CS19" s="137"/>
      <c r="CT19" s="137"/>
      <c r="CU19" s="137"/>
      <c r="CV19" s="137"/>
      <c r="CW19" s="137"/>
      <c r="CX19" s="137"/>
      <c r="CY19" s="137"/>
      <c r="CZ19" s="137"/>
      <c r="DA19" s="137"/>
      <c r="DB19" s="137"/>
      <c r="DC19" s="137"/>
      <c r="DD19" s="137"/>
      <c r="DE19" s="137"/>
      <c r="DF19" s="137"/>
      <c r="DG19" s="137"/>
      <c r="DH19" s="137"/>
      <c r="DI19" s="137"/>
      <c r="DJ19" s="137"/>
      <c r="DK19" s="137"/>
      <c r="DL19" s="137"/>
      <c r="DM19" s="137"/>
      <c r="DN19" s="137"/>
      <c r="DO19" s="137"/>
      <c r="DP19" s="137"/>
      <c r="DQ19" s="137"/>
      <c r="DR19" s="137"/>
      <c r="DS19" s="137"/>
      <c r="DT19" s="137"/>
      <c r="DU19" s="137"/>
      <c r="DV19" s="137"/>
      <c r="DW19" s="137"/>
      <c r="DX19" s="137"/>
      <c r="DY19" s="137"/>
      <c r="DZ19" s="137"/>
      <c r="EA19" s="137"/>
      <c r="EB19" s="137"/>
      <c r="EC19" s="137"/>
      <c r="ED19" s="137"/>
      <c r="EE19" s="137"/>
      <c r="EF19" s="137"/>
      <c r="EG19" s="137"/>
      <c r="EH19" s="137"/>
      <c r="EI19" s="137"/>
      <c r="EJ19" s="137"/>
      <c r="EK19" s="137"/>
      <c r="EL19" s="137"/>
      <c r="EM19" s="137"/>
      <c r="EN19" s="137"/>
      <c r="EO19" s="137"/>
      <c r="EP19" s="137"/>
      <c r="EQ19" s="137"/>
      <c r="ER19" s="137"/>
      <c r="ES19" s="137"/>
      <c r="ET19" s="137"/>
      <c r="EU19" s="137"/>
      <c r="EV19" s="137"/>
      <c r="EW19" s="137"/>
      <c r="EX19" s="137"/>
      <c r="EY19" s="137"/>
      <c r="EZ19" s="137"/>
      <c r="FA19" s="137"/>
      <c r="FB19" s="137"/>
      <c r="FC19" s="137"/>
      <c r="FD19" s="137"/>
      <c r="FE19" s="137"/>
      <c r="FF19" s="137"/>
      <c r="FG19" s="137"/>
      <c r="FH19" s="137"/>
      <c r="FI19" s="137"/>
      <c r="FJ19" s="137"/>
      <c r="FK19" s="137"/>
      <c r="FL19" s="137"/>
      <c r="FM19" s="137"/>
      <c r="FN19" s="137"/>
      <c r="FO19" s="137"/>
      <c r="FP19" s="137"/>
      <c r="FQ19" s="137"/>
      <c r="FR19" s="137"/>
      <c r="FS19" s="137"/>
      <c r="FT19" s="137"/>
      <c r="FU19" s="137"/>
      <c r="FV19" s="1"/>
      <c r="FW19" s="73"/>
      <c r="FX19" s="73"/>
      <c r="FY19" s="84"/>
      <c r="FZ19" s="84"/>
      <c r="GA19" s="84"/>
      <c r="GB19" s="84"/>
      <c r="GC19" s="84"/>
      <c r="GD19" s="84"/>
      <c r="GE19" s="84"/>
      <c r="GF19" s="84"/>
      <c r="GG19" s="84"/>
      <c r="GH19" s="1"/>
      <c r="GI19" s="1"/>
      <c r="GJ19" s="1"/>
      <c r="GK19" s="1"/>
      <c r="GL19" s="1"/>
      <c r="GM19" s="1"/>
      <c r="GN19" s="1"/>
      <c r="GO19" s="1"/>
      <c r="GP19" s="1"/>
      <c r="GR19" s="1"/>
      <c r="GS19" s="16"/>
      <c r="GT19" s="85"/>
      <c r="GU19" s="85"/>
      <c r="GV19" s="68"/>
      <c r="GW19" s="7"/>
      <c r="GX19" s="106"/>
      <c r="GY19" s="106"/>
      <c r="GZ19" s="41"/>
      <c r="HA19" s="106"/>
      <c r="HB19" s="106"/>
      <c r="HC19" s="42"/>
      <c r="HD19" s="42"/>
      <c r="HE19" s="42"/>
      <c r="HF19" s="42"/>
      <c r="HG19" s="42"/>
      <c r="HH19" s="42"/>
      <c r="HI19" s="42"/>
      <c r="HJ19" s="42"/>
      <c r="HK19" s="42"/>
      <c r="HL19" s="36"/>
      <c r="HM19" s="107"/>
      <c r="HN19" s="107"/>
      <c r="HO19" s="107"/>
      <c r="HP19" s="106"/>
      <c r="HQ19" s="106"/>
      <c r="HR19" s="106"/>
      <c r="HS19" s="106"/>
      <c r="HT19" s="106"/>
      <c r="HU19" s="106"/>
      <c r="HV19" s="106"/>
      <c r="HW19" s="106"/>
      <c r="HX19" s="106"/>
      <c r="HY19" s="106"/>
      <c r="HZ19" s="106"/>
      <c r="IA19" s="36"/>
      <c r="IB19" s="106"/>
      <c r="IC19" s="106"/>
      <c r="ID19" s="106"/>
      <c r="IE19" s="106"/>
      <c r="IF19" s="106"/>
      <c r="IG19" s="106"/>
      <c r="IH19" s="106"/>
      <c r="II19" s="106"/>
      <c r="IJ19" s="106"/>
      <c r="IK19" s="106"/>
      <c r="IL19" s="106"/>
      <c r="IM19" s="106"/>
      <c r="IN19" s="106"/>
      <c r="IO19" s="106"/>
    </row>
    <row r="20" spans="2:249" ht="23.25">
      <c r="B20" s="127" t="s">
        <v>20</v>
      </c>
      <c r="C20" s="132">
        <v>740.8054040519703</v>
      </c>
      <c r="D20" s="132" t="s">
        <v>193</v>
      </c>
      <c r="E20" s="132">
        <v>915.191339266829</v>
      </c>
      <c r="F20" s="132" t="s">
        <v>193</v>
      </c>
      <c r="G20" s="132">
        <v>814.81514662541667</v>
      </c>
      <c r="H20" s="132" t="s">
        <v>193</v>
      </c>
      <c r="I20" s="132">
        <v>794.58169527353277</v>
      </c>
      <c r="J20" s="132" t="s">
        <v>193</v>
      </c>
      <c r="K20" s="132">
        <v>1007.4096428840453</v>
      </c>
      <c r="L20" s="132" t="s">
        <v>193</v>
      </c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37"/>
      <c r="BP20" s="137"/>
      <c r="BQ20" s="137"/>
      <c r="BR20" s="137"/>
      <c r="BS20" s="137"/>
      <c r="BT20" s="137"/>
      <c r="BU20" s="137"/>
      <c r="BV20" s="137"/>
      <c r="BW20" s="137"/>
      <c r="BX20" s="137"/>
      <c r="BY20" s="137"/>
      <c r="BZ20" s="137"/>
      <c r="CA20" s="137"/>
      <c r="CB20" s="137"/>
      <c r="CC20" s="137"/>
      <c r="CD20" s="137"/>
      <c r="CE20" s="137"/>
      <c r="CF20" s="137"/>
      <c r="CG20" s="137"/>
      <c r="CH20" s="137"/>
      <c r="CI20" s="137"/>
      <c r="CJ20" s="137"/>
      <c r="CK20" s="137"/>
      <c r="CL20" s="137"/>
      <c r="CM20" s="137"/>
      <c r="CN20" s="137"/>
      <c r="CO20" s="137"/>
      <c r="CP20" s="137"/>
      <c r="CQ20" s="137"/>
      <c r="CR20" s="137"/>
      <c r="CS20" s="137"/>
      <c r="CT20" s="137"/>
      <c r="CU20" s="137"/>
      <c r="CV20" s="137"/>
      <c r="CW20" s="137"/>
      <c r="CX20" s="137"/>
      <c r="CY20" s="137"/>
      <c r="CZ20" s="137"/>
      <c r="DA20" s="137"/>
      <c r="DB20" s="137"/>
      <c r="DC20" s="137"/>
      <c r="DD20" s="137"/>
      <c r="DE20" s="137"/>
      <c r="DF20" s="137"/>
      <c r="DG20" s="137"/>
      <c r="DH20" s="137"/>
      <c r="DI20" s="137"/>
      <c r="DJ20" s="137"/>
      <c r="DK20" s="137"/>
      <c r="DL20" s="137"/>
      <c r="DM20" s="137"/>
      <c r="DN20" s="137"/>
      <c r="DO20" s="137"/>
      <c r="DP20" s="137"/>
      <c r="DQ20" s="137"/>
      <c r="DR20" s="137"/>
      <c r="DS20" s="137"/>
      <c r="DT20" s="137"/>
      <c r="DU20" s="137"/>
      <c r="DV20" s="137"/>
      <c r="DW20" s="137"/>
      <c r="DX20" s="137"/>
      <c r="DY20" s="137"/>
      <c r="DZ20" s="137"/>
      <c r="EA20" s="137"/>
      <c r="EB20" s="137"/>
      <c r="EC20" s="137"/>
      <c r="ED20" s="137"/>
      <c r="EE20" s="137"/>
      <c r="EF20" s="137"/>
      <c r="EG20" s="137"/>
      <c r="EH20" s="137"/>
      <c r="EI20" s="137"/>
      <c r="EJ20" s="137"/>
      <c r="EK20" s="137"/>
      <c r="EL20" s="137"/>
      <c r="EM20" s="137"/>
      <c r="EN20" s="137"/>
      <c r="EO20" s="137"/>
      <c r="EP20" s="137"/>
      <c r="EQ20" s="137"/>
      <c r="ER20" s="137"/>
      <c r="ES20" s="137"/>
      <c r="ET20" s="137"/>
      <c r="EU20" s="137"/>
      <c r="EV20" s="137"/>
      <c r="EW20" s="137"/>
      <c r="EX20" s="137"/>
      <c r="EY20" s="137"/>
      <c r="EZ20" s="137"/>
      <c r="FA20" s="137"/>
      <c r="FB20" s="137"/>
      <c r="FC20" s="137"/>
      <c r="FD20" s="137"/>
      <c r="FE20" s="137"/>
      <c r="FF20" s="137"/>
      <c r="FG20" s="137"/>
      <c r="FH20" s="137"/>
      <c r="FI20" s="137"/>
      <c r="FJ20" s="137"/>
      <c r="FK20" s="137"/>
      <c r="FL20" s="137"/>
      <c r="FM20" s="137"/>
      <c r="FN20" s="137"/>
      <c r="FO20" s="137"/>
      <c r="FP20" s="137"/>
      <c r="FQ20" s="137"/>
      <c r="FR20" s="137"/>
      <c r="FS20" s="137"/>
      <c r="FT20" s="137"/>
      <c r="FU20" s="137"/>
      <c r="FV20" s="1"/>
      <c r="FW20" s="73"/>
      <c r="FX20" s="1"/>
      <c r="FY20" s="110"/>
      <c r="FZ20" s="110"/>
      <c r="GA20" s="110"/>
      <c r="GB20" s="110"/>
      <c r="GC20" s="110"/>
      <c r="GD20" s="110"/>
      <c r="GE20" s="110"/>
      <c r="GF20" s="110"/>
      <c r="GG20" s="110"/>
      <c r="GH20" s="1"/>
      <c r="GI20" s="1"/>
      <c r="GJ20" s="1"/>
      <c r="GK20" s="1"/>
      <c r="GL20" s="1"/>
      <c r="GM20" s="1"/>
      <c r="GN20" s="1"/>
      <c r="GO20" s="1"/>
      <c r="GP20" s="1"/>
      <c r="GR20" s="1"/>
      <c r="GS20" s="16"/>
      <c r="GT20" s="85"/>
      <c r="GU20" s="85"/>
      <c r="GV20" s="68"/>
      <c r="GW20" s="7"/>
      <c r="GX20" s="106"/>
      <c r="GY20" s="106"/>
      <c r="GZ20" s="41"/>
      <c r="HA20" s="106"/>
      <c r="HB20" s="106"/>
      <c r="HC20" s="42"/>
      <c r="HD20" s="42"/>
      <c r="HE20" s="42"/>
      <c r="HF20" s="42"/>
      <c r="HG20" s="42"/>
      <c r="HH20" s="42"/>
      <c r="HI20" s="42"/>
      <c r="HJ20" s="42"/>
      <c r="HK20" s="42"/>
      <c r="HL20" s="36"/>
      <c r="HM20" s="107"/>
      <c r="HN20" s="107"/>
      <c r="HO20" s="107"/>
      <c r="HP20" s="106"/>
      <c r="HQ20" s="106"/>
      <c r="HR20" s="106"/>
      <c r="HS20" s="106"/>
      <c r="HT20" s="106"/>
      <c r="HU20" s="106"/>
      <c r="HV20" s="106"/>
      <c r="HW20" s="106"/>
      <c r="HX20" s="106"/>
      <c r="HY20" s="106"/>
      <c r="HZ20" s="106"/>
      <c r="IA20" s="36"/>
      <c r="IB20" s="106"/>
      <c r="IC20" s="106"/>
      <c r="ID20" s="106"/>
      <c r="IE20" s="106"/>
      <c r="IF20" s="106"/>
      <c r="IG20" s="106"/>
      <c r="IH20" s="106"/>
      <c r="II20" s="106"/>
      <c r="IJ20" s="106"/>
      <c r="IK20" s="106"/>
      <c r="IL20" s="106"/>
      <c r="IM20" s="106"/>
      <c r="IN20" s="106"/>
      <c r="IO20" s="106"/>
    </row>
    <row r="21" spans="2:249">
      <c r="B21" s="126" t="s">
        <v>21</v>
      </c>
      <c r="C21" s="129">
        <v>33706.645884364647</v>
      </c>
      <c r="D21" s="129" t="s">
        <v>4</v>
      </c>
      <c r="E21" s="129">
        <v>43471.588615174376</v>
      </c>
      <c r="F21" s="129" t="s">
        <v>4</v>
      </c>
      <c r="G21" s="129">
        <v>36666.681598143747</v>
      </c>
      <c r="H21" s="129" t="s">
        <v>4</v>
      </c>
      <c r="I21" s="129">
        <v>38092.921373129575</v>
      </c>
      <c r="J21" s="129" t="s">
        <v>4</v>
      </c>
      <c r="K21" s="129">
        <v>45333.433929782033</v>
      </c>
      <c r="L21" s="129" t="s">
        <v>4</v>
      </c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37"/>
      <c r="CK21" s="137"/>
      <c r="CL21" s="137"/>
      <c r="CM21" s="137"/>
      <c r="CN21" s="137"/>
      <c r="CO21" s="137"/>
      <c r="CP21" s="137"/>
      <c r="CQ21" s="137"/>
      <c r="CR21" s="137"/>
      <c r="CS21" s="137"/>
      <c r="CT21" s="137"/>
      <c r="CU21" s="137"/>
      <c r="CV21" s="137"/>
      <c r="CW21" s="137"/>
      <c r="CX21" s="137"/>
      <c r="CY21" s="137"/>
      <c r="CZ21" s="137"/>
      <c r="DA21" s="137"/>
      <c r="DB21" s="137"/>
      <c r="DC21" s="137"/>
      <c r="DD21" s="137"/>
      <c r="DE21" s="137"/>
      <c r="DF21" s="137"/>
      <c r="DG21" s="137"/>
      <c r="DH21" s="137"/>
      <c r="DI21" s="137"/>
      <c r="DJ21" s="137"/>
      <c r="DK21" s="137"/>
      <c r="DL21" s="137"/>
      <c r="DM21" s="137"/>
      <c r="DN21" s="137"/>
      <c r="DO21" s="137"/>
      <c r="DP21" s="137"/>
      <c r="DQ21" s="137"/>
      <c r="DR21" s="137"/>
      <c r="DS21" s="137"/>
      <c r="DT21" s="137"/>
      <c r="DU21" s="137"/>
      <c r="DV21" s="137"/>
      <c r="DW21" s="137"/>
      <c r="DX21" s="137"/>
      <c r="DY21" s="137"/>
      <c r="DZ21" s="137"/>
      <c r="EA21" s="137"/>
      <c r="EB21" s="137"/>
      <c r="EC21" s="137"/>
      <c r="ED21" s="137"/>
      <c r="EE21" s="137"/>
      <c r="EF21" s="137"/>
      <c r="EG21" s="137"/>
      <c r="EH21" s="137"/>
      <c r="EI21" s="137"/>
      <c r="EJ21" s="137"/>
      <c r="EK21" s="137"/>
      <c r="EL21" s="137"/>
      <c r="EM21" s="137"/>
      <c r="EN21" s="137"/>
      <c r="EO21" s="137"/>
      <c r="EP21" s="137"/>
      <c r="EQ21" s="137"/>
      <c r="ER21" s="137"/>
      <c r="ES21" s="137"/>
      <c r="ET21" s="137"/>
      <c r="EU21" s="137"/>
      <c r="EV21" s="137"/>
      <c r="EW21" s="137"/>
      <c r="EX21" s="137"/>
      <c r="EY21" s="137"/>
      <c r="EZ21" s="137"/>
      <c r="FA21" s="137"/>
      <c r="FB21" s="137"/>
      <c r="FC21" s="137"/>
      <c r="FD21" s="137"/>
      <c r="FE21" s="137"/>
      <c r="FF21" s="137"/>
      <c r="FG21" s="137"/>
      <c r="FH21" s="137"/>
      <c r="FI21" s="137"/>
      <c r="FJ21" s="137"/>
      <c r="FK21" s="137"/>
      <c r="FL21" s="137"/>
      <c r="FM21" s="137"/>
      <c r="FN21" s="137"/>
      <c r="FO21" s="137"/>
      <c r="FP21" s="137"/>
      <c r="FQ21" s="137"/>
      <c r="FR21" s="137"/>
      <c r="FS21" s="137"/>
      <c r="FT21" s="137"/>
      <c r="FU21" s="137"/>
      <c r="FV21" s="1"/>
      <c r="FW21" s="73"/>
      <c r="FX21" s="1"/>
      <c r="FY21" s="110"/>
      <c r="FZ21" s="110"/>
      <c r="GA21" s="110"/>
      <c r="GB21" s="110"/>
      <c r="GC21" s="110"/>
      <c r="GD21" s="110"/>
      <c r="GE21" s="110"/>
      <c r="GF21" s="110"/>
      <c r="GG21" s="110"/>
      <c r="GH21" s="1"/>
      <c r="GI21" s="1"/>
      <c r="GJ21" s="1"/>
      <c r="GK21" s="1"/>
      <c r="GL21" s="1"/>
      <c r="GM21" s="1"/>
      <c r="GN21" s="1"/>
      <c r="GO21" s="1"/>
      <c r="GP21" s="1"/>
      <c r="GR21" s="1"/>
      <c r="GS21" s="16"/>
      <c r="GT21" s="3"/>
      <c r="GU21" s="85"/>
      <c r="GV21" s="68"/>
      <c r="GW21" s="7"/>
      <c r="GX21" s="106"/>
      <c r="GY21" s="106"/>
      <c r="GZ21" s="41"/>
      <c r="HA21" s="106"/>
      <c r="HB21" s="106"/>
      <c r="HC21" s="42"/>
      <c r="HD21" s="42"/>
      <c r="HE21" s="42"/>
      <c r="HF21" s="42"/>
      <c r="HG21" s="42"/>
      <c r="HH21" s="42"/>
      <c r="HI21" s="42"/>
      <c r="HJ21" s="42"/>
      <c r="HK21" s="42"/>
      <c r="HL21" s="36"/>
      <c r="HM21" s="107"/>
      <c r="HN21" s="107"/>
      <c r="HO21" s="107"/>
      <c r="HP21" s="106"/>
      <c r="HQ21" s="106"/>
      <c r="HR21" s="106"/>
      <c r="HS21" s="106"/>
      <c r="HT21" s="106"/>
      <c r="HU21" s="106"/>
      <c r="HV21" s="106"/>
      <c r="HW21" s="106"/>
      <c r="HX21" s="106"/>
      <c r="HY21" s="106"/>
      <c r="HZ21" s="106"/>
      <c r="IA21" s="36"/>
      <c r="IB21" s="106"/>
      <c r="IC21" s="106"/>
      <c r="ID21" s="106"/>
      <c r="IE21" s="106"/>
      <c r="IF21" s="106"/>
      <c r="IG21" s="106"/>
      <c r="IH21" s="106"/>
      <c r="II21" s="106"/>
      <c r="IJ21" s="106"/>
      <c r="IK21" s="106"/>
      <c r="IL21" s="106"/>
      <c r="IM21" s="106"/>
      <c r="IN21" s="106"/>
      <c r="IO21" s="106"/>
    </row>
    <row r="22" spans="2:249">
      <c r="B22" s="127" t="s">
        <v>22</v>
      </c>
      <c r="C22" s="128">
        <v>30673.047754771829</v>
      </c>
      <c r="D22" s="128" t="s">
        <v>4</v>
      </c>
      <c r="E22" s="128">
        <v>39124.429753656936</v>
      </c>
      <c r="F22" s="128" t="s">
        <v>4</v>
      </c>
      <c r="G22" s="128">
        <v>33366.680254310806</v>
      </c>
      <c r="H22" s="128" t="s">
        <v>4</v>
      </c>
      <c r="I22" s="128">
        <v>35807.406090741802</v>
      </c>
      <c r="J22" s="128" t="s">
        <v>4</v>
      </c>
      <c r="K22" s="128">
        <v>43520.096572590752</v>
      </c>
      <c r="L22" s="128" t="s">
        <v>4</v>
      </c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  <c r="BM22" s="137"/>
      <c r="BN22" s="137"/>
      <c r="BO22" s="137"/>
      <c r="BP22" s="137"/>
      <c r="BQ22" s="137"/>
      <c r="BR22" s="137"/>
      <c r="BS22" s="137"/>
      <c r="BT22" s="137"/>
      <c r="BU22" s="137"/>
      <c r="BV22" s="137"/>
      <c r="BW22" s="137"/>
      <c r="BX22" s="137"/>
      <c r="BY22" s="137"/>
      <c r="BZ22" s="137"/>
      <c r="CA22" s="137"/>
      <c r="CB22" s="137"/>
      <c r="CC22" s="137"/>
      <c r="CD22" s="137"/>
      <c r="CE22" s="137"/>
      <c r="CF22" s="137"/>
      <c r="CG22" s="137"/>
      <c r="CH22" s="137"/>
      <c r="CI22" s="137"/>
      <c r="CJ22" s="137"/>
      <c r="CK22" s="137"/>
      <c r="CL22" s="137"/>
      <c r="CM22" s="137"/>
      <c r="CN22" s="137"/>
      <c r="CO22" s="137"/>
      <c r="CP22" s="137"/>
      <c r="CQ22" s="137"/>
      <c r="CR22" s="137"/>
      <c r="CS22" s="137"/>
      <c r="CT22" s="137"/>
      <c r="CU22" s="137"/>
      <c r="CV22" s="137"/>
      <c r="CW22" s="137"/>
      <c r="CX22" s="137"/>
      <c r="CY22" s="137"/>
      <c r="CZ22" s="137"/>
      <c r="DA22" s="137"/>
      <c r="DB22" s="137"/>
      <c r="DC22" s="137"/>
      <c r="DD22" s="137"/>
      <c r="DE22" s="137"/>
      <c r="DF22" s="137"/>
      <c r="DG22" s="137"/>
      <c r="DH22" s="137"/>
      <c r="DI22" s="137"/>
      <c r="DJ22" s="137"/>
      <c r="DK22" s="137"/>
      <c r="DL22" s="137"/>
      <c r="DM22" s="137"/>
      <c r="DN22" s="137"/>
      <c r="DO22" s="137"/>
      <c r="DP22" s="137"/>
      <c r="DQ22" s="137"/>
      <c r="DR22" s="137"/>
      <c r="DS22" s="137"/>
      <c r="DT22" s="137"/>
      <c r="DU22" s="137"/>
      <c r="DV22" s="137"/>
      <c r="DW22" s="137"/>
      <c r="DX22" s="137"/>
      <c r="DY22" s="137"/>
      <c r="DZ22" s="137"/>
      <c r="EA22" s="137"/>
      <c r="EB22" s="137"/>
      <c r="EC22" s="137"/>
      <c r="ED22" s="137"/>
      <c r="EE22" s="137"/>
      <c r="EF22" s="137"/>
      <c r="EG22" s="137"/>
      <c r="EH22" s="137"/>
      <c r="EI22" s="137"/>
      <c r="EJ22" s="137"/>
      <c r="EK22" s="137"/>
      <c r="EL22" s="137"/>
      <c r="EM22" s="137"/>
      <c r="EN22" s="137"/>
      <c r="EO22" s="137"/>
      <c r="EP22" s="137"/>
      <c r="EQ22" s="137"/>
      <c r="ER22" s="137"/>
      <c r="ES22" s="137"/>
      <c r="ET22" s="137"/>
      <c r="EU22" s="137"/>
      <c r="EV22" s="137"/>
      <c r="EW22" s="137"/>
      <c r="EX22" s="137"/>
      <c r="EY22" s="137"/>
      <c r="EZ22" s="137"/>
      <c r="FA22" s="137"/>
      <c r="FB22" s="137"/>
      <c r="FC22" s="137"/>
      <c r="FD22" s="137"/>
      <c r="FE22" s="137"/>
      <c r="FF22" s="137"/>
      <c r="FG22" s="137"/>
      <c r="FH22" s="137"/>
      <c r="FI22" s="137"/>
      <c r="FJ22" s="137"/>
      <c r="FK22" s="137"/>
      <c r="FL22" s="137"/>
      <c r="FM22" s="137"/>
      <c r="FN22" s="137"/>
      <c r="FO22" s="137"/>
      <c r="FP22" s="137"/>
      <c r="FQ22" s="137"/>
      <c r="FR22" s="137"/>
      <c r="FS22" s="137"/>
      <c r="FT22" s="137"/>
      <c r="FU22" s="137"/>
      <c r="FV22" s="1"/>
      <c r="FW22" s="73"/>
      <c r="FX22" s="1"/>
      <c r="FY22" s="110"/>
      <c r="FZ22" s="110"/>
      <c r="GA22" s="110"/>
      <c r="GB22" s="110"/>
      <c r="GC22" s="110"/>
      <c r="GD22" s="110"/>
      <c r="GE22" s="110"/>
      <c r="GF22" s="110"/>
      <c r="GG22" s="110"/>
      <c r="GH22" s="1"/>
      <c r="GI22" s="1"/>
      <c r="GJ22" s="1"/>
      <c r="GK22" s="1"/>
      <c r="GL22" s="1"/>
      <c r="GM22" s="1"/>
      <c r="GN22" s="1"/>
      <c r="GO22" s="1"/>
      <c r="GP22" s="1"/>
      <c r="GR22" s="1"/>
      <c r="GS22" s="16"/>
      <c r="GT22" s="85"/>
      <c r="GU22" s="85"/>
      <c r="GV22" s="68"/>
      <c r="GW22" s="7"/>
      <c r="GX22" s="106"/>
      <c r="GY22" s="106"/>
      <c r="GZ22" s="41"/>
      <c r="HA22" s="106"/>
      <c r="HB22" s="106"/>
      <c r="HC22" s="106"/>
      <c r="HD22" s="106"/>
      <c r="HE22" s="106"/>
      <c r="HF22" s="106"/>
      <c r="HG22" s="106"/>
      <c r="HH22" s="106"/>
      <c r="HI22" s="106"/>
      <c r="HJ22" s="106"/>
      <c r="HK22" s="106"/>
      <c r="HL22" s="36"/>
      <c r="HM22" s="107"/>
      <c r="HN22" s="107"/>
      <c r="HO22" s="107"/>
      <c r="HP22" s="106"/>
      <c r="HQ22" s="106"/>
      <c r="HR22" s="106"/>
      <c r="HS22" s="106"/>
      <c r="HT22" s="106"/>
      <c r="HU22" s="106"/>
      <c r="HV22" s="106"/>
      <c r="HW22" s="106"/>
      <c r="HX22" s="106"/>
      <c r="HY22" s="106"/>
      <c r="HZ22" s="106"/>
      <c r="IA22" s="36"/>
      <c r="IB22" s="106"/>
      <c r="IC22" s="106"/>
      <c r="ID22" s="106"/>
      <c r="IE22" s="106"/>
      <c r="IF22" s="106"/>
      <c r="IG22" s="106"/>
      <c r="IH22" s="106"/>
      <c r="II22" s="106"/>
      <c r="IJ22" s="106"/>
      <c r="IK22" s="106"/>
      <c r="IL22" s="106"/>
      <c r="IM22" s="106"/>
      <c r="IN22" s="106"/>
      <c r="IO22" s="106"/>
    </row>
    <row r="23" spans="2:249" ht="23.25">
      <c r="B23" s="126" t="s">
        <v>23</v>
      </c>
      <c r="C23" s="129">
        <v>29446.125844580954</v>
      </c>
      <c r="D23" s="129" t="s">
        <v>4</v>
      </c>
      <c r="E23" s="129">
        <v>35994.475373364381</v>
      </c>
      <c r="F23" s="129" t="s">
        <v>4</v>
      </c>
      <c r="G23" s="129">
        <v>30030.012228879725</v>
      </c>
      <c r="H23" s="129" t="s">
        <v>4</v>
      </c>
      <c r="I23" s="129">
        <v>34733.213908019548</v>
      </c>
      <c r="J23" s="129" t="s">
        <v>4</v>
      </c>
      <c r="K23" s="129">
        <v>39168.086915331682</v>
      </c>
      <c r="L23" s="129" t="s">
        <v>4</v>
      </c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  <c r="BM23" s="137"/>
      <c r="BN23" s="137"/>
      <c r="BO23" s="137"/>
      <c r="BP23" s="137"/>
      <c r="BQ23" s="137"/>
      <c r="BR23" s="137"/>
      <c r="BS23" s="137"/>
      <c r="BT23" s="137"/>
      <c r="BU23" s="137"/>
      <c r="BV23" s="137"/>
      <c r="BW23" s="137"/>
      <c r="BX23" s="137"/>
      <c r="BY23" s="137"/>
      <c r="BZ23" s="137"/>
      <c r="CA23" s="137"/>
      <c r="CB23" s="137"/>
      <c r="CC23" s="137"/>
      <c r="CD23" s="137"/>
      <c r="CE23" s="137"/>
      <c r="CF23" s="137"/>
      <c r="CG23" s="137"/>
      <c r="CH23" s="137"/>
      <c r="CI23" s="137"/>
      <c r="CJ23" s="137"/>
      <c r="CK23" s="137"/>
      <c r="CL23" s="137"/>
      <c r="CM23" s="137"/>
      <c r="CN23" s="137"/>
      <c r="CO23" s="137"/>
      <c r="CP23" s="137"/>
      <c r="CQ23" s="137"/>
      <c r="CR23" s="137"/>
      <c r="CS23" s="137"/>
      <c r="CT23" s="137"/>
      <c r="CU23" s="137"/>
      <c r="CV23" s="137"/>
      <c r="CW23" s="137"/>
      <c r="CX23" s="137"/>
      <c r="CY23" s="137"/>
      <c r="CZ23" s="137"/>
      <c r="DA23" s="137"/>
      <c r="DB23" s="137"/>
      <c r="DC23" s="137"/>
      <c r="DD23" s="137"/>
      <c r="DE23" s="137"/>
      <c r="DF23" s="137"/>
      <c r="DG23" s="137"/>
      <c r="DH23" s="137"/>
      <c r="DI23" s="137"/>
      <c r="DJ23" s="137"/>
      <c r="DK23" s="137"/>
      <c r="DL23" s="137"/>
      <c r="DM23" s="137"/>
      <c r="DN23" s="137"/>
      <c r="DO23" s="137"/>
      <c r="DP23" s="137"/>
      <c r="DQ23" s="137"/>
      <c r="DR23" s="137"/>
      <c r="DS23" s="137"/>
      <c r="DT23" s="137"/>
      <c r="DU23" s="137"/>
      <c r="DV23" s="137"/>
      <c r="DW23" s="137"/>
      <c r="DX23" s="137"/>
      <c r="DY23" s="137"/>
      <c r="DZ23" s="137"/>
      <c r="EA23" s="137"/>
      <c r="EB23" s="137"/>
      <c r="EC23" s="137"/>
      <c r="ED23" s="137"/>
      <c r="EE23" s="137"/>
      <c r="EF23" s="137"/>
      <c r="EG23" s="137"/>
      <c r="EH23" s="137"/>
      <c r="EI23" s="137"/>
      <c r="EJ23" s="137"/>
      <c r="EK23" s="137"/>
      <c r="EL23" s="137"/>
      <c r="EM23" s="137"/>
      <c r="EN23" s="137"/>
      <c r="EO23" s="137"/>
      <c r="EP23" s="137"/>
      <c r="EQ23" s="137"/>
      <c r="ER23" s="137"/>
      <c r="ES23" s="137"/>
      <c r="ET23" s="137"/>
      <c r="EU23" s="137"/>
      <c r="EV23" s="137"/>
      <c r="EW23" s="137"/>
      <c r="EX23" s="137"/>
      <c r="EY23" s="137"/>
      <c r="EZ23" s="137"/>
      <c r="FA23" s="137"/>
      <c r="FB23" s="137"/>
      <c r="FC23" s="137"/>
      <c r="FD23" s="137"/>
      <c r="FE23" s="137"/>
      <c r="FF23" s="137"/>
      <c r="FG23" s="137"/>
      <c r="FH23" s="137"/>
      <c r="FI23" s="137"/>
      <c r="FJ23" s="137"/>
      <c r="FK23" s="137"/>
      <c r="FL23" s="137"/>
      <c r="FM23" s="137"/>
      <c r="FN23" s="137"/>
      <c r="FO23" s="137"/>
      <c r="FP23" s="137"/>
      <c r="FQ23" s="137"/>
      <c r="FR23" s="137"/>
      <c r="FS23" s="137"/>
      <c r="FT23" s="137"/>
      <c r="FU23" s="137"/>
      <c r="FV23" s="1"/>
      <c r="FW23" s="80"/>
      <c r="FX23" s="1"/>
      <c r="FY23" s="110"/>
      <c r="FZ23" s="110"/>
      <c r="GA23" s="110"/>
      <c r="GB23" s="110"/>
      <c r="GC23" s="110"/>
      <c r="GD23" s="110"/>
      <c r="GE23" s="110"/>
      <c r="GF23" s="110"/>
      <c r="GG23" s="110"/>
      <c r="GH23" s="1"/>
      <c r="GI23" s="1"/>
      <c r="GJ23" s="1"/>
      <c r="GK23" s="1"/>
      <c r="GL23" s="1"/>
      <c r="GM23" s="1"/>
      <c r="GN23" s="1"/>
      <c r="GO23" s="1"/>
      <c r="GP23" s="1"/>
      <c r="GR23" s="3"/>
      <c r="GS23" s="90"/>
      <c r="GT23" s="3"/>
      <c r="GU23" s="90"/>
      <c r="GV23" s="68"/>
      <c r="GW23" s="3"/>
      <c r="GX23" s="17"/>
      <c r="GY23" s="17"/>
      <c r="GZ23" s="2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</row>
    <row r="24" spans="2:249">
      <c r="B24" s="127" t="s">
        <v>24</v>
      </c>
      <c r="C24" s="128">
        <v>28268.280810797718</v>
      </c>
      <c r="D24" s="128" t="s">
        <v>4</v>
      </c>
      <c r="E24" s="128">
        <v>34914.641112163452</v>
      </c>
      <c r="F24" s="128" t="s">
        <v>4</v>
      </c>
      <c r="G24" s="128">
        <v>27627.611250569345</v>
      </c>
      <c r="H24" s="128" t="s">
        <v>4</v>
      </c>
      <c r="I24" s="128">
        <v>33691.247490778958</v>
      </c>
      <c r="J24" s="128" t="s">
        <v>4</v>
      </c>
      <c r="K24" s="128">
        <v>37993.044307871729</v>
      </c>
      <c r="L24" s="128" t="s">
        <v>4</v>
      </c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/>
      <c r="BN24" s="137"/>
      <c r="BO24" s="137"/>
      <c r="BP24" s="137"/>
      <c r="BQ24" s="137"/>
      <c r="BR24" s="137"/>
      <c r="BS24" s="137"/>
      <c r="BT24" s="137"/>
      <c r="BU24" s="137"/>
      <c r="BV24" s="137"/>
      <c r="BW24" s="137"/>
      <c r="BX24" s="137"/>
      <c r="BY24" s="137"/>
      <c r="BZ24" s="137"/>
      <c r="CA24" s="137"/>
      <c r="CB24" s="137"/>
      <c r="CC24" s="137"/>
      <c r="CD24" s="137"/>
      <c r="CE24" s="137"/>
      <c r="CF24" s="137"/>
      <c r="CG24" s="137"/>
      <c r="CH24" s="137"/>
      <c r="CI24" s="137"/>
      <c r="CJ24" s="137"/>
      <c r="CK24" s="137"/>
      <c r="CL24" s="137"/>
      <c r="CM24" s="137"/>
      <c r="CN24" s="137"/>
      <c r="CO24" s="137"/>
      <c r="CP24" s="137"/>
      <c r="CQ24" s="137"/>
      <c r="CR24" s="137"/>
      <c r="CS24" s="137"/>
      <c r="CT24" s="137"/>
      <c r="CU24" s="137"/>
      <c r="CV24" s="137"/>
      <c r="CW24" s="137"/>
      <c r="CX24" s="137"/>
      <c r="CY24" s="137"/>
      <c r="CZ24" s="137"/>
      <c r="DA24" s="137"/>
      <c r="DB24" s="137"/>
      <c r="DC24" s="137"/>
      <c r="DD24" s="137"/>
      <c r="DE24" s="137"/>
      <c r="DF24" s="137"/>
      <c r="DG24" s="137"/>
      <c r="DH24" s="137"/>
      <c r="DI24" s="137"/>
      <c r="DJ24" s="137"/>
      <c r="DK24" s="137"/>
      <c r="DL24" s="137"/>
      <c r="DM24" s="137"/>
      <c r="DN24" s="137"/>
      <c r="DO24" s="137"/>
      <c r="DP24" s="137"/>
      <c r="DQ24" s="137"/>
      <c r="DR24" s="137"/>
      <c r="DS24" s="137"/>
      <c r="DT24" s="137"/>
      <c r="DU24" s="137"/>
      <c r="DV24" s="137"/>
      <c r="DW24" s="137"/>
      <c r="DX24" s="137"/>
      <c r="DY24" s="137"/>
      <c r="DZ24" s="137"/>
      <c r="EA24" s="137"/>
      <c r="EB24" s="137"/>
      <c r="EC24" s="137"/>
      <c r="ED24" s="137"/>
      <c r="EE24" s="137"/>
      <c r="EF24" s="137"/>
      <c r="EG24" s="137"/>
      <c r="EH24" s="137"/>
      <c r="EI24" s="137"/>
      <c r="EJ24" s="137"/>
      <c r="EK24" s="137"/>
      <c r="EL24" s="137"/>
      <c r="EM24" s="137"/>
      <c r="EN24" s="137"/>
      <c r="EO24" s="137"/>
      <c r="EP24" s="137"/>
      <c r="EQ24" s="137"/>
      <c r="ER24" s="137"/>
      <c r="ES24" s="137"/>
      <c r="ET24" s="137"/>
      <c r="EU24" s="137"/>
      <c r="EV24" s="137"/>
      <c r="EW24" s="137"/>
      <c r="EX24" s="137"/>
      <c r="EY24" s="137"/>
      <c r="EZ24" s="137"/>
      <c r="FA24" s="137"/>
      <c r="FB24" s="137"/>
      <c r="FC24" s="137"/>
      <c r="FD24" s="137"/>
      <c r="FE24" s="137"/>
      <c r="FF24" s="137"/>
      <c r="FG24" s="137"/>
      <c r="FH24" s="137"/>
      <c r="FI24" s="137"/>
      <c r="FJ24" s="137"/>
      <c r="FK24" s="137"/>
      <c r="FL24" s="137"/>
      <c r="FM24" s="137"/>
      <c r="FN24" s="137"/>
      <c r="FO24" s="137"/>
      <c r="FP24" s="137"/>
      <c r="FQ24" s="137"/>
      <c r="FR24" s="137"/>
      <c r="FS24" s="137"/>
      <c r="FT24" s="137"/>
      <c r="FU24" s="137"/>
      <c r="FV24" s="1"/>
      <c r="FW24" s="73"/>
      <c r="FX24" s="1"/>
      <c r="FY24" s="110"/>
      <c r="FZ24" s="110"/>
      <c r="GA24" s="110"/>
      <c r="GB24" s="110"/>
      <c r="GC24" s="110"/>
      <c r="GD24" s="110"/>
      <c r="GE24" s="110"/>
      <c r="GF24" s="110"/>
      <c r="GG24" s="110"/>
      <c r="GH24" s="1"/>
      <c r="GI24" s="1"/>
      <c r="GJ24" s="1"/>
      <c r="GK24" s="1"/>
      <c r="GL24" s="1"/>
      <c r="GM24" s="1"/>
      <c r="GN24" s="1"/>
      <c r="GO24" s="1"/>
      <c r="GP24" s="1"/>
      <c r="GR24" s="3"/>
      <c r="GS24" s="109"/>
      <c r="GT24" s="24"/>
      <c r="GU24" s="109"/>
      <c r="GV24" s="67"/>
      <c r="GW24" s="3"/>
      <c r="GX24" s="28"/>
      <c r="GY24" s="28"/>
      <c r="GZ24" s="26"/>
      <c r="HA24" s="28"/>
      <c r="HB24" s="28"/>
      <c r="HC24" s="25"/>
      <c r="HD24" s="25"/>
      <c r="HE24" s="25"/>
      <c r="HF24" s="25"/>
      <c r="HG24" s="25"/>
      <c r="HH24" s="25"/>
      <c r="HI24" s="25"/>
      <c r="HJ24" s="25"/>
      <c r="HK24" s="25"/>
      <c r="HL24" s="20"/>
      <c r="HM24" s="29"/>
      <c r="HN24" s="29"/>
      <c r="HO24" s="29"/>
      <c r="HP24" s="29"/>
      <c r="HQ24" s="29"/>
      <c r="HR24" s="25"/>
      <c r="HS24" s="25"/>
      <c r="HT24" s="25"/>
      <c r="HU24" s="25"/>
      <c r="HV24" s="25"/>
      <c r="HW24" s="25"/>
      <c r="HX24" s="25"/>
      <c r="HY24" s="25"/>
      <c r="HZ24" s="25"/>
      <c r="IA24" s="19"/>
      <c r="IB24" s="28"/>
      <c r="IC24" s="28"/>
      <c r="ID24" s="28"/>
      <c r="IE24" s="28"/>
      <c r="IF24" s="28"/>
      <c r="IG24" s="25"/>
      <c r="IH24" s="28"/>
      <c r="II24" s="28"/>
      <c r="IJ24" s="28"/>
      <c r="IK24" s="28"/>
      <c r="IL24" s="28"/>
      <c r="IM24" s="28"/>
      <c r="IN24" s="28"/>
      <c r="IO24" s="28"/>
    </row>
    <row r="25" spans="2:249">
      <c r="B25" s="126" t="s">
        <v>25</v>
      </c>
      <c r="C25" s="130">
        <v>25441.452729717945</v>
      </c>
      <c r="D25" s="130" t="s">
        <v>4</v>
      </c>
      <c r="E25" s="130">
        <v>32819.762645433642</v>
      </c>
      <c r="F25" s="130" t="s">
        <v>4</v>
      </c>
      <c r="G25" s="130">
        <v>26522.506800546573</v>
      </c>
      <c r="H25" s="130" t="s">
        <v>4</v>
      </c>
      <c r="I25" s="130">
        <v>30322.222741701062</v>
      </c>
      <c r="J25" s="130" t="s">
        <v>4</v>
      </c>
      <c r="K25" s="130">
        <v>36093.392092478141</v>
      </c>
      <c r="L25" s="130" t="s">
        <v>4</v>
      </c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  <c r="BM25" s="137"/>
      <c r="BN25" s="137"/>
      <c r="BO25" s="137"/>
      <c r="BP25" s="137"/>
      <c r="BQ25" s="137"/>
      <c r="BR25" s="137"/>
      <c r="BS25" s="137"/>
      <c r="BT25" s="137"/>
      <c r="BU25" s="137"/>
      <c r="BV25" s="137"/>
      <c r="BW25" s="137"/>
      <c r="BX25" s="137"/>
      <c r="BY25" s="137"/>
      <c r="BZ25" s="137"/>
      <c r="CA25" s="137"/>
      <c r="CB25" s="137"/>
      <c r="CC25" s="137"/>
      <c r="CD25" s="137"/>
      <c r="CE25" s="137"/>
      <c r="CF25" s="137"/>
      <c r="CG25" s="137"/>
      <c r="CH25" s="137"/>
      <c r="CI25" s="137"/>
      <c r="CJ25" s="137"/>
      <c r="CK25" s="137"/>
      <c r="CL25" s="137"/>
      <c r="CM25" s="137"/>
      <c r="CN25" s="137"/>
      <c r="CO25" s="137"/>
      <c r="CP25" s="137"/>
      <c r="CQ25" s="137"/>
      <c r="CR25" s="137"/>
      <c r="CS25" s="137"/>
      <c r="CT25" s="137"/>
      <c r="CU25" s="137"/>
      <c r="CV25" s="137"/>
      <c r="CW25" s="137"/>
      <c r="CX25" s="137"/>
      <c r="CY25" s="137"/>
      <c r="CZ25" s="137"/>
      <c r="DA25" s="137"/>
      <c r="DB25" s="137"/>
      <c r="DC25" s="137"/>
      <c r="DD25" s="137"/>
      <c r="DE25" s="137"/>
      <c r="DF25" s="137"/>
      <c r="DG25" s="137"/>
      <c r="DH25" s="137"/>
      <c r="DI25" s="137"/>
      <c r="DJ25" s="137"/>
      <c r="DK25" s="137"/>
      <c r="DL25" s="137"/>
      <c r="DM25" s="137"/>
      <c r="DN25" s="137"/>
      <c r="DO25" s="137"/>
      <c r="DP25" s="137"/>
      <c r="DQ25" s="137"/>
      <c r="DR25" s="137"/>
      <c r="DS25" s="137"/>
      <c r="DT25" s="137"/>
      <c r="DU25" s="137"/>
      <c r="DV25" s="137"/>
      <c r="DW25" s="137"/>
      <c r="DX25" s="137"/>
      <c r="DY25" s="137"/>
      <c r="DZ25" s="137"/>
      <c r="EA25" s="137"/>
      <c r="EB25" s="137"/>
      <c r="EC25" s="137"/>
      <c r="ED25" s="137"/>
      <c r="EE25" s="137"/>
      <c r="EF25" s="137"/>
      <c r="EG25" s="137"/>
      <c r="EH25" s="137"/>
      <c r="EI25" s="137"/>
      <c r="EJ25" s="137"/>
      <c r="EK25" s="137"/>
      <c r="EL25" s="137"/>
      <c r="EM25" s="137"/>
      <c r="EN25" s="137"/>
      <c r="EO25" s="137"/>
      <c r="EP25" s="137"/>
      <c r="EQ25" s="137"/>
      <c r="ER25" s="137"/>
      <c r="ES25" s="137"/>
      <c r="ET25" s="137"/>
      <c r="EU25" s="137"/>
      <c r="EV25" s="137"/>
      <c r="EW25" s="137"/>
      <c r="EX25" s="137"/>
      <c r="EY25" s="137"/>
      <c r="EZ25" s="137"/>
      <c r="FA25" s="137"/>
      <c r="FB25" s="137"/>
      <c r="FC25" s="137"/>
      <c r="FD25" s="137"/>
      <c r="FE25" s="137"/>
      <c r="FF25" s="137"/>
      <c r="FG25" s="137"/>
      <c r="FH25" s="137"/>
      <c r="FI25" s="137"/>
      <c r="FJ25" s="137"/>
      <c r="FK25" s="137"/>
      <c r="FL25" s="137"/>
      <c r="FM25" s="137"/>
      <c r="FN25" s="137"/>
      <c r="FO25" s="137"/>
      <c r="FP25" s="137"/>
      <c r="FQ25" s="137"/>
      <c r="FR25" s="137"/>
      <c r="FS25" s="137"/>
      <c r="FT25" s="137"/>
      <c r="FU25" s="137"/>
      <c r="FV25" s="1"/>
      <c r="FW25" s="73"/>
      <c r="FX25" s="1"/>
      <c r="FY25" s="110"/>
      <c r="FZ25" s="110"/>
      <c r="GA25" s="110"/>
      <c r="GB25" s="110"/>
      <c r="GC25" s="110"/>
      <c r="GD25" s="110"/>
      <c r="GE25" s="110"/>
      <c r="GF25" s="110"/>
      <c r="GG25" s="110"/>
      <c r="GH25" s="1"/>
      <c r="GI25" s="1"/>
      <c r="GJ25" s="1"/>
      <c r="GK25" s="1"/>
      <c r="GL25" s="1"/>
      <c r="GM25" s="1"/>
      <c r="GN25" s="1"/>
      <c r="GO25" s="1"/>
      <c r="GP25" s="1"/>
      <c r="GR25" s="1"/>
      <c r="GS25" s="85"/>
      <c r="GT25" s="85"/>
      <c r="GU25" s="85"/>
      <c r="GV25" s="68"/>
      <c r="GW25" s="1"/>
      <c r="GX25" s="16"/>
      <c r="GY25" s="16"/>
      <c r="GZ25" s="44"/>
      <c r="HA25" s="16"/>
      <c r="HB25" s="16"/>
      <c r="HC25" s="42"/>
      <c r="HD25" s="42"/>
      <c r="HE25" s="42"/>
      <c r="HF25" s="42"/>
      <c r="HG25" s="42"/>
      <c r="HH25" s="42"/>
      <c r="HI25" s="42"/>
      <c r="HJ25" s="42"/>
      <c r="HK25" s="42"/>
      <c r="HL25" s="16"/>
      <c r="HM25" s="27"/>
      <c r="HN25" s="27"/>
      <c r="HO25" s="27"/>
      <c r="HP25" s="27"/>
      <c r="HQ25" s="27"/>
      <c r="HR25" s="17"/>
      <c r="HS25" s="17"/>
      <c r="HT25" s="17"/>
      <c r="HU25" s="17"/>
      <c r="HV25" s="17"/>
      <c r="HW25" s="17"/>
      <c r="HX25" s="17"/>
      <c r="HY25" s="17"/>
      <c r="HZ25" s="17"/>
      <c r="IA25" s="16"/>
      <c r="IB25" s="16"/>
      <c r="IC25" s="16"/>
      <c r="ID25" s="16"/>
      <c r="IE25" s="16"/>
      <c r="IF25" s="16"/>
      <c r="IG25" s="17"/>
      <c r="IH25" s="17"/>
      <c r="II25" s="17"/>
      <c r="IJ25" s="17"/>
      <c r="IK25" s="17"/>
      <c r="IL25" s="17"/>
      <c r="IM25" s="17"/>
      <c r="IN25" s="17"/>
      <c r="IO25" s="17"/>
    </row>
    <row r="26" spans="2:249">
      <c r="B26" s="127" t="s">
        <v>26</v>
      </c>
      <c r="C26" s="132">
        <v>23406.136511340508</v>
      </c>
      <c r="D26" s="132" t="s">
        <v>4</v>
      </c>
      <c r="E26" s="132">
        <v>30194.181633798951</v>
      </c>
      <c r="F26" s="132" t="s">
        <v>4</v>
      </c>
      <c r="G26" s="132">
        <v>24400.706256502846</v>
      </c>
      <c r="H26" s="132" t="s">
        <v>4</v>
      </c>
      <c r="I26" s="132">
        <v>28502.949377198995</v>
      </c>
      <c r="J26" s="132" t="s">
        <v>4</v>
      </c>
      <c r="K26" s="132">
        <v>33566.854646004671</v>
      </c>
      <c r="L26" s="132" t="s">
        <v>4</v>
      </c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7"/>
      <c r="BM26" s="137"/>
      <c r="BN26" s="137"/>
      <c r="BO26" s="137"/>
      <c r="BP26" s="137"/>
      <c r="BQ26" s="137"/>
      <c r="BR26" s="137"/>
      <c r="BS26" s="137"/>
      <c r="BT26" s="137"/>
      <c r="BU26" s="137"/>
      <c r="BV26" s="137"/>
      <c r="BW26" s="137"/>
      <c r="BX26" s="137"/>
      <c r="BY26" s="137"/>
      <c r="BZ26" s="137"/>
      <c r="CA26" s="137"/>
      <c r="CB26" s="137"/>
      <c r="CC26" s="137"/>
      <c r="CD26" s="137"/>
      <c r="CE26" s="137"/>
      <c r="CF26" s="137"/>
      <c r="CG26" s="137"/>
      <c r="CH26" s="137"/>
      <c r="CI26" s="137"/>
      <c r="CJ26" s="137"/>
      <c r="CK26" s="137"/>
      <c r="CL26" s="137"/>
      <c r="CM26" s="137"/>
      <c r="CN26" s="137"/>
      <c r="CO26" s="137"/>
      <c r="CP26" s="137"/>
      <c r="CQ26" s="137"/>
      <c r="CR26" s="137"/>
      <c r="CS26" s="137"/>
      <c r="CT26" s="137"/>
      <c r="CU26" s="137"/>
      <c r="CV26" s="137"/>
      <c r="CW26" s="137"/>
      <c r="CX26" s="137"/>
      <c r="CY26" s="137"/>
      <c r="CZ26" s="137"/>
      <c r="DA26" s="137"/>
      <c r="DB26" s="137"/>
      <c r="DC26" s="137"/>
      <c r="DD26" s="137"/>
      <c r="DE26" s="137"/>
      <c r="DF26" s="137"/>
      <c r="DG26" s="137"/>
      <c r="DH26" s="137"/>
      <c r="DI26" s="137"/>
      <c r="DJ26" s="137"/>
      <c r="DK26" s="137"/>
      <c r="DL26" s="137"/>
      <c r="DM26" s="137"/>
      <c r="DN26" s="137"/>
      <c r="DO26" s="137"/>
      <c r="DP26" s="137"/>
      <c r="DQ26" s="137"/>
      <c r="DR26" s="137"/>
      <c r="DS26" s="137"/>
      <c r="DT26" s="137"/>
      <c r="DU26" s="137"/>
      <c r="DV26" s="137"/>
      <c r="DW26" s="137"/>
      <c r="DX26" s="137"/>
      <c r="DY26" s="137"/>
      <c r="DZ26" s="137"/>
      <c r="EA26" s="137"/>
      <c r="EB26" s="137"/>
      <c r="EC26" s="137"/>
      <c r="ED26" s="137"/>
      <c r="EE26" s="137"/>
      <c r="EF26" s="137"/>
      <c r="EG26" s="137"/>
      <c r="EH26" s="137"/>
      <c r="EI26" s="137"/>
      <c r="EJ26" s="137"/>
      <c r="EK26" s="137"/>
      <c r="EL26" s="137"/>
      <c r="EM26" s="137"/>
      <c r="EN26" s="137"/>
      <c r="EO26" s="137"/>
      <c r="EP26" s="137"/>
      <c r="EQ26" s="137"/>
      <c r="ER26" s="137"/>
      <c r="ES26" s="137"/>
      <c r="ET26" s="137"/>
      <c r="EU26" s="137"/>
      <c r="EV26" s="137"/>
      <c r="EW26" s="137"/>
      <c r="EX26" s="137"/>
      <c r="EY26" s="137"/>
      <c r="EZ26" s="137"/>
      <c r="FA26" s="137"/>
      <c r="FB26" s="137"/>
      <c r="FC26" s="137"/>
      <c r="FD26" s="137"/>
      <c r="FE26" s="137"/>
      <c r="FF26" s="137"/>
      <c r="FG26" s="137"/>
      <c r="FH26" s="137"/>
      <c r="FI26" s="137"/>
      <c r="FJ26" s="137"/>
      <c r="FK26" s="137"/>
      <c r="FL26" s="137"/>
      <c r="FM26" s="137"/>
      <c r="FN26" s="137"/>
      <c r="FO26" s="137"/>
      <c r="FP26" s="137"/>
      <c r="FQ26" s="137"/>
      <c r="FR26" s="137"/>
      <c r="FS26" s="137"/>
      <c r="FT26" s="137"/>
      <c r="FU26" s="137"/>
      <c r="FV26" s="1"/>
      <c r="FW26" s="102"/>
      <c r="FX26" s="98"/>
      <c r="FY26" s="110"/>
      <c r="FZ26" s="110"/>
      <c r="GA26" s="110"/>
      <c r="GB26" s="110"/>
      <c r="GC26" s="110"/>
      <c r="GD26" s="110"/>
      <c r="GE26" s="110"/>
      <c r="GF26" s="110"/>
      <c r="GG26" s="110"/>
      <c r="GH26" s="1"/>
      <c r="GI26" s="1"/>
      <c r="GJ26" s="1"/>
      <c r="GK26" s="1"/>
      <c r="GL26" s="1"/>
      <c r="GM26" s="1"/>
      <c r="GN26" s="1"/>
      <c r="GO26" s="1"/>
      <c r="GP26" s="1"/>
      <c r="GR26" s="1"/>
      <c r="GS26" s="85"/>
      <c r="GT26" s="85"/>
      <c r="GU26" s="85"/>
      <c r="GV26" s="68"/>
      <c r="GW26" s="1"/>
      <c r="GX26" s="16"/>
      <c r="GY26" s="16"/>
      <c r="GZ26" s="44"/>
      <c r="HA26" s="16"/>
      <c r="HB26" s="16"/>
      <c r="HC26" s="42"/>
      <c r="HD26" s="42"/>
      <c r="HE26" s="42"/>
      <c r="HF26" s="42"/>
      <c r="HG26" s="42"/>
      <c r="HH26" s="42"/>
      <c r="HI26" s="42"/>
      <c r="HJ26" s="42"/>
      <c r="HK26" s="42"/>
      <c r="HL26" s="16"/>
      <c r="HM26" s="27"/>
      <c r="HN26" s="27"/>
      <c r="HO26" s="27"/>
      <c r="HP26" s="27"/>
      <c r="HQ26" s="27"/>
      <c r="HR26" s="17"/>
      <c r="HS26" s="17"/>
      <c r="HT26" s="17"/>
      <c r="HU26" s="17"/>
      <c r="HV26" s="17"/>
      <c r="HW26" s="17"/>
      <c r="HX26" s="17"/>
      <c r="HY26" s="17"/>
      <c r="HZ26" s="17"/>
      <c r="IA26" s="16"/>
      <c r="IB26" s="16"/>
      <c r="IC26" s="16"/>
      <c r="ID26" s="16"/>
      <c r="IE26" s="16"/>
      <c r="IF26" s="16"/>
      <c r="IG26" s="17"/>
      <c r="IH26" s="17"/>
      <c r="II26" s="17"/>
      <c r="IJ26" s="17"/>
      <c r="IK26" s="17"/>
      <c r="IL26" s="17"/>
      <c r="IM26" s="17"/>
      <c r="IN26" s="17"/>
      <c r="IO26" s="17"/>
    </row>
    <row r="27" spans="2:249" ht="23.25">
      <c r="B27" s="126" t="s">
        <v>27</v>
      </c>
      <c r="C27" s="129">
        <v>425.99168450639723</v>
      </c>
      <c r="D27" s="129" t="s">
        <v>193</v>
      </c>
      <c r="E27" s="129">
        <v>543.49526940838109</v>
      </c>
      <c r="F27" s="129" t="s">
        <v>193</v>
      </c>
      <c r="G27" s="129">
        <v>444.09285386835182</v>
      </c>
      <c r="H27" s="129" t="s">
        <v>193</v>
      </c>
      <c r="I27" s="129">
        <v>525.43586854046146</v>
      </c>
      <c r="J27" s="129" t="s">
        <v>193</v>
      </c>
      <c r="K27" s="129">
        <v>610.916754557285</v>
      </c>
      <c r="L27" s="129" t="s">
        <v>193</v>
      </c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137"/>
      <c r="BO27" s="137"/>
      <c r="BP27" s="137"/>
      <c r="BQ27" s="137"/>
      <c r="BR27" s="137"/>
      <c r="BS27" s="137"/>
      <c r="BT27" s="137"/>
      <c r="BU27" s="137"/>
      <c r="BV27" s="137"/>
      <c r="BW27" s="137"/>
      <c r="BX27" s="137"/>
      <c r="BY27" s="137"/>
      <c r="BZ27" s="137"/>
      <c r="CA27" s="137"/>
      <c r="CB27" s="137"/>
      <c r="CC27" s="137"/>
      <c r="CD27" s="137"/>
      <c r="CE27" s="137"/>
      <c r="CF27" s="137"/>
      <c r="CG27" s="137"/>
      <c r="CH27" s="137"/>
      <c r="CI27" s="137"/>
      <c r="CJ27" s="137"/>
      <c r="CK27" s="137"/>
      <c r="CL27" s="137"/>
      <c r="CM27" s="137"/>
      <c r="CN27" s="137"/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7"/>
      <c r="DB27" s="137"/>
      <c r="DC27" s="137"/>
      <c r="DD27" s="137"/>
      <c r="DE27" s="137"/>
      <c r="DF27" s="137"/>
      <c r="DG27" s="137"/>
      <c r="DH27" s="137"/>
      <c r="DI27" s="137"/>
      <c r="DJ27" s="137"/>
      <c r="DK27" s="137"/>
      <c r="DL27" s="137"/>
      <c r="DM27" s="137"/>
      <c r="DN27" s="137"/>
      <c r="DO27" s="137"/>
      <c r="DP27" s="137"/>
      <c r="DQ27" s="137"/>
      <c r="DR27" s="137"/>
      <c r="DS27" s="137"/>
      <c r="DT27" s="137"/>
      <c r="DU27" s="137"/>
      <c r="DV27" s="137"/>
      <c r="DW27" s="137"/>
      <c r="DX27" s="137"/>
      <c r="DY27" s="137"/>
      <c r="DZ27" s="137"/>
      <c r="EA27" s="137"/>
      <c r="EB27" s="137"/>
      <c r="EC27" s="137"/>
      <c r="ED27" s="137"/>
      <c r="EE27" s="137"/>
      <c r="EF27" s="137"/>
      <c r="EG27" s="137"/>
      <c r="EH27" s="137"/>
      <c r="EI27" s="137"/>
      <c r="EJ27" s="137"/>
      <c r="EK27" s="137"/>
      <c r="EL27" s="137"/>
      <c r="EM27" s="137"/>
      <c r="EN27" s="137"/>
      <c r="EO27" s="137"/>
      <c r="EP27" s="137"/>
      <c r="EQ27" s="137"/>
      <c r="ER27" s="137"/>
      <c r="ES27" s="137"/>
      <c r="ET27" s="137"/>
      <c r="EU27" s="137"/>
      <c r="EV27" s="137"/>
      <c r="EW27" s="137"/>
      <c r="EX27" s="137"/>
      <c r="EY27" s="137"/>
      <c r="EZ27" s="137"/>
      <c r="FA27" s="137"/>
      <c r="FB27" s="137"/>
      <c r="FC27" s="137"/>
      <c r="FD27" s="137"/>
      <c r="FE27" s="137"/>
      <c r="FF27" s="137"/>
      <c r="FG27" s="137"/>
      <c r="FH27" s="137"/>
      <c r="FI27" s="137"/>
      <c r="FJ27" s="137"/>
      <c r="FK27" s="137"/>
      <c r="FL27" s="137"/>
      <c r="FM27" s="137"/>
      <c r="FN27" s="137"/>
      <c r="FO27" s="137"/>
      <c r="FP27" s="137"/>
      <c r="FQ27" s="137"/>
      <c r="FR27" s="137"/>
      <c r="FS27" s="137"/>
      <c r="FT27" s="137"/>
      <c r="FU27" s="137"/>
      <c r="FV27" s="1"/>
      <c r="FW27" s="95"/>
      <c r="FX27" s="85"/>
      <c r="FY27" s="110"/>
      <c r="FZ27" s="110"/>
      <c r="GA27" s="110"/>
      <c r="GB27" s="110"/>
      <c r="GC27" s="110"/>
      <c r="GD27" s="110"/>
      <c r="GE27" s="110"/>
      <c r="GF27" s="110"/>
      <c r="GG27" s="110"/>
      <c r="GH27" s="1"/>
      <c r="GI27" s="1"/>
      <c r="GJ27" s="1"/>
      <c r="GK27" s="1"/>
      <c r="GL27" s="1"/>
      <c r="GM27" s="1"/>
      <c r="GN27" s="1"/>
      <c r="GO27" s="1"/>
      <c r="GP27" s="1"/>
      <c r="GR27" s="1"/>
      <c r="GS27" s="85"/>
      <c r="GT27" s="85"/>
      <c r="GU27" s="85"/>
      <c r="GV27" s="68"/>
      <c r="GW27" s="1"/>
      <c r="GX27" s="16"/>
      <c r="GY27" s="16"/>
      <c r="GZ27" s="44"/>
      <c r="HA27" s="16"/>
      <c r="HB27" s="16"/>
      <c r="HC27" s="42"/>
      <c r="HD27" s="42"/>
      <c r="HE27" s="42"/>
      <c r="HF27" s="42"/>
      <c r="HG27" s="42"/>
      <c r="HH27" s="42"/>
      <c r="HI27" s="42"/>
      <c r="HJ27" s="42"/>
      <c r="HK27" s="42"/>
      <c r="HL27" s="16"/>
      <c r="HM27" s="27"/>
      <c r="HN27" s="27"/>
      <c r="HO27" s="27"/>
      <c r="HP27" s="27"/>
      <c r="HQ27" s="27"/>
      <c r="HR27" s="17"/>
      <c r="HS27" s="17"/>
      <c r="HT27" s="17"/>
      <c r="HU27" s="17"/>
      <c r="HV27" s="17"/>
      <c r="HW27" s="17"/>
      <c r="HX27" s="17"/>
      <c r="HY27" s="17"/>
      <c r="HZ27" s="17"/>
      <c r="IA27" s="16"/>
      <c r="IB27" s="16"/>
      <c r="IC27" s="16"/>
      <c r="ID27" s="16"/>
      <c r="IE27" s="16"/>
      <c r="IF27" s="16"/>
      <c r="IG27" s="17"/>
      <c r="IH27" s="17"/>
      <c r="II27" s="17"/>
      <c r="IJ27" s="17"/>
      <c r="IK27" s="17"/>
      <c r="IL27" s="17"/>
      <c r="IM27" s="17"/>
      <c r="IN27" s="17"/>
      <c r="IO27" s="17"/>
    </row>
    <row r="28" spans="2:249">
      <c r="B28" s="127" t="s">
        <v>28</v>
      </c>
      <c r="C28" s="128">
        <v>19595.617487294272</v>
      </c>
      <c r="D28" s="128" t="s">
        <v>4</v>
      </c>
      <c r="E28" s="128">
        <v>24457.287123377148</v>
      </c>
      <c r="F28" s="128" t="s">
        <v>4</v>
      </c>
      <c r="G28" s="128">
        <v>21316.456985680888</v>
      </c>
      <c r="H28" s="128" t="s">
        <v>4</v>
      </c>
      <c r="I28" s="128">
        <v>25173.921689942152</v>
      </c>
      <c r="J28" s="128" t="s">
        <v>4</v>
      </c>
      <c r="K28" s="128">
        <v>29018.545841471041</v>
      </c>
      <c r="L28" s="128" t="s">
        <v>4</v>
      </c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  <c r="BM28" s="137"/>
      <c r="BN28" s="137"/>
      <c r="BO28" s="137"/>
      <c r="BP28" s="137"/>
      <c r="BQ28" s="137"/>
      <c r="BR28" s="137"/>
      <c r="BS28" s="137"/>
      <c r="BT28" s="137"/>
      <c r="BU28" s="137"/>
      <c r="BV28" s="137"/>
      <c r="BW28" s="137"/>
      <c r="BX28" s="137"/>
      <c r="BY28" s="137"/>
      <c r="BZ28" s="137"/>
      <c r="CA28" s="137"/>
      <c r="CB28" s="137"/>
      <c r="CC28" s="137"/>
      <c r="CD28" s="137"/>
      <c r="CE28" s="137"/>
      <c r="CF28" s="137"/>
      <c r="CG28" s="137"/>
      <c r="CH28" s="137"/>
      <c r="CI28" s="137"/>
      <c r="CJ28" s="137"/>
      <c r="CK28" s="137"/>
      <c r="CL28" s="137"/>
      <c r="CM28" s="137"/>
      <c r="CN28" s="137"/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7"/>
      <c r="DB28" s="137"/>
      <c r="DC28" s="137"/>
      <c r="DD28" s="137"/>
      <c r="DE28" s="137"/>
      <c r="DF28" s="137"/>
      <c r="DG28" s="137"/>
      <c r="DH28" s="137"/>
      <c r="DI28" s="137"/>
      <c r="DJ28" s="137"/>
      <c r="DK28" s="137"/>
      <c r="DL28" s="137"/>
      <c r="DM28" s="137"/>
      <c r="DN28" s="137"/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37"/>
      <c r="DZ28" s="137"/>
      <c r="EA28" s="137"/>
      <c r="EB28" s="137"/>
      <c r="EC28" s="137"/>
      <c r="ED28" s="137"/>
      <c r="EE28" s="137"/>
      <c r="EF28" s="137"/>
      <c r="EG28" s="137"/>
      <c r="EH28" s="137"/>
      <c r="EI28" s="137"/>
      <c r="EJ28" s="137"/>
      <c r="EK28" s="137"/>
      <c r="EL28" s="137"/>
      <c r="EM28" s="137"/>
      <c r="EN28" s="137"/>
      <c r="EO28" s="137"/>
      <c r="EP28" s="137"/>
      <c r="EQ28" s="137"/>
      <c r="ER28" s="137"/>
      <c r="ES28" s="137"/>
      <c r="ET28" s="137"/>
      <c r="EU28" s="137"/>
      <c r="EV28" s="137"/>
      <c r="EW28" s="137"/>
      <c r="EX28" s="137"/>
      <c r="EY28" s="137"/>
      <c r="EZ28" s="137"/>
      <c r="FA28" s="137"/>
      <c r="FB28" s="137"/>
      <c r="FC28" s="137"/>
      <c r="FD28" s="137"/>
      <c r="FE28" s="137"/>
      <c r="FF28" s="137"/>
      <c r="FG28" s="137"/>
      <c r="FH28" s="137"/>
      <c r="FI28" s="137"/>
      <c r="FJ28" s="137"/>
      <c r="FK28" s="137"/>
      <c r="FL28" s="137"/>
      <c r="FM28" s="137"/>
      <c r="FN28" s="137"/>
      <c r="FO28" s="137"/>
      <c r="FP28" s="137"/>
      <c r="FQ28" s="137"/>
      <c r="FR28" s="137"/>
      <c r="FS28" s="137"/>
      <c r="FT28" s="137"/>
      <c r="FU28" s="137"/>
      <c r="FV28" s="1"/>
      <c r="FW28" s="73"/>
      <c r="FX28" s="73"/>
      <c r="FY28" s="110"/>
      <c r="FZ28" s="110"/>
      <c r="GA28" s="110"/>
      <c r="GB28" s="110"/>
      <c r="GC28" s="110"/>
      <c r="GD28" s="110"/>
      <c r="GE28" s="110"/>
      <c r="GF28" s="110"/>
      <c r="GG28" s="110"/>
      <c r="GH28" s="1"/>
      <c r="GI28" s="1"/>
      <c r="GJ28" s="1"/>
      <c r="GK28" s="1"/>
      <c r="GL28" s="1"/>
      <c r="GM28" s="1"/>
      <c r="GN28" s="1"/>
      <c r="GO28" s="1"/>
      <c r="GP28" s="1"/>
      <c r="GR28" s="1"/>
      <c r="GS28" s="85"/>
      <c r="GT28" s="85"/>
      <c r="GU28" s="85"/>
      <c r="GV28" s="68"/>
      <c r="GW28" s="1"/>
      <c r="GX28" s="16"/>
      <c r="GY28" s="16"/>
      <c r="GZ28" s="44"/>
      <c r="HA28" s="16"/>
      <c r="HB28" s="16"/>
      <c r="HC28" s="42"/>
      <c r="HD28" s="42"/>
      <c r="HE28" s="42"/>
      <c r="HF28" s="42"/>
      <c r="HG28" s="42"/>
      <c r="HH28" s="42"/>
      <c r="HI28" s="42"/>
      <c r="HJ28" s="42"/>
      <c r="HK28" s="42"/>
      <c r="HL28" s="16"/>
      <c r="HM28" s="27"/>
      <c r="HN28" s="27"/>
      <c r="HO28" s="27"/>
      <c r="HP28" s="27"/>
      <c r="HQ28" s="27"/>
      <c r="HR28" s="17"/>
      <c r="HS28" s="17"/>
      <c r="HT28" s="17"/>
      <c r="HU28" s="17"/>
      <c r="HV28" s="17"/>
      <c r="HW28" s="17"/>
      <c r="HX28" s="17"/>
      <c r="HY28" s="17"/>
      <c r="HZ28" s="17"/>
      <c r="IA28" s="16"/>
      <c r="IB28" s="16"/>
      <c r="IC28" s="16"/>
      <c r="ID28" s="16"/>
      <c r="IE28" s="16"/>
      <c r="IF28" s="16"/>
      <c r="IG28" s="17"/>
      <c r="IH28" s="17"/>
      <c r="II28" s="17"/>
      <c r="IJ28" s="17"/>
      <c r="IK28" s="17"/>
      <c r="IL28" s="17"/>
      <c r="IM28" s="17"/>
      <c r="IN28" s="17"/>
      <c r="IO28" s="17"/>
    </row>
    <row r="29" spans="2:249" ht="23.25">
      <c r="B29" s="126" t="s">
        <v>29</v>
      </c>
      <c r="C29" s="129">
        <v>364.47848526367341</v>
      </c>
      <c r="D29" s="129" t="s">
        <v>193</v>
      </c>
      <c r="E29" s="129">
        <v>469.57991276884127</v>
      </c>
      <c r="F29" s="129" t="s">
        <v>193</v>
      </c>
      <c r="G29" s="129">
        <v>383.69622574225599</v>
      </c>
      <c r="H29" s="129" t="s">
        <v>193</v>
      </c>
      <c r="I29" s="129">
        <v>464.18175909493561</v>
      </c>
      <c r="J29" s="129" t="s">
        <v>193</v>
      </c>
      <c r="K29" s="129">
        <v>522.33382514647872</v>
      </c>
      <c r="L29" s="129" t="s">
        <v>193</v>
      </c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7"/>
      <c r="CD29" s="137"/>
      <c r="CE29" s="137"/>
      <c r="CF29" s="137"/>
      <c r="CG29" s="137"/>
      <c r="CH29" s="137"/>
      <c r="CI29" s="137"/>
      <c r="CJ29" s="137"/>
      <c r="CK29" s="137"/>
      <c r="CL29" s="137"/>
      <c r="CM29" s="137"/>
      <c r="CN29" s="137"/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7"/>
      <c r="DB29" s="137"/>
      <c r="DC29" s="137"/>
      <c r="DD29" s="137"/>
      <c r="DE29" s="137"/>
      <c r="DF29" s="137"/>
      <c r="DG29" s="137"/>
      <c r="DH29" s="137"/>
      <c r="DI29" s="137"/>
      <c r="DJ29" s="137"/>
      <c r="DK29" s="137"/>
      <c r="DL29" s="137"/>
      <c r="DM29" s="137"/>
      <c r="DN29" s="137"/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7"/>
      <c r="EB29" s="137"/>
      <c r="EC29" s="137"/>
      <c r="ED29" s="137"/>
      <c r="EE29" s="137"/>
      <c r="EF29" s="137"/>
      <c r="EG29" s="137"/>
      <c r="EH29" s="137"/>
      <c r="EI29" s="137"/>
      <c r="EJ29" s="137"/>
      <c r="EK29" s="137"/>
      <c r="EL29" s="137"/>
      <c r="EM29" s="137"/>
      <c r="EN29" s="137"/>
      <c r="EO29" s="137"/>
      <c r="EP29" s="137"/>
      <c r="EQ29" s="137"/>
      <c r="ER29" s="137"/>
      <c r="ES29" s="137"/>
      <c r="ET29" s="137"/>
      <c r="EU29" s="137"/>
      <c r="EV29" s="137"/>
      <c r="EW29" s="137"/>
      <c r="EX29" s="137"/>
      <c r="EY29" s="137"/>
      <c r="EZ29" s="137"/>
      <c r="FA29" s="137"/>
      <c r="FB29" s="137"/>
      <c r="FC29" s="137"/>
      <c r="FD29" s="137"/>
      <c r="FE29" s="137"/>
      <c r="FF29" s="137"/>
      <c r="FG29" s="137"/>
      <c r="FH29" s="137"/>
      <c r="FI29" s="137"/>
      <c r="FJ29" s="137"/>
      <c r="FK29" s="137"/>
      <c r="FL29" s="137"/>
      <c r="FM29" s="137"/>
      <c r="FN29" s="137"/>
      <c r="FO29" s="137"/>
      <c r="FP29" s="137"/>
      <c r="FQ29" s="137"/>
      <c r="FR29" s="137"/>
      <c r="FS29" s="137"/>
      <c r="FT29" s="137"/>
      <c r="FU29" s="137"/>
      <c r="FV29" s="1"/>
      <c r="FW29" s="73"/>
      <c r="FX29" s="1"/>
      <c r="FY29" s="110"/>
      <c r="FZ29" s="110"/>
      <c r="GA29" s="110"/>
      <c r="GB29" s="110"/>
      <c r="GC29" s="110"/>
      <c r="GD29" s="110"/>
      <c r="GE29" s="110"/>
      <c r="GF29" s="110"/>
      <c r="GG29" s="110"/>
      <c r="GH29" s="1"/>
      <c r="GI29" s="1"/>
      <c r="GJ29" s="1"/>
      <c r="GK29" s="1"/>
      <c r="GL29" s="1"/>
      <c r="GM29" s="1"/>
      <c r="GN29" s="1"/>
      <c r="GO29" s="1"/>
      <c r="GP29" s="1"/>
      <c r="GR29" s="1"/>
      <c r="GS29" s="85"/>
      <c r="GT29" s="85"/>
      <c r="GU29" s="85"/>
      <c r="GV29" s="68"/>
      <c r="GW29" s="1"/>
      <c r="GX29" s="16"/>
      <c r="GY29" s="16"/>
      <c r="GZ29" s="44"/>
      <c r="HA29" s="16"/>
      <c r="HB29" s="16"/>
      <c r="HC29" s="42"/>
      <c r="HD29" s="42"/>
      <c r="HE29" s="42"/>
      <c r="HF29" s="42"/>
      <c r="HG29" s="42"/>
      <c r="HH29" s="42"/>
      <c r="HI29" s="42"/>
      <c r="HJ29" s="42"/>
      <c r="HK29" s="42"/>
      <c r="HL29" s="16"/>
      <c r="HM29" s="27"/>
      <c r="HN29" s="27"/>
      <c r="HO29" s="27"/>
      <c r="HP29" s="27"/>
      <c r="HQ29" s="27"/>
      <c r="HR29" s="17"/>
      <c r="HS29" s="17"/>
      <c r="HT29" s="17"/>
      <c r="HU29" s="17"/>
      <c r="HV29" s="17"/>
      <c r="HW29" s="17"/>
      <c r="HX29" s="17"/>
      <c r="HY29" s="17"/>
      <c r="HZ29" s="17"/>
      <c r="IA29" s="16"/>
      <c r="IB29" s="16"/>
      <c r="IC29" s="16"/>
      <c r="ID29" s="16"/>
      <c r="IE29" s="16"/>
      <c r="IF29" s="16"/>
      <c r="IG29" s="17"/>
      <c r="IH29" s="17"/>
      <c r="II29" s="17"/>
      <c r="IJ29" s="17"/>
      <c r="IK29" s="17"/>
      <c r="IL29" s="17"/>
      <c r="IM29" s="17"/>
      <c r="IN29" s="17"/>
      <c r="IO29" s="17"/>
    </row>
    <row r="30" spans="2:249">
      <c r="B30" s="127" t="s">
        <v>30</v>
      </c>
      <c r="C30" s="128">
        <v>16948.249564760816</v>
      </c>
      <c r="D30" s="128" t="s">
        <v>4</v>
      </c>
      <c r="E30" s="128">
        <v>22070.25590013554</v>
      </c>
      <c r="F30" s="128" t="s">
        <v>4</v>
      </c>
      <c r="G30" s="128">
        <v>18225.570722757158</v>
      </c>
      <c r="H30" s="128" t="s">
        <v>4</v>
      </c>
      <c r="I30" s="128">
        <v>22002.133557009442</v>
      </c>
      <c r="J30" s="128" t="s">
        <v>4</v>
      </c>
      <c r="K30" s="128">
        <v>23766.189044164781</v>
      </c>
      <c r="L30" s="128" t="s">
        <v>4</v>
      </c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  <c r="BV30" s="137"/>
      <c r="BW30" s="137"/>
      <c r="BX30" s="137"/>
      <c r="BY30" s="137"/>
      <c r="BZ30" s="137"/>
      <c r="CA30" s="137"/>
      <c r="CB30" s="137"/>
      <c r="CC30" s="137"/>
      <c r="CD30" s="137"/>
      <c r="CE30" s="137"/>
      <c r="CF30" s="137"/>
      <c r="CG30" s="137"/>
      <c r="CH30" s="137"/>
      <c r="CI30" s="137"/>
      <c r="CJ30" s="137"/>
      <c r="CK30" s="137"/>
      <c r="CL30" s="137"/>
      <c r="CM30" s="137"/>
      <c r="CN30" s="137"/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7"/>
      <c r="DB30" s="137"/>
      <c r="DC30" s="137"/>
      <c r="DD30" s="137"/>
      <c r="DE30" s="137"/>
      <c r="DF30" s="137"/>
      <c r="DG30" s="137"/>
      <c r="DH30" s="137"/>
      <c r="DI30" s="137"/>
      <c r="DJ30" s="137"/>
      <c r="DK30" s="137"/>
      <c r="DL30" s="137"/>
      <c r="DM30" s="137"/>
      <c r="DN30" s="137"/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37"/>
      <c r="DZ30" s="137"/>
      <c r="EA30" s="137"/>
      <c r="EB30" s="137"/>
      <c r="EC30" s="137"/>
      <c r="ED30" s="137"/>
      <c r="EE30" s="137"/>
      <c r="EF30" s="137"/>
      <c r="EG30" s="137"/>
      <c r="EH30" s="137"/>
      <c r="EI30" s="137"/>
      <c r="EJ30" s="137"/>
      <c r="EK30" s="137"/>
      <c r="EL30" s="137"/>
      <c r="EM30" s="137"/>
      <c r="EN30" s="137"/>
      <c r="EO30" s="137"/>
      <c r="EP30" s="137"/>
      <c r="EQ30" s="137"/>
      <c r="ER30" s="137"/>
      <c r="ES30" s="137"/>
      <c r="ET30" s="137"/>
      <c r="EU30" s="137"/>
      <c r="EV30" s="137"/>
      <c r="EW30" s="137"/>
      <c r="EX30" s="137"/>
      <c r="EY30" s="137"/>
      <c r="EZ30" s="137"/>
      <c r="FA30" s="137"/>
      <c r="FB30" s="137"/>
      <c r="FC30" s="137"/>
      <c r="FD30" s="137"/>
      <c r="FE30" s="137"/>
      <c r="FF30" s="137"/>
      <c r="FG30" s="137"/>
      <c r="FH30" s="137"/>
      <c r="FI30" s="137"/>
      <c r="FJ30" s="137"/>
      <c r="FK30" s="137"/>
      <c r="FL30" s="137"/>
      <c r="FM30" s="137"/>
      <c r="FN30" s="137"/>
      <c r="FO30" s="137"/>
      <c r="FP30" s="137"/>
      <c r="FQ30" s="137"/>
      <c r="FR30" s="137"/>
      <c r="FS30" s="137"/>
      <c r="FT30" s="137"/>
      <c r="FU30" s="137"/>
      <c r="FV30" s="1"/>
      <c r="FW30" s="73"/>
      <c r="FX30" s="1"/>
      <c r="FY30" s="110"/>
      <c r="FZ30" s="110"/>
      <c r="GA30" s="110"/>
      <c r="GB30" s="110"/>
      <c r="GC30" s="110"/>
      <c r="GD30" s="110"/>
      <c r="GE30" s="110"/>
      <c r="GF30" s="110"/>
      <c r="GG30" s="110"/>
      <c r="GH30" s="1"/>
      <c r="GI30" s="1"/>
      <c r="GJ30" s="1"/>
      <c r="GK30" s="1"/>
      <c r="GL30" s="1"/>
      <c r="GM30" s="1"/>
      <c r="GN30" s="1"/>
      <c r="GO30" s="1"/>
      <c r="GP30" s="1"/>
      <c r="GR30" s="1"/>
      <c r="GS30" s="85"/>
      <c r="GT30" s="85"/>
      <c r="GU30" s="85"/>
      <c r="GV30" s="68"/>
      <c r="GW30" s="1"/>
      <c r="GX30" s="16"/>
      <c r="GY30" s="16"/>
      <c r="GZ30" s="44"/>
      <c r="HA30" s="16"/>
      <c r="HB30" s="16"/>
      <c r="HC30" s="42"/>
      <c r="HD30" s="42"/>
      <c r="HE30" s="42"/>
      <c r="HF30" s="42"/>
      <c r="HG30" s="42"/>
      <c r="HH30" s="42"/>
      <c r="HI30" s="42"/>
      <c r="HJ30" s="42"/>
      <c r="HK30" s="42"/>
      <c r="HL30" s="16"/>
      <c r="HM30" s="27"/>
      <c r="HN30" s="27"/>
      <c r="HO30" s="27"/>
      <c r="HP30" s="27"/>
      <c r="HQ30" s="27"/>
      <c r="HR30" s="17"/>
      <c r="HS30" s="17"/>
      <c r="HT30" s="17"/>
      <c r="HU30" s="17"/>
      <c r="HV30" s="17"/>
      <c r="HW30" s="17"/>
      <c r="HX30" s="17"/>
      <c r="HY30" s="17"/>
      <c r="HZ30" s="17"/>
      <c r="IA30" s="16"/>
      <c r="IB30" s="16"/>
      <c r="IC30" s="16"/>
      <c r="ID30" s="16"/>
      <c r="IE30" s="16"/>
      <c r="IF30" s="16"/>
      <c r="IG30" s="17"/>
      <c r="IH30" s="17"/>
      <c r="II30" s="17"/>
      <c r="IJ30" s="17"/>
      <c r="IK30" s="17"/>
      <c r="IL30" s="17"/>
      <c r="IM30" s="17"/>
      <c r="IN30" s="17"/>
      <c r="IO30" s="17"/>
    </row>
    <row r="31" spans="2:249">
      <c r="B31" s="126" t="s">
        <v>31</v>
      </c>
      <c r="C31" s="129">
        <v>15253.424608284733</v>
      </c>
      <c r="D31" s="129" t="s">
        <v>4</v>
      </c>
      <c r="E31" s="129">
        <v>21187.445664130119</v>
      </c>
      <c r="F31" s="129" t="s">
        <v>4</v>
      </c>
      <c r="G31" s="129">
        <v>17496.547893846873</v>
      </c>
      <c r="H31" s="129" t="s">
        <v>4</v>
      </c>
      <c r="I31" s="129">
        <v>20462.054208018781</v>
      </c>
      <c r="J31" s="129" t="s">
        <v>4</v>
      </c>
      <c r="K31" s="129">
        <v>22102.555811073245</v>
      </c>
      <c r="L31" s="129" t="s">
        <v>4</v>
      </c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/>
      <c r="BN31" s="137"/>
      <c r="BO31" s="137"/>
      <c r="BP31" s="137"/>
      <c r="BQ31" s="137"/>
      <c r="BR31" s="137"/>
      <c r="BS31" s="137"/>
      <c r="BT31" s="137"/>
      <c r="BU31" s="137"/>
      <c r="BV31" s="137"/>
      <c r="BW31" s="137"/>
      <c r="BX31" s="137"/>
      <c r="BY31" s="137"/>
      <c r="BZ31" s="137"/>
      <c r="CA31" s="137"/>
      <c r="CB31" s="137"/>
      <c r="CC31" s="137"/>
      <c r="CD31" s="137"/>
      <c r="CE31" s="137"/>
      <c r="CF31" s="137"/>
      <c r="CG31" s="137"/>
      <c r="CH31" s="137"/>
      <c r="CI31" s="137"/>
      <c r="CJ31" s="137"/>
      <c r="CK31" s="137"/>
      <c r="CL31" s="137"/>
      <c r="CM31" s="137"/>
      <c r="CN31" s="137"/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7"/>
      <c r="DB31" s="137"/>
      <c r="DC31" s="137"/>
      <c r="DD31" s="137"/>
      <c r="DE31" s="137"/>
      <c r="DF31" s="137"/>
      <c r="DG31" s="137"/>
      <c r="DH31" s="137"/>
      <c r="DI31" s="137"/>
      <c r="DJ31" s="137"/>
      <c r="DK31" s="137"/>
      <c r="DL31" s="137"/>
      <c r="DM31" s="137"/>
      <c r="DN31" s="137"/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37"/>
      <c r="DZ31" s="137"/>
      <c r="EA31" s="137"/>
      <c r="EB31" s="137"/>
      <c r="EC31" s="137"/>
      <c r="ED31" s="137"/>
      <c r="EE31" s="137"/>
      <c r="EF31" s="137"/>
      <c r="EG31" s="137"/>
      <c r="EH31" s="137"/>
      <c r="EI31" s="137"/>
      <c r="EJ31" s="137"/>
      <c r="EK31" s="137"/>
      <c r="EL31" s="137"/>
      <c r="EM31" s="137"/>
      <c r="EN31" s="137"/>
      <c r="EO31" s="137"/>
      <c r="EP31" s="137"/>
      <c r="EQ31" s="137"/>
      <c r="ER31" s="137"/>
      <c r="ES31" s="137"/>
      <c r="ET31" s="137"/>
      <c r="EU31" s="137"/>
      <c r="EV31" s="137"/>
      <c r="EW31" s="137"/>
      <c r="EX31" s="137"/>
      <c r="EY31" s="137"/>
      <c r="EZ31" s="137"/>
      <c r="FA31" s="137"/>
      <c r="FB31" s="137"/>
      <c r="FC31" s="137"/>
      <c r="FD31" s="137"/>
      <c r="FE31" s="137"/>
      <c r="FF31" s="137"/>
      <c r="FG31" s="137"/>
      <c r="FH31" s="137"/>
      <c r="FI31" s="137"/>
      <c r="FJ31" s="137"/>
      <c r="FK31" s="137"/>
      <c r="FL31" s="137"/>
      <c r="FM31" s="137"/>
      <c r="FN31" s="137"/>
      <c r="FO31" s="137"/>
      <c r="FP31" s="137"/>
      <c r="FQ31" s="137"/>
      <c r="FR31" s="137"/>
      <c r="FS31" s="137"/>
      <c r="FT31" s="137"/>
      <c r="FU31" s="137"/>
      <c r="FV31" s="1"/>
      <c r="FW31" s="73"/>
      <c r="FX31" s="1"/>
      <c r="FY31" s="110"/>
      <c r="FZ31" s="110"/>
      <c r="GA31" s="110"/>
      <c r="GB31" s="110"/>
      <c r="GC31" s="110"/>
      <c r="GD31" s="110"/>
      <c r="GE31" s="110"/>
      <c r="GF31" s="110"/>
      <c r="GG31" s="110"/>
      <c r="GH31" s="1"/>
      <c r="GI31" s="1"/>
      <c r="GJ31" s="1"/>
      <c r="GK31" s="1"/>
      <c r="GL31" s="1"/>
      <c r="GM31" s="1"/>
      <c r="GN31" s="1"/>
      <c r="GO31" s="1"/>
      <c r="GP31" s="1"/>
      <c r="GR31" s="1"/>
      <c r="GS31" s="85"/>
      <c r="GT31" s="85"/>
      <c r="GU31" s="85"/>
      <c r="GV31" s="68"/>
      <c r="GW31" s="1"/>
      <c r="GX31" s="16"/>
      <c r="GY31" s="16"/>
      <c r="GZ31" s="44"/>
      <c r="HA31" s="16"/>
      <c r="HB31" s="16"/>
      <c r="HC31" s="42"/>
      <c r="HD31" s="42"/>
      <c r="HE31" s="42"/>
      <c r="HF31" s="42"/>
      <c r="HG31" s="42"/>
      <c r="HH31" s="42"/>
      <c r="HI31" s="42"/>
      <c r="HJ31" s="42"/>
      <c r="HK31" s="42"/>
      <c r="HL31" s="16"/>
      <c r="HM31" s="27"/>
      <c r="HN31" s="27"/>
      <c r="HO31" s="27"/>
      <c r="HP31" s="27"/>
      <c r="HQ31" s="27"/>
      <c r="HR31" s="17"/>
      <c r="HS31" s="17"/>
      <c r="HT31" s="17"/>
      <c r="HU31" s="17"/>
      <c r="HV31" s="17"/>
      <c r="HW31" s="17"/>
      <c r="HX31" s="17"/>
      <c r="HY31" s="17"/>
      <c r="HZ31" s="17"/>
      <c r="IA31" s="16"/>
      <c r="IB31" s="16"/>
      <c r="IC31" s="16"/>
      <c r="ID31" s="16"/>
      <c r="IE31" s="16"/>
      <c r="IF31" s="16"/>
      <c r="IG31" s="17"/>
      <c r="IH31" s="17"/>
      <c r="II31" s="17"/>
      <c r="IJ31" s="17"/>
      <c r="IK31" s="17"/>
      <c r="IL31" s="17"/>
      <c r="IM31" s="17"/>
      <c r="IN31" s="17"/>
      <c r="IO31" s="17"/>
    </row>
    <row r="32" spans="2:249" ht="23.25">
      <c r="B32" s="127" t="s">
        <v>32</v>
      </c>
      <c r="C32" s="128">
        <v>292.86575247906688</v>
      </c>
      <c r="D32" s="128" t="s">
        <v>193</v>
      </c>
      <c r="E32" s="128">
        <v>389.8490002199942</v>
      </c>
      <c r="F32" s="128" t="s">
        <v>193</v>
      </c>
      <c r="G32" s="128">
        <v>321.93648124678248</v>
      </c>
      <c r="H32" s="128" t="s">
        <v>193</v>
      </c>
      <c r="I32" s="128">
        <v>397.94445163556435</v>
      </c>
      <c r="J32" s="128" t="s">
        <v>193</v>
      </c>
      <c r="K32" s="128">
        <v>411.10753808596235</v>
      </c>
      <c r="L32" s="128" t="s">
        <v>193</v>
      </c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  <c r="BY32" s="137"/>
      <c r="BZ32" s="137"/>
      <c r="CA32" s="137"/>
      <c r="CB32" s="137"/>
      <c r="CC32" s="137"/>
      <c r="CD32" s="137"/>
      <c r="CE32" s="137"/>
      <c r="CF32" s="137"/>
      <c r="CG32" s="137"/>
      <c r="CH32" s="137"/>
      <c r="CI32" s="137"/>
      <c r="CJ32" s="137"/>
      <c r="CK32" s="137"/>
      <c r="CL32" s="137"/>
      <c r="CM32" s="137"/>
      <c r="CN32" s="137"/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7"/>
      <c r="DB32" s="137"/>
      <c r="DC32" s="137"/>
      <c r="DD32" s="137"/>
      <c r="DE32" s="137"/>
      <c r="DF32" s="137"/>
      <c r="DG32" s="137"/>
      <c r="DH32" s="137"/>
      <c r="DI32" s="137"/>
      <c r="DJ32" s="137"/>
      <c r="DK32" s="137"/>
      <c r="DL32" s="137"/>
      <c r="DM32" s="137"/>
      <c r="DN32" s="137"/>
      <c r="DO32" s="137"/>
      <c r="DP32" s="137"/>
      <c r="DQ32" s="137"/>
      <c r="DR32" s="137"/>
      <c r="DS32" s="137"/>
      <c r="DT32" s="137"/>
      <c r="DU32" s="137"/>
      <c r="DV32" s="137"/>
      <c r="DW32" s="137"/>
      <c r="DX32" s="137"/>
      <c r="DY32" s="137"/>
      <c r="DZ32" s="137"/>
      <c r="EA32" s="137"/>
      <c r="EB32" s="137"/>
      <c r="EC32" s="137"/>
      <c r="ED32" s="137"/>
      <c r="EE32" s="137"/>
      <c r="EF32" s="137"/>
      <c r="EG32" s="137"/>
      <c r="EH32" s="137"/>
      <c r="EI32" s="137"/>
      <c r="EJ32" s="137"/>
      <c r="EK32" s="137"/>
      <c r="EL32" s="137"/>
      <c r="EM32" s="137"/>
      <c r="EN32" s="137"/>
      <c r="EO32" s="137"/>
      <c r="EP32" s="137"/>
      <c r="EQ32" s="137"/>
      <c r="ER32" s="137"/>
      <c r="ES32" s="137"/>
      <c r="ET32" s="137"/>
      <c r="EU32" s="137"/>
      <c r="EV32" s="137"/>
      <c r="EW32" s="137"/>
      <c r="EX32" s="137"/>
      <c r="EY32" s="137"/>
      <c r="EZ32" s="137"/>
      <c r="FA32" s="137"/>
      <c r="FB32" s="137"/>
      <c r="FC32" s="137"/>
      <c r="FD32" s="137"/>
      <c r="FE32" s="137"/>
      <c r="FF32" s="137"/>
      <c r="FG32" s="137"/>
      <c r="FH32" s="137"/>
      <c r="FI32" s="137"/>
      <c r="FJ32" s="137"/>
      <c r="FK32" s="137"/>
      <c r="FL32" s="137"/>
      <c r="FM32" s="137"/>
      <c r="FN32" s="137"/>
      <c r="FO32" s="137"/>
      <c r="FP32" s="137"/>
      <c r="FQ32" s="137"/>
      <c r="FR32" s="137"/>
      <c r="FS32" s="137"/>
      <c r="FT32" s="137"/>
      <c r="FU32" s="137"/>
      <c r="FV32" s="1"/>
      <c r="FW32" s="73"/>
      <c r="FX32" s="1"/>
      <c r="FY32" s="110"/>
      <c r="FZ32" s="110"/>
      <c r="GA32" s="110"/>
      <c r="GB32" s="110"/>
      <c r="GC32" s="110"/>
      <c r="GD32" s="110"/>
      <c r="GE32" s="110"/>
      <c r="GF32" s="110"/>
      <c r="GG32" s="110"/>
      <c r="GH32" s="1"/>
      <c r="GI32" s="1"/>
      <c r="GJ32" s="1"/>
      <c r="GK32" s="1"/>
      <c r="GL32" s="1"/>
      <c r="GM32" s="1"/>
      <c r="GN32" s="1"/>
      <c r="GO32" s="1"/>
      <c r="GP32" s="1"/>
      <c r="GR32" s="1"/>
      <c r="GS32" s="85"/>
      <c r="GT32" s="85"/>
      <c r="GU32" s="85"/>
      <c r="GV32" s="68"/>
      <c r="GW32" s="1"/>
      <c r="GX32" s="16"/>
      <c r="GY32" s="16"/>
      <c r="GZ32" s="44"/>
      <c r="HA32" s="16"/>
      <c r="HB32" s="16"/>
      <c r="HC32" s="42"/>
      <c r="HD32" s="42"/>
      <c r="HE32" s="42"/>
      <c r="HF32" s="42"/>
      <c r="HG32" s="42"/>
      <c r="HH32" s="42"/>
      <c r="HI32" s="42"/>
      <c r="HJ32" s="42"/>
      <c r="HK32" s="42"/>
      <c r="HL32" s="16"/>
      <c r="HM32" s="27"/>
      <c r="HN32" s="27"/>
      <c r="HO32" s="27"/>
      <c r="HP32" s="27"/>
      <c r="HQ32" s="27"/>
      <c r="HR32" s="17"/>
      <c r="HS32" s="17"/>
      <c r="HT32" s="17"/>
      <c r="HU32" s="17"/>
      <c r="HV32" s="17"/>
      <c r="HW32" s="17"/>
      <c r="HX32" s="17"/>
      <c r="HY32" s="17"/>
      <c r="HZ32" s="17"/>
      <c r="IA32" s="16"/>
      <c r="IB32" s="16"/>
      <c r="IC32" s="16"/>
      <c r="ID32" s="16"/>
      <c r="IE32" s="16"/>
      <c r="IF32" s="16"/>
      <c r="IG32" s="17"/>
      <c r="IH32" s="17"/>
      <c r="II32" s="17"/>
      <c r="IJ32" s="17"/>
      <c r="IK32" s="17"/>
      <c r="IL32" s="17"/>
      <c r="IM32" s="17"/>
      <c r="IN32" s="17"/>
      <c r="IO32" s="17"/>
    </row>
    <row r="33" spans="2:249" ht="23.25">
      <c r="B33" s="126" t="s">
        <v>33</v>
      </c>
      <c r="C33" s="129">
        <v>272.36514980553221</v>
      </c>
      <c r="D33" s="129" t="s">
        <v>193</v>
      </c>
      <c r="E33" s="129">
        <v>374.25504021119445</v>
      </c>
      <c r="F33" s="129" t="s">
        <v>193</v>
      </c>
      <c r="G33" s="129">
        <v>302.62029237197549</v>
      </c>
      <c r="H33" s="129" t="s">
        <v>193</v>
      </c>
      <c r="I33" s="129">
        <v>362.21945098836358</v>
      </c>
      <c r="J33" s="129" t="s">
        <v>193</v>
      </c>
      <c r="K33" s="129">
        <v>390.55216118166425</v>
      </c>
      <c r="L33" s="129" t="s">
        <v>193</v>
      </c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  <c r="BY33" s="137"/>
      <c r="BZ33" s="137"/>
      <c r="CA33" s="137"/>
      <c r="CB33" s="137"/>
      <c r="CC33" s="137"/>
      <c r="CD33" s="137"/>
      <c r="CE33" s="137"/>
      <c r="CF33" s="137"/>
      <c r="CG33" s="137"/>
      <c r="CH33" s="137"/>
      <c r="CI33" s="137"/>
      <c r="CJ33" s="137"/>
      <c r="CK33" s="137"/>
      <c r="CL33" s="137"/>
      <c r="CM33" s="137"/>
      <c r="CN33" s="137"/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7"/>
      <c r="DB33" s="137"/>
      <c r="DC33" s="137"/>
      <c r="DD33" s="137"/>
      <c r="DE33" s="137"/>
      <c r="DF33" s="137"/>
      <c r="DG33" s="137"/>
      <c r="DH33" s="137"/>
      <c r="DI33" s="137"/>
      <c r="DJ33" s="137"/>
      <c r="DK33" s="137"/>
      <c r="DL33" s="137"/>
      <c r="DM33" s="137"/>
      <c r="DN33" s="137"/>
      <c r="DO33" s="137"/>
      <c r="DP33" s="137"/>
      <c r="DQ33" s="137"/>
      <c r="DR33" s="137"/>
      <c r="DS33" s="137"/>
      <c r="DT33" s="137"/>
      <c r="DU33" s="137"/>
      <c r="DV33" s="137"/>
      <c r="DW33" s="137"/>
      <c r="DX33" s="137"/>
      <c r="DY33" s="137"/>
      <c r="DZ33" s="137"/>
      <c r="EA33" s="137"/>
      <c r="EB33" s="137"/>
      <c r="EC33" s="137"/>
      <c r="ED33" s="137"/>
      <c r="EE33" s="137"/>
      <c r="EF33" s="137"/>
      <c r="EG33" s="137"/>
      <c r="EH33" s="137"/>
      <c r="EI33" s="137"/>
      <c r="EJ33" s="137"/>
      <c r="EK33" s="137"/>
      <c r="EL33" s="137"/>
      <c r="EM33" s="137"/>
      <c r="EN33" s="137"/>
      <c r="EO33" s="137"/>
      <c r="EP33" s="137"/>
      <c r="EQ33" s="137"/>
      <c r="ER33" s="137"/>
      <c r="ES33" s="137"/>
      <c r="ET33" s="137"/>
      <c r="EU33" s="137"/>
      <c r="EV33" s="137"/>
      <c r="EW33" s="137"/>
      <c r="EX33" s="137"/>
      <c r="EY33" s="137"/>
      <c r="EZ33" s="137"/>
      <c r="FA33" s="137"/>
      <c r="FB33" s="137"/>
      <c r="FC33" s="137"/>
      <c r="FD33" s="137"/>
      <c r="FE33" s="137"/>
      <c r="FF33" s="137"/>
      <c r="FG33" s="137"/>
      <c r="FH33" s="137"/>
      <c r="FI33" s="137"/>
      <c r="FJ33" s="137"/>
      <c r="FK33" s="137"/>
      <c r="FL33" s="137"/>
      <c r="FM33" s="137"/>
      <c r="FN33" s="137"/>
      <c r="FO33" s="137"/>
      <c r="FP33" s="137"/>
      <c r="FQ33" s="137"/>
      <c r="FR33" s="137"/>
      <c r="FS33" s="137"/>
      <c r="FT33" s="137"/>
      <c r="FU33" s="137"/>
      <c r="FV33" s="1"/>
      <c r="FW33" s="73"/>
      <c r="FX33" s="1"/>
      <c r="FY33" s="110"/>
      <c r="FZ33" s="110"/>
      <c r="GA33" s="110"/>
      <c r="GB33" s="110"/>
      <c r="GC33" s="110"/>
      <c r="GD33" s="110"/>
      <c r="GE33" s="110"/>
      <c r="GF33" s="110"/>
      <c r="GG33" s="110"/>
      <c r="GH33" s="1"/>
      <c r="GI33" s="1"/>
      <c r="GJ33" s="1"/>
      <c r="GK33" s="1"/>
      <c r="GL33" s="1"/>
      <c r="GM33" s="1"/>
      <c r="GN33" s="1"/>
      <c r="GO33" s="1"/>
      <c r="GP33" s="1"/>
      <c r="GR33" s="1"/>
      <c r="GS33" s="85"/>
      <c r="GT33" s="85"/>
      <c r="GU33" s="85"/>
      <c r="GV33" s="68"/>
      <c r="GW33" s="1"/>
      <c r="GX33" s="16"/>
      <c r="GY33" s="16"/>
      <c r="GZ33" s="44"/>
      <c r="HA33" s="16"/>
      <c r="HB33" s="16"/>
      <c r="HC33" s="42"/>
      <c r="HD33" s="42"/>
      <c r="HE33" s="42"/>
      <c r="HF33" s="42"/>
      <c r="HG33" s="42"/>
      <c r="HH33" s="42"/>
      <c r="HI33" s="42"/>
      <c r="HJ33" s="42"/>
      <c r="HK33" s="42"/>
      <c r="HL33" s="16"/>
      <c r="HM33" s="27"/>
      <c r="HN33" s="27"/>
      <c r="HO33" s="27"/>
      <c r="HP33" s="27"/>
      <c r="HQ33" s="27"/>
      <c r="HR33" s="17"/>
      <c r="HS33" s="17"/>
      <c r="HT33" s="17"/>
      <c r="HU33" s="17"/>
      <c r="HV33" s="17"/>
      <c r="HW33" s="17"/>
      <c r="HX33" s="17"/>
      <c r="HY33" s="17"/>
      <c r="HZ33" s="17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</row>
    <row r="34" spans="2:249">
      <c r="B34" s="127" t="s">
        <v>34</v>
      </c>
      <c r="C34" s="128">
        <v>12664.979465957247</v>
      </c>
      <c r="D34" s="128" t="s">
        <v>4</v>
      </c>
      <c r="E34" s="128">
        <v>17215.731849714943</v>
      </c>
      <c r="F34" s="128" t="s">
        <v>4</v>
      </c>
      <c r="G34" s="128">
        <v>14525.774033854823</v>
      </c>
      <c r="H34" s="128" t="s">
        <v>4</v>
      </c>
      <c r="I34" s="128">
        <v>17520.143372935632</v>
      </c>
      <c r="J34" s="128" t="s">
        <v>4</v>
      </c>
      <c r="K34" s="128">
        <v>18160.675494947391</v>
      </c>
      <c r="L34" s="128" t="s">
        <v>4</v>
      </c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  <c r="CC34" s="137"/>
      <c r="CD34" s="137"/>
      <c r="CE34" s="137"/>
      <c r="CF34" s="137"/>
      <c r="CG34" s="137"/>
      <c r="CH34" s="137"/>
      <c r="CI34" s="137"/>
      <c r="CJ34" s="137"/>
      <c r="CK34" s="137"/>
      <c r="CL34" s="137"/>
      <c r="CM34" s="137"/>
      <c r="CN34" s="137"/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7"/>
      <c r="DB34" s="137"/>
      <c r="DC34" s="137"/>
      <c r="DD34" s="137"/>
      <c r="DE34" s="137"/>
      <c r="DF34" s="137"/>
      <c r="DG34" s="137"/>
      <c r="DH34" s="137"/>
      <c r="DI34" s="137"/>
      <c r="DJ34" s="137"/>
      <c r="DK34" s="137"/>
      <c r="DL34" s="137"/>
      <c r="DM34" s="137"/>
      <c r="DN34" s="137"/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37"/>
      <c r="DZ34" s="137"/>
      <c r="EA34" s="137"/>
      <c r="EB34" s="137"/>
      <c r="EC34" s="137"/>
      <c r="ED34" s="137"/>
      <c r="EE34" s="137"/>
      <c r="EF34" s="137"/>
      <c r="EG34" s="137"/>
      <c r="EH34" s="137"/>
      <c r="EI34" s="137"/>
      <c r="EJ34" s="137"/>
      <c r="EK34" s="137"/>
      <c r="EL34" s="137"/>
      <c r="EM34" s="137"/>
      <c r="EN34" s="137"/>
      <c r="EO34" s="137"/>
      <c r="EP34" s="137"/>
      <c r="EQ34" s="137"/>
      <c r="ER34" s="137"/>
      <c r="ES34" s="137"/>
      <c r="ET34" s="137"/>
      <c r="EU34" s="137"/>
      <c r="EV34" s="137"/>
      <c r="EW34" s="137"/>
      <c r="EX34" s="137"/>
      <c r="EY34" s="137"/>
      <c r="EZ34" s="137"/>
      <c r="FA34" s="137"/>
      <c r="FB34" s="137"/>
      <c r="FC34" s="137"/>
      <c r="FD34" s="137"/>
      <c r="FE34" s="137"/>
      <c r="FF34" s="137"/>
      <c r="FG34" s="137"/>
      <c r="FH34" s="137"/>
      <c r="FI34" s="137"/>
      <c r="FJ34" s="137"/>
      <c r="FK34" s="137"/>
      <c r="FL34" s="137"/>
      <c r="FM34" s="137"/>
      <c r="FN34" s="137"/>
      <c r="FO34" s="137"/>
      <c r="FP34" s="137"/>
      <c r="FQ34" s="137"/>
      <c r="FR34" s="137"/>
      <c r="FS34" s="137"/>
      <c r="FT34" s="137"/>
      <c r="FU34" s="137"/>
      <c r="FV34" s="1"/>
      <c r="FW34" s="73"/>
      <c r="FX34" s="1"/>
      <c r="FY34" s="110"/>
      <c r="FZ34" s="110"/>
      <c r="GA34" s="110"/>
      <c r="GB34" s="110"/>
      <c r="GC34" s="110"/>
      <c r="GD34" s="110"/>
      <c r="GE34" s="110"/>
      <c r="GF34" s="110"/>
      <c r="GG34" s="110"/>
      <c r="GH34" s="1"/>
      <c r="GI34" s="1"/>
      <c r="GJ34" s="1"/>
      <c r="GK34" s="1"/>
      <c r="GL34" s="1"/>
      <c r="GM34" s="1"/>
      <c r="GN34" s="1"/>
      <c r="GO34" s="1"/>
      <c r="GP34" s="1"/>
      <c r="GR34" s="1"/>
      <c r="GS34" s="85"/>
      <c r="GT34" s="85"/>
      <c r="GU34" s="85"/>
      <c r="GV34" s="68"/>
      <c r="GW34" s="1"/>
      <c r="GX34" s="16"/>
      <c r="GY34" s="16"/>
      <c r="GZ34" s="44"/>
      <c r="HA34" s="16"/>
      <c r="HB34" s="16"/>
      <c r="HC34" s="42"/>
      <c r="HD34" s="42"/>
      <c r="HE34" s="42"/>
      <c r="HF34" s="42"/>
      <c r="HG34" s="42"/>
      <c r="HH34" s="42"/>
      <c r="HI34" s="42"/>
      <c r="HJ34" s="42"/>
      <c r="HK34" s="42"/>
      <c r="HL34" s="16"/>
      <c r="HM34" s="27"/>
      <c r="HN34" s="27"/>
      <c r="HO34" s="27"/>
      <c r="HP34" s="27"/>
      <c r="HQ34" s="27"/>
      <c r="HR34" s="17"/>
      <c r="HS34" s="17"/>
      <c r="HT34" s="17"/>
      <c r="HU34" s="17"/>
      <c r="HV34" s="17"/>
      <c r="HW34" s="17"/>
      <c r="HX34" s="17"/>
      <c r="HY34" s="17"/>
      <c r="HZ34" s="17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</row>
    <row r="35" spans="2:249">
      <c r="B35" s="126" t="s">
        <v>35</v>
      </c>
      <c r="C35" s="129">
        <v>11651.781108680669</v>
      </c>
      <c r="D35" s="129" t="s">
        <v>4</v>
      </c>
      <c r="E35" s="129">
        <v>16699.259894223494</v>
      </c>
      <c r="F35" s="129" t="s">
        <v>4</v>
      </c>
      <c r="G35" s="129">
        <v>13654.227591823532</v>
      </c>
      <c r="H35" s="129" t="s">
        <v>4</v>
      </c>
      <c r="I35" s="129">
        <v>15943.420469371425</v>
      </c>
      <c r="J35" s="129" t="s">
        <v>4</v>
      </c>
      <c r="K35" s="129">
        <v>16889.428210301074</v>
      </c>
      <c r="L35" s="129" t="s">
        <v>4</v>
      </c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  <c r="CC35" s="137"/>
      <c r="CD35" s="137"/>
      <c r="CE35" s="137"/>
      <c r="CF35" s="137"/>
      <c r="CG35" s="137"/>
      <c r="CH35" s="137"/>
      <c r="CI35" s="137"/>
      <c r="CJ35" s="137"/>
      <c r="CK35" s="137"/>
      <c r="CL35" s="137"/>
      <c r="CM35" s="137"/>
      <c r="CN35" s="137"/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7"/>
      <c r="DB35" s="137"/>
      <c r="DC35" s="137"/>
      <c r="DD35" s="137"/>
      <c r="DE35" s="137"/>
      <c r="DF35" s="137"/>
      <c r="DG35" s="137"/>
      <c r="DH35" s="137"/>
      <c r="DI35" s="137"/>
      <c r="DJ35" s="137"/>
      <c r="DK35" s="137"/>
      <c r="DL35" s="137"/>
      <c r="DM35" s="137"/>
      <c r="DN35" s="137"/>
      <c r="DO35" s="137"/>
      <c r="DP35" s="137"/>
      <c r="DQ35" s="137"/>
      <c r="DR35" s="137"/>
      <c r="DS35" s="137"/>
      <c r="DT35" s="137"/>
      <c r="DU35" s="137"/>
      <c r="DV35" s="137"/>
      <c r="DW35" s="137"/>
      <c r="DX35" s="137"/>
      <c r="DY35" s="137"/>
      <c r="DZ35" s="137"/>
      <c r="EA35" s="137"/>
      <c r="EB35" s="137"/>
      <c r="EC35" s="137"/>
      <c r="ED35" s="137"/>
      <c r="EE35" s="137"/>
      <c r="EF35" s="137"/>
      <c r="EG35" s="137"/>
      <c r="EH35" s="137"/>
      <c r="EI35" s="137"/>
      <c r="EJ35" s="137"/>
      <c r="EK35" s="137"/>
      <c r="EL35" s="137"/>
      <c r="EM35" s="137"/>
      <c r="EN35" s="137"/>
      <c r="EO35" s="137"/>
      <c r="EP35" s="137"/>
      <c r="EQ35" s="137"/>
      <c r="ER35" s="137"/>
      <c r="ES35" s="137"/>
      <c r="ET35" s="137"/>
      <c r="EU35" s="137"/>
      <c r="EV35" s="137"/>
      <c r="EW35" s="137"/>
      <c r="EX35" s="137"/>
      <c r="EY35" s="137"/>
      <c r="EZ35" s="137"/>
      <c r="FA35" s="137"/>
      <c r="FB35" s="137"/>
      <c r="FC35" s="137"/>
      <c r="FD35" s="137"/>
      <c r="FE35" s="137"/>
      <c r="FF35" s="137"/>
      <c r="FG35" s="137"/>
      <c r="FH35" s="137"/>
      <c r="FI35" s="137"/>
      <c r="FJ35" s="137"/>
      <c r="FK35" s="137"/>
      <c r="FL35" s="137"/>
      <c r="FM35" s="137"/>
      <c r="FN35" s="137"/>
      <c r="FO35" s="137"/>
      <c r="FP35" s="137"/>
      <c r="FQ35" s="137"/>
      <c r="FR35" s="137"/>
      <c r="FS35" s="137"/>
      <c r="FT35" s="137"/>
      <c r="FU35" s="137"/>
      <c r="FV35" s="1"/>
      <c r="FW35" s="73"/>
      <c r="FX35" s="1"/>
      <c r="FY35" s="110"/>
      <c r="FZ35" s="110"/>
      <c r="GA35" s="110"/>
      <c r="GB35" s="110"/>
      <c r="GC35" s="110"/>
      <c r="GD35" s="110"/>
      <c r="GE35" s="110"/>
      <c r="GF35" s="110"/>
      <c r="GG35" s="110"/>
      <c r="GH35" s="1"/>
      <c r="GI35" s="1"/>
      <c r="GJ35" s="1"/>
      <c r="GK35" s="1"/>
      <c r="GL35" s="1"/>
      <c r="GM35" s="1"/>
      <c r="GN35" s="1"/>
      <c r="GO35" s="1"/>
      <c r="GP35" s="1"/>
      <c r="GR35" s="1"/>
      <c r="GS35" s="85"/>
      <c r="GT35" s="85"/>
      <c r="GU35" s="85"/>
      <c r="GV35" s="68"/>
      <c r="GW35" s="1"/>
      <c r="GX35" s="16"/>
      <c r="GY35" s="16"/>
      <c r="GZ35" s="44"/>
      <c r="HA35" s="16"/>
      <c r="HB35" s="16"/>
      <c r="HC35" s="42"/>
      <c r="HD35" s="42"/>
      <c r="HE35" s="42"/>
      <c r="HF35" s="42"/>
      <c r="HG35" s="42"/>
      <c r="HH35" s="42"/>
      <c r="HI35" s="42"/>
      <c r="HJ35" s="42"/>
      <c r="HK35" s="42"/>
      <c r="HL35" s="16"/>
      <c r="HM35" s="27"/>
      <c r="HN35" s="27"/>
      <c r="HO35" s="27"/>
      <c r="HP35" s="27"/>
      <c r="HQ35" s="27"/>
      <c r="HR35" s="17"/>
      <c r="HS35" s="17"/>
      <c r="HT35" s="17"/>
      <c r="HU35" s="17"/>
      <c r="HV35" s="17"/>
      <c r="HW35" s="17"/>
      <c r="HX35" s="17"/>
      <c r="HY35" s="17"/>
      <c r="HZ35" s="17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</row>
    <row r="36" spans="2:249" ht="23.25">
      <c r="B36" s="127" t="s">
        <v>36</v>
      </c>
      <c r="C36" s="128">
        <v>216.72312862146046</v>
      </c>
      <c r="D36" s="128" t="s">
        <v>193</v>
      </c>
      <c r="E36" s="128">
        <v>320.6257899690911</v>
      </c>
      <c r="F36" s="128" t="s">
        <v>193</v>
      </c>
      <c r="G36" s="128">
        <v>264.89201528137653</v>
      </c>
      <c r="H36" s="128" t="s">
        <v>193</v>
      </c>
      <c r="I36" s="128">
        <v>297.52902073030856</v>
      </c>
      <c r="J36" s="128" t="s">
        <v>193</v>
      </c>
      <c r="K36" s="128">
        <v>314.14336471159999</v>
      </c>
      <c r="L36" s="128" t="s">
        <v>193</v>
      </c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  <c r="CC36" s="137"/>
      <c r="CD36" s="137"/>
      <c r="CE36" s="137"/>
      <c r="CF36" s="137"/>
      <c r="CG36" s="137"/>
      <c r="CH36" s="137"/>
      <c r="CI36" s="137"/>
      <c r="CJ36" s="137"/>
      <c r="CK36" s="137"/>
      <c r="CL36" s="137"/>
      <c r="CM36" s="137"/>
      <c r="CN36" s="137"/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7"/>
      <c r="DB36" s="137"/>
      <c r="DC36" s="137"/>
      <c r="DD36" s="137"/>
      <c r="DE36" s="137"/>
      <c r="DF36" s="137"/>
      <c r="DG36" s="137"/>
      <c r="DH36" s="137"/>
      <c r="DI36" s="137"/>
      <c r="DJ36" s="137"/>
      <c r="DK36" s="137"/>
      <c r="DL36" s="137"/>
      <c r="DM36" s="137"/>
      <c r="DN36" s="137"/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37"/>
      <c r="DZ36" s="137"/>
      <c r="EA36" s="137"/>
      <c r="EB36" s="137"/>
      <c r="EC36" s="137"/>
      <c r="ED36" s="137"/>
      <c r="EE36" s="137"/>
      <c r="EF36" s="137"/>
      <c r="EG36" s="137"/>
      <c r="EH36" s="137"/>
      <c r="EI36" s="137"/>
      <c r="EJ36" s="137"/>
      <c r="EK36" s="137"/>
      <c r="EL36" s="137"/>
      <c r="EM36" s="137"/>
      <c r="EN36" s="137"/>
      <c r="EO36" s="137"/>
      <c r="EP36" s="137"/>
      <c r="EQ36" s="137"/>
      <c r="ER36" s="137"/>
      <c r="ES36" s="137"/>
      <c r="ET36" s="137"/>
      <c r="EU36" s="137"/>
      <c r="EV36" s="137"/>
      <c r="EW36" s="137"/>
      <c r="EX36" s="137"/>
      <c r="EY36" s="137"/>
      <c r="EZ36" s="137"/>
      <c r="FA36" s="137"/>
      <c r="FB36" s="137"/>
      <c r="FC36" s="137"/>
      <c r="FD36" s="137"/>
      <c r="FE36" s="137"/>
      <c r="FF36" s="137"/>
      <c r="FG36" s="137"/>
      <c r="FH36" s="137"/>
      <c r="FI36" s="137"/>
      <c r="FJ36" s="137"/>
      <c r="FK36" s="137"/>
      <c r="FL36" s="137"/>
      <c r="FM36" s="137"/>
      <c r="FN36" s="137"/>
      <c r="FO36" s="137"/>
      <c r="FP36" s="137"/>
      <c r="FQ36" s="137"/>
      <c r="FR36" s="137"/>
      <c r="FS36" s="137"/>
      <c r="FT36" s="137"/>
      <c r="FU36" s="137"/>
      <c r="FV36" s="1"/>
      <c r="FW36" s="73"/>
      <c r="FX36" s="1"/>
      <c r="FY36" s="110"/>
      <c r="FZ36" s="110"/>
      <c r="GA36" s="110"/>
      <c r="GB36" s="110"/>
      <c r="GC36" s="110"/>
      <c r="GD36" s="110"/>
      <c r="GE36" s="110"/>
      <c r="GF36" s="110"/>
      <c r="GG36" s="110"/>
      <c r="GH36" s="1"/>
      <c r="GI36" s="1"/>
      <c r="GJ36" s="1"/>
      <c r="GK36" s="1"/>
      <c r="GL36" s="1"/>
      <c r="GM36" s="1"/>
      <c r="GN36" s="1"/>
      <c r="GO36" s="1"/>
      <c r="GP36" s="1"/>
      <c r="GR36" s="1"/>
      <c r="GS36" s="85"/>
      <c r="GT36" s="85"/>
      <c r="GU36" s="85"/>
      <c r="GV36" s="68"/>
      <c r="GW36" s="1"/>
      <c r="GX36" s="16"/>
      <c r="GY36" s="16"/>
      <c r="GZ36" s="44"/>
      <c r="HA36" s="16"/>
      <c r="HB36" s="16"/>
      <c r="HC36" s="42"/>
      <c r="HD36" s="42"/>
      <c r="HE36" s="42"/>
      <c r="HF36" s="42"/>
      <c r="HG36" s="42"/>
      <c r="HH36" s="42"/>
      <c r="HI36" s="42"/>
      <c r="HJ36" s="42"/>
      <c r="HK36" s="42"/>
      <c r="HL36" s="16"/>
      <c r="HM36" s="27"/>
      <c r="HN36" s="27"/>
      <c r="HO36" s="27"/>
      <c r="HP36" s="27"/>
      <c r="HQ36" s="27"/>
      <c r="HR36" s="17"/>
      <c r="HS36" s="17"/>
      <c r="HT36" s="17"/>
      <c r="HU36" s="17"/>
      <c r="HV36" s="17"/>
      <c r="HW36" s="17"/>
      <c r="HX36" s="17"/>
      <c r="HY36" s="17"/>
      <c r="HZ36" s="17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</row>
    <row r="37" spans="2:249" ht="23.25">
      <c r="B37" s="126" t="s">
        <v>37</v>
      </c>
      <c r="C37" s="129">
        <v>195.05081575931442</v>
      </c>
      <c r="D37" s="129" t="s">
        <v>193</v>
      </c>
      <c r="E37" s="129">
        <v>307.80075837032751</v>
      </c>
      <c r="F37" s="129" t="s">
        <v>193</v>
      </c>
      <c r="G37" s="129">
        <v>246.34957421168016</v>
      </c>
      <c r="H37" s="129" t="s">
        <v>193</v>
      </c>
      <c r="I37" s="129">
        <v>279.73727948649002</v>
      </c>
      <c r="J37" s="129" t="s">
        <v>193</v>
      </c>
      <c r="K37" s="129">
        <v>289.01189553467196</v>
      </c>
      <c r="L37" s="129" t="s">
        <v>193</v>
      </c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  <c r="CC37" s="137"/>
      <c r="CD37" s="137"/>
      <c r="CE37" s="137"/>
      <c r="CF37" s="137"/>
      <c r="CG37" s="137"/>
      <c r="CH37" s="137"/>
      <c r="CI37" s="137"/>
      <c r="CJ37" s="137"/>
      <c r="CK37" s="137"/>
      <c r="CL37" s="137"/>
      <c r="CM37" s="137"/>
      <c r="CN37" s="137"/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7"/>
      <c r="DB37" s="137"/>
      <c r="DC37" s="137"/>
      <c r="DD37" s="137"/>
      <c r="DE37" s="137"/>
      <c r="DF37" s="137"/>
      <c r="DG37" s="137"/>
      <c r="DH37" s="137"/>
      <c r="DI37" s="137"/>
      <c r="DJ37" s="137"/>
      <c r="DK37" s="137"/>
      <c r="DL37" s="137"/>
      <c r="DM37" s="137"/>
      <c r="DN37" s="137"/>
      <c r="DO37" s="137"/>
      <c r="DP37" s="137"/>
      <c r="DQ37" s="137"/>
      <c r="DR37" s="137"/>
      <c r="DS37" s="137"/>
      <c r="DT37" s="137"/>
      <c r="DU37" s="137"/>
      <c r="DV37" s="137"/>
      <c r="DW37" s="137"/>
      <c r="DX37" s="137"/>
      <c r="DY37" s="137"/>
      <c r="DZ37" s="137"/>
      <c r="EA37" s="137"/>
      <c r="EB37" s="137"/>
      <c r="EC37" s="137"/>
      <c r="ED37" s="137"/>
      <c r="EE37" s="137"/>
      <c r="EF37" s="137"/>
      <c r="EG37" s="137"/>
      <c r="EH37" s="137"/>
      <c r="EI37" s="137"/>
      <c r="EJ37" s="137"/>
      <c r="EK37" s="137"/>
      <c r="EL37" s="137"/>
      <c r="EM37" s="137"/>
      <c r="EN37" s="137"/>
      <c r="EO37" s="137"/>
      <c r="EP37" s="137"/>
      <c r="EQ37" s="137"/>
      <c r="ER37" s="137"/>
      <c r="ES37" s="137"/>
      <c r="ET37" s="137"/>
      <c r="EU37" s="137"/>
      <c r="EV37" s="137"/>
      <c r="EW37" s="137"/>
      <c r="EX37" s="137"/>
      <c r="EY37" s="137"/>
      <c r="EZ37" s="137"/>
      <c r="FA37" s="137"/>
      <c r="FB37" s="137"/>
      <c r="FC37" s="137"/>
      <c r="FD37" s="137"/>
      <c r="FE37" s="137"/>
      <c r="FF37" s="137"/>
      <c r="FG37" s="137"/>
      <c r="FH37" s="137"/>
      <c r="FI37" s="137"/>
      <c r="FJ37" s="137"/>
      <c r="FK37" s="137"/>
      <c r="FL37" s="137"/>
      <c r="FM37" s="137"/>
      <c r="FN37" s="137"/>
      <c r="FO37" s="137"/>
      <c r="FP37" s="137"/>
      <c r="FQ37" s="137"/>
      <c r="FR37" s="137"/>
      <c r="FS37" s="137"/>
      <c r="FT37" s="137"/>
      <c r="FU37" s="137"/>
      <c r="FV37" s="1"/>
      <c r="FW37" s="73"/>
      <c r="FX37" s="1"/>
      <c r="FY37" s="110"/>
      <c r="FZ37" s="110"/>
      <c r="GA37" s="110"/>
      <c r="GB37" s="110"/>
      <c r="GC37" s="110"/>
      <c r="GD37" s="110"/>
      <c r="GE37" s="110"/>
      <c r="GF37" s="110"/>
      <c r="GG37" s="110"/>
      <c r="GH37" s="1"/>
      <c r="GI37" s="1"/>
      <c r="GJ37" s="1"/>
      <c r="GK37" s="1"/>
      <c r="GL37" s="1"/>
      <c r="GM37" s="1"/>
      <c r="GN37" s="1"/>
      <c r="GO37" s="1"/>
      <c r="GP37" s="1"/>
      <c r="GR37" s="1"/>
      <c r="GS37" s="85"/>
      <c r="GT37" s="85"/>
      <c r="GU37" s="85"/>
      <c r="GV37" s="68"/>
      <c r="GW37" s="1"/>
      <c r="GX37" s="16"/>
      <c r="GY37" s="16"/>
      <c r="GZ37" s="44"/>
      <c r="HA37" s="16"/>
      <c r="HB37" s="16"/>
      <c r="HC37" s="42"/>
      <c r="HD37" s="42"/>
      <c r="HE37" s="42"/>
      <c r="HF37" s="42"/>
      <c r="HG37" s="42"/>
      <c r="HH37" s="42"/>
      <c r="HI37" s="42"/>
      <c r="HJ37" s="42"/>
      <c r="HK37" s="42"/>
      <c r="HL37" s="16"/>
      <c r="HM37" s="27"/>
      <c r="HN37" s="27"/>
      <c r="HO37" s="27"/>
      <c r="HP37" s="27"/>
      <c r="HQ37" s="27"/>
      <c r="HR37" s="17"/>
      <c r="HS37" s="17"/>
      <c r="HT37" s="17"/>
      <c r="HU37" s="17"/>
      <c r="HV37" s="17"/>
      <c r="HW37" s="17"/>
      <c r="HX37" s="17"/>
      <c r="HY37" s="17"/>
      <c r="HZ37" s="17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</row>
    <row r="38" spans="2:249" ht="23.25">
      <c r="B38" s="127" t="s">
        <v>38</v>
      </c>
      <c r="C38" s="128">
        <v>187.24878312894188</v>
      </c>
      <c r="D38" s="128" t="s">
        <v>193</v>
      </c>
      <c r="E38" s="128">
        <v>295.48872803551438</v>
      </c>
      <c r="F38" s="128" t="s">
        <v>193</v>
      </c>
      <c r="G38" s="128">
        <v>221.71461679051217</v>
      </c>
      <c r="H38" s="128" t="s">
        <v>193</v>
      </c>
      <c r="I38" s="128">
        <v>263.01304271730061</v>
      </c>
      <c r="J38" s="128" t="s">
        <v>193</v>
      </c>
      <c r="K38" s="128">
        <v>265.89094389189819</v>
      </c>
      <c r="L38" s="128" t="s">
        <v>193</v>
      </c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  <c r="CC38" s="137"/>
      <c r="CD38" s="137"/>
      <c r="CE38" s="137"/>
      <c r="CF38" s="137"/>
      <c r="CG38" s="137"/>
      <c r="CH38" s="137"/>
      <c r="CI38" s="137"/>
      <c r="CJ38" s="137"/>
      <c r="CK38" s="137"/>
      <c r="CL38" s="137"/>
      <c r="CM38" s="137"/>
      <c r="CN38" s="137"/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7"/>
      <c r="DB38" s="137"/>
      <c r="DC38" s="137"/>
      <c r="DD38" s="137"/>
      <c r="DE38" s="137"/>
      <c r="DF38" s="137"/>
      <c r="DG38" s="137"/>
      <c r="DH38" s="137"/>
      <c r="DI38" s="137"/>
      <c r="DJ38" s="137"/>
      <c r="DK38" s="137"/>
      <c r="DL38" s="137"/>
      <c r="DM38" s="137"/>
      <c r="DN38" s="137"/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37"/>
      <c r="DZ38" s="137"/>
      <c r="EA38" s="137"/>
      <c r="EB38" s="137"/>
      <c r="EC38" s="137"/>
      <c r="ED38" s="137"/>
      <c r="EE38" s="137"/>
      <c r="EF38" s="137"/>
      <c r="EG38" s="137"/>
      <c r="EH38" s="137"/>
      <c r="EI38" s="137"/>
      <c r="EJ38" s="137"/>
      <c r="EK38" s="137"/>
      <c r="EL38" s="137"/>
      <c r="EM38" s="137"/>
      <c r="EN38" s="137"/>
      <c r="EO38" s="137"/>
      <c r="EP38" s="137"/>
      <c r="EQ38" s="137"/>
      <c r="ER38" s="137"/>
      <c r="ES38" s="137"/>
      <c r="ET38" s="137"/>
      <c r="EU38" s="137"/>
      <c r="EV38" s="137"/>
      <c r="EW38" s="137"/>
      <c r="EX38" s="137"/>
      <c r="EY38" s="137"/>
      <c r="EZ38" s="137"/>
      <c r="FA38" s="137"/>
      <c r="FB38" s="137"/>
      <c r="FC38" s="137"/>
      <c r="FD38" s="137"/>
      <c r="FE38" s="137"/>
      <c r="FF38" s="137"/>
      <c r="FG38" s="137"/>
      <c r="FH38" s="137"/>
      <c r="FI38" s="137"/>
      <c r="FJ38" s="137"/>
      <c r="FK38" s="137"/>
      <c r="FL38" s="137"/>
      <c r="FM38" s="137"/>
      <c r="FN38" s="137"/>
      <c r="FO38" s="137"/>
      <c r="FP38" s="137"/>
      <c r="FQ38" s="137"/>
      <c r="FR38" s="137"/>
      <c r="FS38" s="137"/>
      <c r="FT38" s="137"/>
      <c r="FU38" s="137"/>
      <c r="FV38" s="1"/>
      <c r="FW38" s="73"/>
      <c r="FX38" s="1"/>
      <c r="FY38" s="110"/>
      <c r="FZ38" s="110"/>
      <c r="GA38" s="110"/>
      <c r="GB38" s="110"/>
      <c r="GC38" s="110"/>
      <c r="GD38" s="110"/>
      <c r="GE38" s="110"/>
      <c r="GF38" s="110"/>
      <c r="GG38" s="110"/>
      <c r="GH38" s="1"/>
      <c r="GI38" s="1"/>
      <c r="GJ38" s="1"/>
      <c r="GK38" s="1"/>
      <c r="GL38" s="1"/>
      <c r="GM38" s="1"/>
      <c r="GN38" s="1"/>
      <c r="GO38" s="1"/>
      <c r="GP38" s="1"/>
      <c r="GR38" s="1"/>
      <c r="GS38" s="85"/>
      <c r="GT38" s="85"/>
      <c r="GU38" s="85"/>
      <c r="GV38" s="68"/>
      <c r="GW38" s="1"/>
      <c r="GX38" s="16"/>
      <c r="GY38" s="16"/>
      <c r="GZ38" s="44"/>
      <c r="HA38" s="16"/>
      <c r="HB38" s="16"/>
      <c r="HC38" s="42"/>
      <c r="HD38" s="42"/>
      <c r="HE38" s="42"/>
      <c r="HF38" s="42"/>
      <c r="HG38" s="42"/>
      <c r="HH38" s="42"/>
      <c r="HI38" s="42"/>
      <c r="HJ38" s="42"/>
      <c r="HK38" s="42"/>
      <c r="HL38" s="16"/>
      <c r="HM38" s="27"/>
      <c r="HN38" s="27"/>
      <c r="HO38" s="27"/>
      <c r="HP38" s="27"/>
      <c r="HQ38" s="27"/>
      <c r="HR38" s="17"/>
      <c r="HS38" s="17"/>
      <c r="HT38" s="17"/>
      <c r="HU38" s="17"/>
      <c r="HV38" s="17"/>
      <c r="HW38" s="17"/>
      <c r="HX38" s="17"/>
      <c r="HY38" s="17"/>
      <c r="HZ38" s="17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</row>
    <row r="39" spans="2:249">
      <c r="B39" s="126" t="s">
        <v>39</v>
      </c>
      <c r="C39" s="129">
        <v>8519.8196323668544</v>
      </c>
      <c r="D39" s="129" t="s">
        <v>4</v>
      </c>
      <c r="E39" s="129">
        <v>13296.992761598149</v>
      </c>
      <c r="F39" s="129" t="s">
        <v>4</v>
      </c>
      <c r="G39" s="129">
        <v>10420.586989154071</v>
      </c>
      <c r="H39" s="129" t="s">
        <v>4</v>
      </c>
      <c r="I39" s="129">
        <v>12315.613007713129</v>
      </c>
      <c r="J39" s="129" t="s">
        <v>4</v>
      </c>
      <c r="K39" s="129">
        <v>12496.874362919216</v>
      </c>
      <c r="L39" s="129" t="s">
        <v>4</v>
      </c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  <c r="CC39" s="137"/>
      <c r="CD39" s="137"/>
      <c r="CE39" s="137"/>
      <c r="CF39" s="137"/>
      <c r="CG39" s="137"/>
      <c r="CH39" s="137"/>
      <c r="CI39" s="137"/>
      <c r="CJ39" s="137"/>
      <c r="CK39" s="137"/>
      <c r="CL39" s="137"/>
      <c r="CM39" s="137"/>
      <c r="CN39" s="137"/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7"/>
      <c r="DB39" s="137"/>
      <c r="DC39" s="137"/>
      <c r="DD39" s="137"/>
      <c r="DE39" s="137"/>
      <c r="DF39" s="137"/>
      <c r="DG39" s="137"/>
      <c r="DH39" s="137"/>
      <c r="DI39" s="137"/>
      <c r="DJ39" s="137"/>
      <c r="DK39" s="137"/>
      <c r="DL39" s="137"/>
      <c r="DM39" s="137"/>
      <c r="DN39" s="137"/>
      <c r="DO39" s="137"/>
      <c r="DP39" s="137"/>
      <c r="DQ39" s="137"/>
      <c r="DR39" s="137"/>
      <c r="DS39" s="137"/>
      <c r="DT39" s="137"/>
      <c r="DU39" s="137"/>
      <c r="DV39" s="137"/>
      <c r="DW39" s="137"/>
      <c r="DX39" s="137"/>
      <c r="DY39" s="137"/>
      <c r="DZ39" s="137"/>
      <c r="EA39" s="137"/>
      <c r="EB39" s="137"/>
      <c r="EC39" s="137"/>
      <c r="ED39" s="137"/>
      <c r="EE39" s="137"/>
      <c r="EF39" s="137"/>
      <c r="EG39" s="137"/>
      <c r="EH39" s="137"/>
      <c r="EI39" s="137"/>
      <c r="EJ39" s="137"/>
      <c r="EK39" s="137"/>
      <c r="EL39" s="137"/>
      <c r="EM39" s="137"/>
      <c r="EN39" s="137"/>
      <c r="EO39" s="137"/>
      <c r="EP39" s="137"/>
      <c r="EQ39" s="137"/>
      <c r="ER39" s="137"/>
      <c r="ES39" s="137"/>
      <c r="ET39" s="137"/>
      <c r="EU39" s="137"/>
      <c r="EV39" s="137"/>
      <c r="EW39" s="137"/>
      <c r="EX39" s="137"/>
      <c r="EY39" s="137"/>
      <c r="EZ39" s="137"/>
      <c r="FA39" s="137"/>
      <c r="FB39" s="137"/>
      <c r="FC39" s="137"/>
      <c r="FD39" s="137"/>
      <c r="FE39" s="137"/>
      <c r="FF39" s="137"/>
      <c r="FG39" s="137"/>
      <c r="FH39" s="137"/>
      <c r="FI39" s="137"/>
      <c r="FJ39" s="137"/>
      <c r="FK39" s="137"/>
      <c r="FL39" s="137"/>
      <c r="FM39" s="137"/>
      <c r="FN39" s="137"/>
      <c r="FO39" s="137"/>
      <c r="FP39" s="137"/>
      <c r="FQ39" s="137"/>
      <c r="FR39" s="137"/>
      <c r="FS39" s="137"/>
      <c r="FT39" s="137"/>
      <c r="FU39" s="137"/>
      <c r="FV39" s="1"/>
      <c r="FW39" s="73"/>
      <c r="FX39" s="1"/>
      <c r="FY39" s="110"/>
      <c r="FZ39" s="110"/>
      <c r="GA39" s="110"/>
      <c r="GB39" s="110"/>
      <c r="GC39" s="110"/>
      <c r="GD39" s="110"/>
      <c r="GE39" s="110"/>
      <c r="GF39" s="110"/>
      <c r="GG39" s="110"/>
      <c r="GH39" s="1"/>
      <c r="GI39" s="1"/>
      <c r="GJ39" s="1"/>
      <c r="GK39" s="1"/>
      <c r="GL39" s="1"/>
      <c r="GM39" s="1"/>
      <c r="GN39" s="1"/>
      <c r="GO39" s="1"/>
      <c r="GP39" s="1"/>
      <c r="GR39" s="1"/>
      <c r="GS39" s="85"/>
      <c r="GT39" s="3"/>
      <c r="GU39" s="85"/>
      <c r="GV39" s="68"/>
      <c r="GW39" s="1"/>
      <c r="GX39" s="16"/>
      <c r="GY39" s="16"/>
      <c r="GZ39" s="44"/>
      <c r="HA39" s="16"/>
      <c r="HB39" s="16"/>
      <c r="HC39" s="42"/>
      <c r="HD39" s="42"/>
      <c r="HE39" s="42"/>
      <c r="HF39" s="42"/>
      <c r="HG39" s="42"/>
      <c r="HH39" s="42"/>
      <c r="HI39" s="42"/>
      <c r="HJ39" s="42"/>
      <c r="HK39" s="42"/>
      <c r="HL39" s="16"/>
      <c r="HM39" s="27"/>
      <c r="HN39" s="27"/>
      <c r="HO39" s="27"/>
      <c r="HP39" s="27"/>
      <c r="HQ39" s="27"/>
      <c r="HR39" s="17"/>
      <c r="HS39" s="17"/>
      <c r="HT39" s="17"/>
      <c r="HU39" s="17"/>
      <c r="HV39" s="17"/>
      <c r="HW39" s="17"/>
      <c r="HX39" s="17"/>
      <c r="HY39" s="17"/>
      <c r="HZ39" s="17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</row>
    <row r="40" spans="2:249" ht="23.25">
      <c r="B40" s="127" t="s">
        <v>40</v>
      </c>
      <c r="C40" s="128">
        <v>153.35675338260339</v>
      </c>
      <c r="D40" s="128" t="s">
        <v>193</v>
      </c>
      <c r="E40" s="128">
        <v>249.9834639180452</v>
      </c>
      <c r="F40" s="128" t="s">
        <v>193</v>
      </c>
      <c r="G40" s="128">
        <v>195.90703539609655</v>
      </c>
      <c r="H40" s="128" t="s">
        <v>193</v>
      </c>
      <c r="I40" s="128">
        <v>239.90349234963469</v>
      </c>
      <c r="J40" s="128" t="s">
        <v>193</v>
      </c>
      <c r="K40" s="128">
        <v>234.94123802288129</v>
      </c>
      <c r="L40" s="128" t="s">
        <v>193</v>
      </c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7"/>
      <c r="CD40" s="137"/>
      <c r="CE40" s="137"/>
      <c r="CF40" s="137"/>
      <c r="CG40" s="137"/>
      <c r="CH40" s="137"/>
      <c r="CI40" s="137"/>
      <c r="CJ40" s="137"/>
      <c r="CK40" s="137"/>
      <c r="CL40" s="137"/>
      <c r="CM40" s="137"/>
      <c r="CN40" s="137"/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7"/>
      <c r="DB40" s="137"/>
      <c r="DC40" s="137"/>
      <c r="DD40" s="137"/>
      <c r="DE40" s="137"/>
      <c r="DF40" s="137"/>
      <c r="DG40" s="137"/>
      <c r="DH40" s="137"/>
      <c r="DI40" s="137"/>
      <c r="DJ40" s="137"/>
      <c r="DK40" s="137"/>
      <c r="DL40" s="137"/>
      <c r="DM40" s="137"/>
      <c r="DN40" s="137"/>
      <c r="DO40" s="137"/>
      <c r="DP40" s="137"/>
      <c r="DQ40" s="137"/>
      <c r="DR40" s="137"/>
      <c r="DS40" s="137"/>
      <c r="DT40" s="137"/>
      <c r="DU40" s="137"/>
      <c r="DV40" s="137"/>
      <c r="DW40" s="137"/>
      <c r="DX40" s="137"/>
      <c r="DY40" s="137"/>
      <c r="DZ40" s="137"/>
      <c r="EA40" s="137"/>
      <c r="EB40" s="137"/>
      <c r="EC40" s="137"/>
      <c r="ED40" s="137"/>
      <c r="EE40" s="137"/>
      <c r="EF40" s="137"/>
      <c r="EG40" s="137"/>
      <c r="EH40" s="137"/>
      <c r="EI40" s="137"/>
      <c r="EJ40" s="137"/>
      <c r="EK40" s="137"/>
      <c r="EL40" s="137"/>
      <c r="EM40" s="137"/>
      <c r="EN40" s="137"/>
      <c r="EO40" s="137"/>
      <c r="EP40" s="137"/>
      <c r="EQ40" s="137"/>
      <c r="ER40" s="137"/>
      <c r="ES40" s="137"/>
      <c r="ET40" s="137"/>
      <c r="EU40" s="137"/>
      <c r="EV40" s="137"/>
      <c r="EW40" s="137"/>
      <c r="EX40" s="137"/>
      <c r="EY40" s="137"/>
      <c r="EZ40" s="137"/>
      <c r="FA40" s="137"/>
      <c r="FB40" s="137"/>
      <c r="FC40" s="137"/>
      <c r="FD40" s="137"/>
      <c r="FE40" s="137"/>
      <c r="FF40" s="137"/>
      <c r="FG40" s="137"/>
      <c r="FH40" s="137"/>
      <c r="FI40" s="137"/>
      <c r="FJ40" s="137"/>
      <c r="FK40" s="137"/>
      <c r="FL40" s="137"/>
      <c r="FM40" s="137"/>
      <c r="FN40" s="137"/>
      <c r="FO40" s="137"/>
      <c r="FP40" s="137"/>
      <c r="FQ40" s="137"/>
      <c r="FR40" s="137"/>
      <c r="FS40" s="137"/>
      <c r="FT40" s="137"/>
      <c r="FU40" s="137"/>
      <c r="FV40" s="1"/>
      <c r="FW40" s="102"/>
      <c r="FX40" s="98"/>
      <c r="FY40" s="105"/>
      <c r="FZ40" s="105"/>
      <c r="GA40" s="105"/>
      <c r="GB40" s="105"/>
      <c r="GC40" s="105"/>
      <c r="GD40" s="105"/>
      <c r="GE40" s="105"/>
      <c r="GF40" s="105"/>
      <c r="GG40" s="105"/>
      <c r="GH40" s="1"/>
      <c r="GI40" s="1"/>
      <c r="GJ40" s="1"/>
      <c r="GK40" s="1"/>
      <c r="GL40" s="1"/>
      <c r="GM40" s="1"/>
      <c r="GN40" s="1"/>
      <c r="GO40" s="1"/>
      <c r="GP40" s="1"/>
      <c r="GR40" s="1"/>
      <c r="GS40" s="85"/>
      <c r="GT40" s="85"/>
      <c r="GU40" s="85"/>
      <c r="GV40" s="68"/>
      <c r="GW40" s="1"/>
      <c r="GX40" s="16"/>
      <c r="GY40" s="16"/>
      <c r="GZ40" s="44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27"/>
      <c r="HN40" s="27"/>
      <c r="HO40" s="2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</row>
    <row r="41" spans="2:249">
      <c r="B41" s="126" t="s">
        <v>41</v>
      </c>
      <c r="C41" s="130">
        <v>6977.7322789084537</v>
      </c>
      <c r="D41" s="130" t="s">
        <v>4</v>
      </c>
      <c r="E41" s="130">
        <v>11999.206268066169</v>
      </c>
      <c r="F41" s="130" t="s">
        <v>4</v>
      </c>
      <c r="G41" s="130">
        <v>9207.6306636165373</v>
      </c>
      <c r="H41" s="130" t="s">
        <v>4</v>
      </c>
      <c r="I41" s="130">
        <v>10871.108901908377</v>
      </c>
      <c r="J41" s="130" t="s">
        <v>4</v>
      </c>
      <c r="K41" s="130">
        <v>10572.355711029659</v>
      </c>
      <c r="L41" s="130" t="s">
        <v>4</v>
      </c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  <c r="CC41" s="137"/>
      <c r="CD41" s="137"/>
      <c r="CE41" s="137"/>
      <c r="CF41" s="137"/>
      <c r="CG41" s="137"/>
      <c r="CH41" s="137"/>
      <c r="CI41" s="137"/>
      <c r="CJ41" s="137"/>
      <c r="CK41" s="137"/>
      <c r="CL41" s="137"/>
      <c r="CM41" s="137"/>
      <c r="CN41" s="137"/>
      <c r="CO41" s="137"/>
      <c r="CP41" s="137"/>
      <c r="CQ41" s="137"/>
      <c r="CR41" s="137"/>
      <c r="CS41" s="137"/>
      <c r="CT41" s="137"/>
      <c r="CU41" s="137"/>
      <c r="CV41" s="137"/>
      <c r="CW41" s="137"/>
      <c r="CX41" s="137"/>
      <c r="CY41" s="137"/>
      <c r="CZ41" s="137"/>
      <c r="DA41" s="137"/>
      <c r="DB41" s="137"/>
      <c r="DC41" s="137"/>
      <c r="DD41" s="137"/>
      <c r="DE41" s="137"/>
      <c r="DF41" s="137"/>
      <c r="DG41" s="137"/>
      <c r="DH41" s="137"/>
      <c r="DI41" s="137"/>
      <c r="DJ41" s="137"/>
      <c r="DK41" s="137"/>
      <c r="DL41" s="137"/>
      <c r="DM41" s="137"/>
      <c r="DN41" s="137"/>
      <c r="DO41" s="137"/>
      <c r="DP41" s="137"/>
      <c r="DQ41" s="137"/>
      <c r="DR41" s="137"/>
      <c r="DS41" s="137"/>
      <c r="DT41" s="137"/>
      <c r="DU41" s="137"/>
      <c r="DV41" s="137"/>
      <c r="DW41" s="137"/>
      <c r="DX41" s="137"/>
      <c r="DY41" s="137"/>
      <c r="DZ41" s="137"/>
      <c r="EA41" s="137"/>
      <c r="EB41" s="137"/>
      <c r="EC41" s="137"/>
      <c r="ED41" s="137"/>
      <c r="EE41" s="137"/>
      <c r="EF41" s="137"/>
      <c r="EG41" s="137"/>
      <c r="EH41" s="137"/>
      <c r="EI41" s="137"/>
      <c r="EJ41" s="137"/>
      <c r="EK41" s="137"/>
      <c r="EL41" s="137"/>
      <c r="EM41" s="137"/>
      <c r="EN41" s="137"/>
      <c r="EO41" s="137"/>
      <c r="EP41" s="137"/>
      <c r="EQ41" s="137"/>
      <c r="ER41" s="137"/>
      <c r="ES41" s="137"/>
      <c r="ET41" s="137"/>
      <c r="EU41" s="137"/>
      <c r="EV41" s="137"/>
      <c r="EW41" s="137"/>
      <c r="EX41" s="137"/>
      <c r="EY41" s="137"/>
      <c r="EZ41" s="137"/>
      <c r="FA41" s="137"/>
      <c r="FB41" s="137"/>
      <c r="FC41" s="137"/>
      <c r="FD41" s="137"/>
      <c r="FE41" s="137"/>
      <c r="FF41" s="137"/>
      <c r="FG41" s="137"/>
      <c r="FH41" s="137"/>
      <c r="FI41" s="137"/>
      <c r="FJ41" s="137"/>
      <c r="FK41" s="137"/>
      <c r="FL41" s="137"/>
      <c r="FM41" s="137"/>
      <c r="FN41" s="137"/>
      <c r="FO41" s="137"/>
      <c r="FP41" s="137"/>
      <c r="FQ41" s="137"/>
      <c r="FR41" s="137"/>
      <c r="FS41" s="137"/>
      <c r="FT41" s="137"/>
      <c r="FU41" s="137"/>
      <c r="FV41" s="1"/>
      <c r="FW41" s="95"/>
      <c r="FX41" s="85"/>
      <c r="FY41" s="105"/>
      <c r="FZ41" s="105"/>
      <c r="GA41" s="105"/>
      <c r="GB41" s="105"/>
      <c r="GC41" s="105"/>
      <c r="GD41" s="105"/>
      <c r="GE41" s="105"/>
      <c r="GF41" s="105"/>
      <c r="GG41" s="105"/>
      <c r="GH41" s="1"/>
      <c r="GI41" s="1"/>
      <c r="GJ41" s="1"/>
      <c r="GK41" s="1"/>
      <c r="GL41" s="1"/>
      <c r="GM41" s="1"/>
      <c r="GN41" s="1"/>
      <c r="GO41" s="1"/>
      <c r="GP41" s="1"/>
      <c r="GR41" s="1"/>
      <c r="GS41" s="85"/>
      <c r="GT41" s="85"/>
      <c r="GU41" s="85"/>
      <c r="GV41" s="68"/>
      <c r="GW41" s="1"/>
      <c r="GX41" s="16"/>
      <c r="GY41" s="16"/>
      <c r="GZ41" s="44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27"/>
      <c r="HN41" s="27"/>
      <c r="HO41" s="2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</row>
    <row r="42" spans="2:249">
      <c r="B42" s="127" t="s">
        <v>42</v>
      </c>
      <c r="C42" s="128">
        <v>6768.4003105412003</v>
      </c>
      <c r="D42" s="128" t="s">
        <v>4</v>
      </c>
      <c r="E42" s="128">
        <v>11039.269766620875</v>
      </c>
      <c r="F42" s="128" t="s">
        <v>4</v>
      </c>
      <c r="G42" s="128">
        <v>8286.8675972548845</v>
      </c>
      <c r="H42" s="128" t="s">
        <v>4</v>
      </c>
      <c r="I42" s="128">
        <v>10545.005634851124</v>
      </c>
      <c r="J42" s="128" t="s">
        <v>4</v>
      </c>
      <c r="K42" s="128">
        <v>10149.461482588471</v>
      </c>
      <c r="L42" s="128" t="s">
        <v>4</v>
      </c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  <c r="CC42" s="137"/>
      <c r="CD42" s="137"/>
      <c r="CE42" s="137"/>
      <c r="CF42" s="137"/>
      <c r="CG42" s="137"/>
      <c r="CH42" s="137"/>
      <c r="CI42" s="137"/>
      <c r="CJ42" s="137"/>
      <c r="CK42" s="137"/>
      <c r="CL42" s="137"/>
      <c r="CM42" s="137"/>
      <c r="CN42" s="137"/>
      <c r="CO42" s="137"/>
      <c r="CP42" s="137"/>
      <c r="CQ42" s="137"/>
      <c r="CR42" s="137"/>
      <c r="CS42" s="137"/>
      <c r="CT42" s="137"/>
      <c r="CU42" s="137"/>
      <c r="CV42" s="137"/>
      <c r="CW42" s="137"/>
      <c r="CX42" s="137"/>
      <c r="CY42" s="137"/>
      <c r="CZ42" s="137"/>
      <c r="DA42" s="137"/>
      <c r="DB42" s="137"/>
      <c r="DC42" s="137"/>
      <c r="DD42" s="137"/>
      <c r="DE42" s="137"/>
      <c r="DF42" s="137"/>
      <c r="DG42" s="137"/>
      <c r="DH42" s="137"/>
      <c r="DI42" s="137"/>
      <c r="DJ42" s="137"/>
      <c r="DK42" s="137"/>
      <c r="DL42" s="137"/>
      <c r="DM42" s="137"/>
      <c r="DN42" s="137"/>
      <c r="DO42" s="137"/>
      <c r="DP42" s="137"/>
      <c r="DQ42" s="137"/>
      <c r="DR42" s="137"/>
      <c r="DS42" s="137"/>
      <c r="DT42" s="137"/>
      <c r="DU42" s="137"/>
      <c r="DV42" s="137"/>
      <c r="DW42" s="137"/>
      <c r="DX42" s="137"/>
      <c r="DY42" s="137"/>
      <c r="DZ42" s="137"/>
      <c r="EA42" s="137"/>
      <c r="EB42" s="137"/>
      <c r="EC42" s="137"/>
      <c r="ED42" s="137"/>
      <c r="EE42" s="137"/>
      <c r="EF42" s="137"/>
      <c r="EG42" s="137"/>
      <c r="EH42" s="137"/>
      <c r="EI42" s="137"/>
      <c r="EJ42" s="137"/>
      <c r="EK42" s="137"/>
      <c r="EL42" s="137"/>
      <c r="EM42" s="137"/>
      <c r="EN42" s="137"/>
      <c r="EO42" s="137"/>
      <c r="EP42" s="137"/>
      <c r="EQ42" s="137"/>
      <c r="ER42" s="137"/>
      <c r="ES42" s="137"/>
      <c r="ET42" s="137"/>
      <c r="EU42" s="137"/>
      <c r="EV42" s="137"/>
      <c r="EW42" s="137"/>
      <c r="EX42" s="137"/>
      <c r="EY42" s="137"/>
      <c r="EZ42" s="137"/>
      <c r="FA42" s="137"/>
      <c r="FB42" s="137"/>
      <c r="FC42" s="137"/>
      <c r="FD42" s="137"/>
      <c r="FE42" s="137"/>
      <c r="FF42" s="137"/>
      <c r="FG42" s="137"/>
      <c r="FH42" s="137"/>
      <c r="FI42" s="137"/>
      <c r="FJ42" s="137"/>
      <c r="FK42" s="137"/>
      <c r="FL42" s="137"/>
      <c r="FM42" s="137"/>
      <c r="FN42" s="137"/>
      <c r="FO42" s="137"/>
      <c r="FP42" s="137"/>
      <c r="FQ42" s="137"/>
      <c r="FR42" s="137"/>
      <c r="FS42" s="137"/>
      <c r="FT42" s="137"/>
      <c r="FU42" s="137"/>
      <c r="FV42" s="1"/>
      <c r="FW42" s="95"/>
      <c r="FX42" s="85"/>
      <c r="FY42" s="84"/>
      <c r="FZ42" s="84"/>
      <c r="GA42" s="84"/>
      <c r="GB42" s="84"/>
      <c r="GC42" s="84"/>
      <c r="GD42" s="84"/>
      <c r="GE42" s="84"/>
      <c r="GF42" s="84"/>
      <c r="GG42" s="84"/>
      <c r="GH42" s="1"/>
      <c r="GI42" s="84"/>
      <c r="GJ42" s="84"/>
      <c r="GK42" s="2"/>
      <c r="GL42" s="2"/>
      <c r="GM42" s="2"/>
      <c r="GN42" s="2"/>
      <c r="GO42" s="2"/>
      <c r="GP42" s="2"/>
      <c r="GR42" s="1"/>
      <c r="GS42" s="79"/>
      <c r="GT42" s="79"/>
      <c r="GU42" s="79"/>
      <c r="GV42" s="67"/>
      <c r="GW42" s="1"/>
      <c r="GX42" s="25"/>
      <c r="GY42" s="25"/>
      <c r="GZ42" s="26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0"/>
      <c r="HM42" s="26"/>
      <c r="HN42" s="26"/>
      <c r="HO42" s="26"/>
      <c r="HP42" s="26"/>
      <c r="HQ42" s="26"/>
      <c r="HR42" s="25"/>
      <c r="HS42" s="25"/>
      <c r="HT42" s="25"/>
      <c r="HU42" s="25"/>
      <c r="HV42" s="25"/>
      <c r="HW42" s="25"/>
      <c r="HX42" s="25"/>
      <c r="HY42" s="25"/>
      <c r="HZ42" s="25"/>
      <c r="IA42" s="16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</row>
    <row r="43" spans="2:249">
      <c r="B43" s="126" t="s">
        <v>43</v>
      </c>
      <c r="C43" s="129">
        <v>6565.3483012249644</v>
      </c>
      <c r="D43" s="129" t="s">
        <v>4</v>
      </c>
      <c r="E43" s="129">
        <v>10045.735487624996</v>
      </c>
      <c r="F43" s="129" t="s">
        <v>4</v>
      </c>
      <c r="G43" s="129">
        <v>7955.3928933646894</v>
      </c>
      <c r="H43" s="129" t="s">
        <v>4</v>
      </c>
      <c r="I43" s="129">
        <v>10123.245409457078</v>
      </c>
      <c r="J43" s="129" t="s">
        <v>4</v>
      </c>
      <c r="K43" s="129">
        <v>9438.9991788072784</v>
      </c>
      <c r="L43" s="129" t="s">
        <v>4</v>
      </c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  <c r="CC43" s="137"/>
      <c r="CD43" s="137"/>
      <c r="CE43" s="137"/>
      <c r="CF43" s="137"/>
      <c r="CG43" s="137"/>
      <c r="CH43" s="137"/>
      <c r="CI43" s="137"/>
      <c r="CJ43" s="137"/>
      <c r="CK43" s="137"/>
      <c r="CL43" s="137"/>
      <c r="CM43" s="137"/>
      <c r="CN43" s="137"/>
      <c r="CO43" s="137"/>
      <c r="CP43" s="137"/>
      <c r="CQ43" s="137"/>
      <c r="CR43" s="137"/>
      <c r="CS43" s="137"/>
      <c r="CT43" s="137"/>
      <c r="CU43" s="137"/>
      <c r="CV43" s="137"/>
      <c r="CW43" s="137"/>
      <c r="CX43" s="137"/>
      <c r="CY43" s="137"/>
      <c r="CZ43" s="137"/>
      <c r="DA43" s="137"/>
      <c r="DB43" s="137"/>
      <c r="DC43" s="137"/>
      <c r="DD43" s="137"/>
      <c r="DE43" s="137"/>
      <c r="DF43" s="137"/>
      <c r="DG43" s="137"/>
      <c r="DH43" s="137"/>
      <c r="DI43" s="137"/>
      <c r="DJ43" s="137"/>
      <c r="DK43" s="137"/>
      <c r="DL43" s="137"/>
      <c r="DM43" s="137"/>
      <c r="DN43" s="137"/>
      <c r="DO43" s="137"/>
      <c r="DP43" s="137"/>
      <c r="DQ43" s="137"/>
      <c r="DR43" s="137"/>
      <c r="DS43" s="137"/>
      <c r="DT43" s="137"/>
      <c r="DU43" s="137"/>
      <c r="DV43" s="137"/>
      <c r="DW43" s="137"/>
      <c r="DX43" s="137"/>
      <c r="DY43" s="137"/>
      <c r="DZ43" s="137"/>
      <c r="EA43" s="137"/>
      <c r="EB43" s="137"/>
      <c r="EC43" s="137"/>
      <c r="ED43" s="137"/>
      <c r="EE43" s="137"/>
      <c r="EF43" s="137"/>
      <c r="EG43" s="137"/>
      <c r="EH43" s="137"/>
      <c r="EI43" s="137"/>
      <c r="EJ43" s="137"/>
      <c r="EK43" s="137"/>
      <c r="EL43" s="137"/>
      <c r="EM43" s="137"/>
      <c r="EN43" s="137"/>
      <c r="EO43" s="137"/>
      <c r="EP43" s="137"/>
      <c r="EQ43" s="137"/>
      <c r="ER43" s="137"/>
      <c r="ES43" s="137"/>
      <c r="ET43" s="137"/>
      <c r="EU43" s="137"/>
      <c r="EV43" s="137"/>
      <c r="EW43" s="137"/>
      <c r="EX43" s="137"/>
      <c r="EY43" s="137"/>
      <c r="EZ43" s="137"/>
      <c r="FA43" s="137"/>
      <c r="FB43" s="137"/>
      <c r="FC43" s="137"/>
      <c r="FD43" s="137"/>
      <c r="FE43" s="137"/>
      <c r="FF43" s="137"/>
      <c r="FG43" s="137"/>
      <c r="FH43" s="137"/>
      <c r="FI43" s="137"/>
      <c r="FJ43" s="137"/>
      <c r="FK43" s="137"/>
      <c r="FL43" s="137"/>
      <c r="FM43" s="137"/>
      <c r="FN43" s="137"/>
      <c r="FO43" s="137"/>
      <c r="FP43" s="137"/>
      <c r="FQ43" s="137"/>
      <c r="FR43" s="137"/>
      <c r="FS43" s="137"/>
      <c r="FT43" s="137"/>
      <c r="FU43" s="137"/>
      <c r="FV43" s="1"/>
      <c r="FW43" s="95"/>
      <c r="FX43" s="85"/>
      <c r="FY43" s="105"/>
      <c r="FZ43" s="105"/>
      <c r="GA43" s="105"/>
      <c r="GB43" s="105"/>
      <c r="GC43" s="105"/>
      <c r="GD43" s="105"/>
      <c r="GE43" s="105"/>
      <c r="GF43" s="105"/>
      <c r="GG43" s="105"/>
      <c r="GH43" s="1"/>
      <c r="GI43" s="1"/>
      <c r="GJ43" s="1"/>
      <c r="GK43" s="1"/>
      <c r="GL43" s="1"/>
      <c r="GM43" s="1"/>
      <c r="GN43" s="1"/>
      <c r="GO43" s="1"/>
      <c r="GP43" s="1"/>
      <c r="GR43" s="1"/>
      <c r="GS43" s="16"/>
      <c r="GT43" s="85"/>
      <c r="GU43" s="85"/>
      <c r="GV43" s="68"/>
      <c r="GW43" s="1"/>
      <c r="GX43" s="17"/>
      <c r="GY43" s="17"/>
      <c r="GZ43" s="27"/>
      <c r="HA43" s="17"/>
      <c r="HB43" s="17"/>
      <c r="HC43" s="42"/>
      <c r="HD43" s="42"/>
      <c r="HE43" s="42"/>
      <c r="HF43" s="42"/>
      <c r="HG43" s="42"/>
      <c r="HH43" s="42"/>
      <c r="HI43" s="42"/>
      <c r="HJ43" s="42"/>
      <c r="HK43" s="42"/>
      <c r="HL43" s="20"/>
      <c r="HM43" s="27"/>
      <c r="HN43" s="27"/>
      <c r="HO43" s="27"/>
      <c r="HP43" s="27"/>
      <c r="HQ43" s="27"/>
      <c r="HR43" s="17"/>
      <c r="HS43" s="17"/>
      <c r="HT43" s="17"/>
      <c r="HU43" s="17"/>
      <c r="HV43" s="17"/>
      <c r="HW43" s="17"/>
      <c r="HX43" s="17"/>
      <c r="HY43" s="17"/>
      <c r="HZ43" s="17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</row>
    <row r="44" spans="2:249" ht="23.25">
      <c r="B44" s="127" t="s">
        <v>44</v>
      </c>
      <c r="C44" s="128">
        <v>122.11547840278432</v>
      </c>
      <c r="D44" s="128" t="s">
        <v>193</v>
      </c>
      <c r="E44" s="128">
        <v>190.86897426487494</v>
      </c>
      <c r="F44" s="128" t="s">
        <v>193</v>
      </c>
      <c r="G44" s="128">
        <v>143.19707208056442</v>
      </c>
      <c r="H44" s="128" t="s">
        <v>193</v>
      </c>
      <c r="I44" s="128">
        <v>185.22486645211882</v>
      </c>
      <c r="J44" s="128" t="s">
        <v>193</v>
      </c>
      <c r="K44" s="128">
        <v>171.78978505429245</v>
      </c>
      <c r="L44" s="128" t="s">
        <v>193</v>
      </c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  <c r="CC44" s="137"/>
      <c r="CD44" s="137"/>
      <c r="CE44" s="137"/>
      <c r="CF44" s="137"/>
      <c r="CG44" s="137"/>
      <c r="CH44" s="137"/>
      <c r="CI44" s="137"/>
      <c r="CJ44" s="137"/>
      <c r="CK44" s="137"/>
      <c r="CL44" s="137"/>
      <c r="CM44" s="137"/>
      <c r="CN44" s="137"/>
      <c r="CO44" s="137"/>
      <c r="CP44" s="137"/>
      <c r="CQ44" s="137"/>
      <c r="CR44" s="137"/>
      <c r="CS44" s="137"/>
      <c r="CT44" s="137"/>
      <c r="CU44" s="137"/>
      <c r="CV44" s="137"/>
      <c r="CW44" s="137"/>
      <c r="CX44" s="137"/>
      <c r="CY44" s="137"/>
      <c r="CZ44" s="137"/>
      <c r="DA44" s="137"/>
      <c r="DB44" s="137"/>
      <c r="DC44" s="137"/>
      <c r="DD44" s="137"/>
      <c r="DE44" s="137"/>
      <c r="DF44" s="137"/>
      <c r="DG44" s="137"/>
      <c r="DH44" s="137"/>
      <c r="DI44" s="137"/>
      <c r="DJ44" s="137"/>
      <c r="DK44" s="137"/>
      <c r="DL44" s="137"/>
      <c r="DM44" s="137"/>
      <c r="DN44" s="137"/>
      <c r="DO44" s="137"/>
      <c r="DP44" s="137"/>
      <c r="DQ44" s="137"/>
      <c r="DR44" s="137"/>
      <c r="DS44" s="137"/>
      <c r="DT44" s="137"/>
      <c r="DU44" s="137"/>
      <c r="DV44" s="137"/>
      <c r="DW44" s="137"/>
      <c r="DX44" s="137"/>
      <c r="DY44" s="137"/>
      <c r="DZ44" s="137"/>
      <c r="EA44" s="137"/>
      <c r="EB44" s="137"/>
      <c r="EC44" s="137"/>
      <c r="ED44" s="137"/>
      <c r="EE44" s="137"/>
      <c r="EF44" s="137"/>
      <c r="EG44" s="137"/>
      <c r="EH44" s="137"/>
      <c r="EI44" s="137"/>
      <c r="EJ44" s="137"/>
      <c r="EK44" s="137"/>
      <c r="EL44" s="137"/>
      <c r="EM44" s="137"/>
      <c r="EN44" s="137"/>
      <c r="EO44" s="137"/>
      <c r="EP44" s="137"/>
      <c r="EQ44" s="137"/>
      <c r="ER44" s="137"/>
      <c r="ES44" s="137"/>
      <c r="ET44" s="137"/>
      <c r="EU44" s="137"/>
      <c r="EV44" s="137"/>
      <c r="EW44" s="137"/>
      <c r="EX44" s="137"/>
      <c r="EY44" s="137"/>
      <c r="EZ44" s="137"/>
      <c r="FA44" s="137"/>
      <c r="FB44" s="137"/>
      <c r="FC44" s="137"/>
      <c r="FD44" s="137"/>
      <c r="FE44" s="137"/>
      <c r="FF44" s="137"/>
      <c r="FG44" s="137"/>
      <c r="FH44" s="137"/>
      <c r="FI44" s="137"/>
      <c r="FJ44" s="137"/>
      <c r="FK44" s="137"/>
      <c r="FL44" s="137"/>
      <c r="FM44" s="137"/>
      <c r="FN44" s="137"/>
      <c r="FO44" s="137"/>
      <c r="FP44" s="137"/>
      <c r="FQ44" s="137"/>
      <c r="FR44" s="137"/>
      <c r="FS44" s="137"/>
      <c r="FT44" s="137"/>
      <c r="FU44" s="137"/>
      <c r="FV44" s="1"/>
      <c r="FW44" s="95"/>
      <c r="FX44" s="85"/>
      <c r="FY44" s="84"/>
      <c r="FZ44" s="84"/>
      <c r="GA44" s="84"/>
      <c r="GB44" s="84"/>
      <c r="GC44" s="84"/>
      <c r="GD44" s="84"/>
      <c r="GE44" s="84"/>
      <c r="GF44" s="84"/>
      <c r="GG44" s="84"/>
      <c r="GH44" s="1"/>
      <c r="GI44" s="1"/>
      <c r="GJ44" s="1"/>
      <c r="GK44" s="1"/>
      <c r="GL44" s="1"/>
      <c r="GM44" s="1"/>
      <c r="GN44" s="1"/>
      <c r="GO44" s="1"/>
      <c r="GP44" s="1"/>
      <c r="GR44" s="1"/>
      <c r="GS44" s="16"/>
      <c r="GT44" s="85"/>
      <c r="GU44" s="85"/>
      <c r="GV44" s="68"/>
      <c r="GW44" s="1"/>
      <c r="GX44" s="17"/>
      <c r="GY44" s="17"/>
      <c r="GZ44" s="27"/>
      <c r="HA44" s="17"/>
      <c r="HB44" s="17"/>
      <c r="HC44" s="42"/>
      <c r="HD44" s="42"/>
      <c r="HE44" s="42"/>
      <c r="HF44" s="42"/>
      <c r="HG44" s="42"/>
      <c r="HH44" s="42"/>
      <c r="HI44" s="42"/>
      <c r="HJ44" s="42"/>
      <c r="HK44" s="42"/>
      <c r="HL44" s="20"/>
      <c r="HM44" s="27"/>
      <c r="HN44" s="27"/>
      <c r="HO44" s="27"/>
      <c r="HP44" s="27"/>
      <c r="HQ44" s="27"/>
      <c r="HR44" s="17"/>
      <c r="HS44" s="17"/>
      <c r="HT44" s="17"/>
      <c r="HU44" s="17"/>
      <c r="HV44" s="17"/>
      <c r="HW44" s="17"/>
      <c r="HX44" s="17"/>
      <c r="HY44" s="17"/>
      <c r="HZ44" s="17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</row>
    <row r="45" spans="2:249" ht="23.25">
      <c r="B45" s="126" t="s">
        <v>45</v>
      </c>
      <c r="C45" s="130">
        <v>113.56739491458943</v>
      </c>
      <c r="D45" s="130" t="s">
        <v>193</v>
      </c>
      <c r="E45" s="130">
        <v>173.6907665810362</v>
      </c>
      <c r="F45" s="130" t="s">
        <v>193</v>
      </c>
      <c r="G45" s="130">
        <v>134.60524775573055</v>
      </c>
      <c r="H45" s="130" t="s">
        <v>193</v>
      </c>
      <c r="I45" s="130">
        <v>179.69812045855525</v>
      </c>
      <c r="J45" s="130" t="s">
        <v>193</v>
      </c>
      <c r="K45" s="130">
        <v>159.76450010049197</v>
      </c>
      <c r="L45" s="130" t="s">
        <v>193</v>
      </c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  <c r="CC45" s="137"/>
      <c r="CD45" s="137"/>
      <c r="CE45" s="137"/>
      <c r="CF45" s="137"/>
      <c r="CG45" s="137"/>
      <c r="CH45" s="137"/>
      <c r="CI45" s="137"/>
      <c r="CJ45" s="137"/>
      <c r="CK45" s="137"/>
      <c r="CL45" s="137"/>
      <c r="CM45" s="137"/>
      <c r="CN45" s="137"/>
      <c r="CO45" s="137"/>
      <c r="CP45" s="137"/>
      <c r="CQ45" s="137"/>
      <c r="CR45" s="137"/>
      <c r="CS45" s="137"/>
      <c r="CT45" s="137"/>
      <c r="CU45" s="137"/>
      <c r="CV45" s="137"/>
      <c r="CW45" s="137"/>
      <c r="CX45" s="137"/>
      <c r="CY45" s="137"/>
      <c r="CZ45" s="137"/>
      <c r="DA45" s="137"/>
      <c r="DB45" s="137"/>
      <c r="DC45" s="137"/>
      <c r="DD45" s="137"/>
      <c r="DE45" s="137"/>
      <c r="DF45" s="137"/>
      <c r="DG45" s="137"/>
      <c r="DH45" s="137"/>
      <c r="DI45" s="137"/>
      <c r="DJ45" s="137"/>
      <c r="DK45" s="137"/>
      <c r="DL45" s="137"/>
      <c r="DM45" s="137"/>
      <c r="DN45" s="137"/>
      <c r="DO45" s="137"/>
      <c r="DP45" s="137"/>
      <c r="DQ45" s="137"/>
      <c r="DR45" s="137"/>
      <c r="DS45" s="137"/>
      <c r="DT45" s="137"/>
      <c r="DU45" s="137"/>
      <c r="DV45" s="137"/>
      <c r="DW45" s="137"/>
      <c r="DX45" s="137"/>
      <c r="DY45" s="137"/>
      <c r="DZ45" s="137"/>
      <c r="EA45" s="137"/>
      <c r="EB45" s="137"/>
      <c r="EC45" s="137"/>
      <c r="ED45" s="137"/>
      <c r="EE45" s="137"/>
      <c r="EF45" s="137"/>
      <c r="EG45" s="137"/>
      <c r="EH45" s="137"/>
      <c r="EI45" s="137"/>
      <c r="EJ45" s="137"/>
      <c r="EK45" s="137"/>
      <c r="EL45" s="137"/>
      <c r="EM45" s="137"/>
      <c r="EN45" s="137"/>
      <c r="EO45" s="137"/>
      <c r="EP45" s="137"/>
      <c r="EQ45" s="137"/>
      <c r="ER45" s="137"/>
      <c r="ES45" s="137"/>
      <c r="ET45" s="137"/>
      <c r="EU45" s="137"/>
      <c r="EV45" s="137"/>
      <c r="EW45" s="137"/>
      <c r="EX45" s="137"/>
      <c r="EY45" s="137"/>
      <c r="EZ45" s="137"/>
      <c r="FA45" s="137"/>
      <c r="FB45" s="137"/>
      <c r="FC45" s="137"/>
      <c r="FD45" s="137"/>
      <c r="FE45" s="137"/>
      <c r="FF45" s="137"/>
      <c r="FG45" s="137"/>
      <c r="FH45" s="137"/>
      <c r="FI45" s="137"/>
      <c r="FJ45" s="137"/>
      <c r="FK45" s="137"/>
      <c r="FL45" s="137"/>
      <c r="FM45" s="137"/>
      <c r="FN45" s="137"/>
      <c r="FO45" s="137"/>
      <c r="FP45" s="137"/>
      <c r="FQ45" s="137"/>
      <c r="FR45" s="137"/>
      <c r="FS45" s="137"/>
      <c r="FT45" s="137"/>
      <c r="FU45" s="137"/>
      <c r="FV45" s="10"/>
      <c r="FW45" s="112"/>
      <c r="FX45" s="92"/>
      <c r="FY45" s="91"/>
      <c r="FZ45" s="91"/>
      <c r="GA45" s="91"/>
      <c r="GB45" s="91"/>
      <c r="GC45" s="91"/>
      <c r="GD45" s="91"/>
      <c r="GE45" s="91"/>
      <c r="GF45" s="91"/>
      <c r="GG45" s="91"/>
      <c r="GH45" s="10"/>
      <c r="GI45" s="10"/>
      <c r="GJ45" s="10"/>
      <c r="GK45" s="10"/>
      <c r="GL45" s="10"/>
      <c r="GM45" s="10"/>
      <c r="GN45" s="10"/>
      <c r="GO45" s="10"/>
      <c r="GP45" s="10"/>
      <c r="GR45" s="1"/>
      <c r="GS45" s="16"/>
      <c r="GT45" s="85"/>
      <c r="GU45" s="85"/>
      <c r="GV45" s="68"/>
      <c r="GW45" s="1"/>
      <c r="GX45" s="17"/>
      <c r="GY45" s="17"/>
      <c r="GZ45" s="27"/>
      <c r="HA45" s="17"/>
      <c r="HB45" s="17"/>
      <c r="HC45" s="42"/>
      <c r="HD45" s="42"/>
      <c r="HE45" s="42"/>
      <c r="HF45" s="42"/>
      <c r="HG45" s="42"/>
      <c r="HH45" s="42"/>
      <c r="HI45" s="42"/>
      <c r="HJ45" s="42"/>
      <c r="HK45" s="42"/>
      <c r="HL45" s="20"/>
      <c r="HM45" s="27"/>
      <c r="HN45" s="27"/>
      <c r="HO45" s="27"/>
      <c r="HP45" s="27"/>
      <c r="HQ45" s="27"/>
      <c r="HR45" s="17"/>
      <c r="HS45" s="17"/>
      <c r="HT45" s="17"/>
      <c r="HU45" s="17"/>
      <c r="HV45" s="17"/>
      <c r="HW45" s="17"/>
      <c r="HX45" s="17"/>
      <c r="HY45" s="17"/>
      <c r="HZ45" s="17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</row>
    <row r="46" spans="2:249" ht="23.25">
      <c r="B46" s="127" t="s">
        <v>46</v>
      </c>
      <c r="C46" s="128">
        <v>103.34632937227637</v>
      </c>
      <c r="D46" s="128" t="s">
        <v>193</v>
      </c>
      <c r="E46" s="128">
        <v>158.05859758874291</v>
      </c>
      <c r="F46" s="128" t="s">
        <v>193</v>
      </c>
      <c r="G46" s="128">
        <v>130.56709032305864</v>
      </c>
      <c r="H46" s="128" t="s">
        <v>193</v>
      </c>
      <c r="I46" s="128">
        <v>172.55019564021305</v>
      </c>
      <c r="J46" s="128" t="s">
        <v>193</v>
      </c>
      <c r="K46" s="128">
        <v>154.97156509747722</v>
      </c>
      <c r="L46" s="128" t="s">
        <v>193</v>
      </c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7"/>
      <c r="DB46" s="137"/>
      <c r="DC46" s="137"/>
      <c r="DD46" s="137"/>
      <c r="DE46" s="137"/>
      <c r="DF46" s="137"/>
      <c r="DG46" s="137"/>
      <c r="DH46" s="137"/>
      <c r="DI46" s="137"/>
      <c r="DJ46" s="137"/>
      <c r="DK46" s="137"/>
      <c r="DL46" s="137"/>
      <c r="DM46" s="137"/>
      <c r="DN46" s="137"/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37"/>
      <c r="DZ46" s="137"/>
      <c r="EA46" s="137"/>
      <c r="EB46" s="137"/>
      <c r="EC46" s="137"/>
      <c r="ED46" s="137"/>
      <c r="EE46" s="137"/>
      <c r="EF46" s="137"/>
      <c r="EG46" s="137"/>
      <c r="EH46" s="137"/>
      <c r="EI46" s="137"/>
      <c r="EJ46" s="137"/>
      <c r="EK46" s="137"/>
      <c r="EL46" s="137"/>
      <c r="EM46" s="137"/>
      <c r="EN46" s="137"/>
      <c r="EO46" s="137"/>
      <c r="EP46" s="137"/>
      <c r="EQ46" s="137"/>
      <c r="ER46" s="137"/>
      <c r="ES46" s="137"/>
      <c r="ET46" s="137"/>
      <c r="EU46" s="137"/>
      <c r="EV46" s="137"/>
      <c r="EW46" s="137"/>
      <c r="EX46" s="137"/>
      <c r="EY46" s="137"/>
      <c r="EZ46" s="137"/>
      <c r="FA46" s="137"/>
      <c r="FB46" s="137"/>
      <c r="FC46" s="137"/>
      <c r="FD46" s="137"/>
      <c r="FE46" s="137"/>
      <c r="FF46" s="137"/>
      <c r="FG46" s="137"/>
      <c r="FH46" s="137"/>
      <c r="FI46" s="137"/>
      <c r="FJ46" s="137"/>
      <c r="FK46" s="137"/>
      <c r="FL46" s="137"/>
      <c r="FM46" s="137"/>
      <c r="FN46" s="137"/>
      <c r="FO46" s="137"/>
      <c r="FP46" s="137"/>
      <c r="FQ46" s="137"/>
      <c r="FR46" s="137"/>
      <c r="FS46" s="137"/>
      <c r="FT46" s="137"/>
      <c r="FU46" s="137"/>
      <c r="FV46" s="1"/>
      <c r="FW46" s="95"/>
      <c r="FX46" s="85"/>
      <c r="FY46" s="84"/>
      <c r="FZ46" s="84"/>
      <c r="GA46" s="84"/>
      <c r="GB46" s="84"/>
      <c r="GC46" s="84"/>
      <c r="GD46" s="84"/>
      <c r="GE46" s="84"/>
      <c r="GF46" s="84"/>
      <c r="GG46" s="84"/>
      <c r="GH46" s="1"/>
      <c r="GI46" s="84"/>
      <c r="GJ46" s="84"/>
      <c r="GK46" s="84"/>
      <c r="GL46" s="84"/>
      <c r="GM46" s="84"/>
      <c r="GN46" s="84"/>
      <c r="GO46" s="84"/>
      <c r="GP46" s="84"/>
      <c r="GR46" s="1"/>
      <c r="GS46" s="31"/>
      <c r="GT46" s="79"/>
      <c r="GU46" s="79"/>
      <c r="GV46" s="67"/>
      <c r="GW46" s="1"/>
      <c r="GX46" s="25"/>
      <c r="GY46" s="25"/>
      <c r="GZ46" s="26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0"/>
      <c r="HM46" s="26"/>
      <c r="HN46" s="26"/>
      <c r="HO46" s="26"/>
      <c r="HP46" s="26"/>
      <c r="HQ46" s="26"/>
      <c r="HR46" s="25"/>
      <c r="HS46" s="25"/>
      <c r="HT46" s="25"/>
      <c r="HU46" s="25"/>
      <c r="HV46" s="25"/>
      <c r="HW46" s="25"/>
      <c r="HX46" s="25"/>
      <c r="HY46" s="25"/>
      <c r="HZ46" s="25"/>
      <c r="IA46" s="16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</row>
    <row r="47" spans="2:249">
      <c r="B47" s="126" t="s">
        <v>47</v>
      </c>
      <c r="C47" s="129">
        <v>4650.5848217524363</v>
      </c>
      <c r="D47" s="129" t="s">
        <v>4</v>
      </c>
      <c r="E47" s="129">
        <v>7428.7540866709178</v>
      </c>
      <c r="F47" s="129" t="s">
        <v>4</v>
      </c>
      <c r="G47" s="129">
        <v>6332.5038806683442</v>
      </c>
      <c r="H47" s="129" t="s">
        <v>4</v>
      </c>
      <c r="I47" s="129">
        <v>8149.6342929101202</v>
      </c>
      <c r="J47" s="129" t="s">
        <v>4</v>
      </c>
      <c r="K47" s="129">
        <v>7438.6351246789063</v>
      </c>
      <c r="L47" s="129" t="s">
        <v>4</v>
      </c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  <c r="CC47" s="137"/>
      <c r="CD47" s="137"/>
      <c r="CE47" s="137"/>
      <c r="CF47" s="137"/>
      <c r="CG47" s="137"/>
      <c r="CH47" s="137"/>
      <c r="CI47" s="137"/>
      <c r="CJ47" s="137"/>
      <c r="CK47" s="137"/>
      <c r="CL47" s="137"/>
      <c r="CM47" s="137"/>
      <c r="CN47" s="137"/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7"/>
      <c r="DB47" s="137"/>
      <c r="DC47" s="137"/>
      <c r="DD47" s="137"/>
      <c r="DE47" s="137"/>
      <c r="DF47" s="137"/>
      <c r="DG47" s="137"/>
      <c r="DH47" s="137"/>
      <c r="DI47" s="137"/>
      <c r="DJ47" s="137"/>
      <c r="DK47" s="137"/>
      <c r="DL47" s="137"/>
      <c r="DM47" s="137"/>
      <c r="DN47" s="137"/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37"/>
      <c r="DZ47" s="137"/>
      <c r="EA47" s="137"/>
      <c r="EB47" s="137"/>
      <c r="EC47" s="137"/>
      <c r="ED47" s="137"/>
      <c r="EE47" s="137"/>
      <c r="EF47" s="137"/>
      <c r="EG47" s="137"/>
      <c r="EH47" s="137"/>
      <c r="EI47" s="137"/>
      <c r="EJ47" s="137"/>
      <c r="EK47" s="137"/>
      <c r="EL47" s="137"/>
      <c r="EM47" s="137"/>
      <c r="EN47" s="137"/>
      <c r="EO47" s="137"/>
      <c r="EP47" s="137"/>
      <c r="EQ47" s="137"/>
      <c r="ER47" s="137"/>
      <c r="ES47" s="137"/>
      <c r="ET47" s="137"/>
      <c r="EU47" s="137"/>
      <c r="EV47" s="137"/>
      <c r="EW47" s="137"/>
      <c r="EX47" s="137"/>
      <c r="EY47" s="137"/>
      <c r="EZ47" s="137"/>
      <c r="FA47" s="137"/>
      <c r="FB47" s="137"/>
      <c r="FC47" s="137"/>
      <c r="FD47" s="137"/>
      <c r="FE47" s="137"/>
      <c r="FF47" s="137"/>
      <c r="FG47" s="137"/>
      <c r="FH47" s="137"/>
      <c r="FI47" s="137"/>
      <c r="FJ47" s="137"/>
      <c r="FK47" s="137"/>
      <c r="FL47" s="137"/>
      <c r="FM47" s="137"/>
      <c r="FN47" s="137"/>
      <c r="FO47" s="137"/>
      <c r="FP47" s="137"/>
      <c r="FQ47" s="137"/>
      <c r="FR47" s="137"/>
      <c r="FS47" s="137"/>
      <c r="FT47" s="137"/>
      <c r="FU47" s="137"/>
      <c r="FV47" s="1"/>
      <c r="FW47" s="95"/>
      <c r="FX47" s="85"/>
      <c r="FY47" s="84"/>
      <c r="FZ47" s="84"/>
      <c r="GA47" s="84"/>
      <c r="GB47" s="84"/>
      <c r="GC47" s="84"/>
      <c r="GD47" s="84"/>
      <c r="GE47" s="84"/>
      <c r="GF47" s="84"/>
      <c r="GG47" s="84"/>
      <c r="GH47" s="1"/>
      <c r="GI47" s="84"/>
      <c r="GJ47" s="84"/>
      <c r="GK47" s="84"/>
      <c r="GL47" s="84"/>
      <c r="GM47" s="84"/>
      <c r="GN47" s="84"/>
      <c r="GO47" s="84"/>
      <c r="GP47" s="84"/>
      <c r="GR47" s="1"/>
      <c r="GS47" s="64"/>
      <c r="GT47" s="87"/>
      <c r="GU47" s="85"/>
      <c r="GV47" s="68"/>
      <c r="GW47" s="1"/>
      <c r="GX47" s="42"/>
      <c r="GY47" s="42"/>
      <c r="GZ47" s="41"/>
      <c r="HA47" s="17"/>
      <c r="HB47" s="17"/>
      <c r="HC47" s="42"/>
      <c r="HD47" s="42"/>
      <c r="HE47" s="42"/>
      <c r="HF47" s="42"/>
      <c r="HG47" s="42"/>
      <c r="HH47" s="42"/>
      <c r="HI47" s="42"/>
      <c r="HJ47" s="42"/>
      <c r="HK47" s="42"/>
      <c r="HL47" s="20"/>
      <c r="HM47" s="27"/>
      <c r="HN47" s="27"/>
      <c r="HO47" s="27"/>
      <c r="HP47" s="27"/>
      <c r="HQ47" s="27"/>
      <c r="HR47" s="17"/>
      <c r="HS47" s="17"/>
      <c r="HT47" s="17"/>
      <c r="HU47" s="17"/>
      <c r="HV47" s="17"/>
      <c r="HW47" s="17"/>
      <c r="HX47" s="17"/>
      <c r="HY47" s="17"/>
      <c r="HZ47" s="17"/>
      <c r="IA47" s="16"/>
      <c r="IB47" s="42"/>
      <c r="IC47" s="42"/>
      <c r="ID47" s="42"/>
      <c r="IE47" s="42"/>
      <c r="IF47" s="42"/>
      <c r="IG47" s="42"/>
      <c r="IH47" s="42"/>
      <c r="II47" s="42"/>
      <c r="IJ47" s="42"/>
      <c r="IK47" s="42"/>
      <c r="IL47" s="42"/>
      <c r="IM47" s="42"/>
      <c r="IN47" s="42"/>
      <c r="IO47" s="42"/>
    </row>
    <row r="48" spans="2:249">
      <c r="B48" s="127" t="s">
        <v>48</v>
      </c>
      <c r="C48" s="133">
        <v>4464.561428882339</v>
      </c>
      <c r="D48" s="133" t="s">
        <v>4</v>
      </c>
      <c r="E48" s="133">
        <v>7057.3163823373725</v>
      </c>
      <c r="F48" s="133" t="s">
        <v>4</v>
      </c>
      <c r="G48" s="133">
        <v>5762.5785314081932</v>
      </c>
      <c r="H48" s="133" t="s">
        <v>4</v>
      </c>
      <c r="I48" s="133">
        <v>7579.2298924064116</v>
      </c>
      <c r="J48" s="133" t="s">
        <v>4</v>
      </c>
      <c r="K48" s="133">
        <v>6769.1579634578047</v>
      </c>
      <c r="L48" s="133" t="s">
        <v>4</v>
      </c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  <c r="CC48" s="137"/>
      <c r="CD48" s="137"/>
      <c r="CE48" s="137"/>
      <c r="CF48" s="137"/>
      <c r="CG48" s="137"/>
      <c r="CH48" s="137"/>
      <c r="CI48" s="137"/>
      <c r="CJ48" s="137"/>
      <c r="CK48" s="137"/>
      <c r="CL48" s="137"/>
      <c r="CM48" s="137"/>
      <c r="CN48" s="137"/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7"/>
      <c r="DB48" s="137"/>
      <c r="DC48" s="137"/>
      <c r="DD48" s="137"/>
      <c r="DE48" s="137"/>
      <c r="DF48" s="137"/>
      <c r="DG48" s="137"/>
      <c r="DH48" s="137"/>
      <c r="DI48" s="137"/>
      <c r="DJ48" s="137"/>
      <c r="DK48" s="137"/>
      <c r="DL48" s="137"/>
      <c r="DM48" s="137"/>
      <c r="DN48" s="137"/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37"/>
      <c r="DZ48" s="137"/>
      <c r="EA48" s="137"/>
      <c r="EB48" s="137"/>
      <c r="EC48" s="137"/>
      <c r="ED48" s="137"/>
      <c r="EE48" s="137"/>
      <c r="EF48" s="137"/>
      <c r="EG48" s="137"/>
      <c r="EH48" s="137"/>
      <c r="EI48" s="137"/>
      <c r="EJ48" s="137"/>
      <c r="EK48" s="137"/>
      <c r="EL48" s="137"/>
      <c r="EM48" s="137"/>
      <c r="EN48" s="137"/>
      <c r="EO48" s="137"/>
      <c r="EP48" s="137"/>
      <c r="EQ48" s="137"/>
      <c r="ER48" s="137"/>
      <c r="ES48" s="137"/>
      <c r="ET48" s="137"/>
      <c r="EU48" s="137"/>
      <c r="EV48" s="137"/>
      <c r="EW48" s="137"/>
      <c r="EX48" s="137"/>
      <c r="EY48" s="137"/>
      <c r="EZ48" s="137"/>
      <c r="FA48" s="137"/>
      <c r="FB48" s="137"/>
      <c r="FC48" s="137"/>
      <c r="FD48" s="137"/>
      <c r="FE48" s="137"/>
      <c r="FF48" s="137"/>
      <c r="FG48" s="137"/>
      <c r="FH48" s="137"/>
      <c r="FI48" s="137"/>
      <c r="FJ48" s="137"/>
      <c r="FK48" s="137"/>
      <c r="FL48" s="137"/>
      <c r="FM48" s="137"/>
      <c r="FN48" s="137"/>
      <c r="FO48" s="137"/>
      <c r="FP48" s="137"/>
      <c r="FQ48" s="137"/>
      <c r="FR48" s="137"/>
      <c r="FS48" s="137"/>
      <c r="FT48" s="137"/>
      <c r="FU48" s="137"/>
      <c r="FV48" s="1"/>
      <c r="FW48" s="95"/>
      <c r="FX48" s="85"/>
      <c r="FY48" s="84"/>
      <c r="FZ48" s="84"/>
      <c r="GA48" s="84"/>
      <c r="GB48" s="84"/>
      <c r="GC48" s="84"/>
      <c r="GD48" s="84"/>
      <c r="GE48" s="84"/>
      <c r="GF48" s="84"/>
      <c r="GG48" s="84"/>
      <c r="GH48" s="1"/>
      <c r="GI48" s="84"/>
      <c r="GJ48" s="84"/>
      <c r="GK48" s="84"/>
      <c r="GL48" s="84"/>
      <c r="GM48" s="84"/>
      <c r="GN48" s="84"/>
      <c r="GO48" s="84"/>
      <c r="GP48" s="84"/>
      <c r="GR48" s="1"/>
      <c r="GS48" s="104"/>
      <c r="GT48" s="104"/>
      <c r="GU48" s="104"/>
      <c r="GV48" s="68"/>
      <c r="GW48" s="1"/>
      <c r="GX48" s="17"/>
      <c r="GY48" s="17"/>
      <c r="GZ48" s="27"/>
      <c r="HA48" s="17"/>
      <c r="HB48" s="17"/>
      <c r="HC48" s="42"/>
      <c r="HD48" s="42"/>
      <c r="HE48" s="42"/>
      <c r="HF48" s="42"/>
      <c r="HG48" s="42"/>
      <c r="HH48" s="42"/>
      <c r="HI48" s="42"/>
      <c r="HJ48" s="42"/>
      <c r="HK48" s="42"/>
      <c r="HL48" s="20"/>
      <c r="HM48" s="27"/>
      <c r="HN48" s="27"/>
      <c r="HO48" s="27"/>
      <c r="HP48" s="27"/>
      <c r="HQ48" s="27"/>
      <c r="HR48" s="17"/>
      <c r="HS48" s="17"/>
      <c r="HT48" s="17"/>
      <c r="HU48" s="17"/>
      <c r="HV48" s="17"/>
      <c r="HW48" s="17"/>
      <c r="HX48" s="17"/>
      <c r="HY48" s="17"/>
      <c r="HZ48" s="17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</row>
    <row r="49" spans="2:249" ht="23.25">
      <c r="B49" s="126" t="s">
        <v>49</v>
      </c>
      <c r="C49" s="129">
        <v>84.826667148764443</v>
      </c>
      <c r="D49" s="129" t="s">
        <v>193</v>
      </c>
      <c r="E49" s="129">
        <v>129.85462143500766</v>
      </c>
      <c r="F49" s="129" t="s">
        <v>193</v>
      </c>
      <c r="G49" s="129">
        <v>110.6415078030373</v>
      </c>
      <c r="H49" s="129" t="s">
        <v>193</v>
      </c>
      <c r="I49" s="129">
        <v>144.98636795572182</v>
      </c>
      <c r="J49" s="129" t="s">
        <v>193</v>
      </c>
      <c r="K49" s="129">
        <v>129.96783289838984</v>
      </c>
      <c r="L49" s="129" t="s">
        <v>193</v>
      </c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  <c r="CC49" s="137"/>
      <c r="CD49" s="137"/>
      <c r="CE49" s="137"/>
      <c r="CF49" s="137"/>
      <c r="CG49" s="137"/>
      <c r="CH49" s="137"/>
      <c r="CI49" s="137"/>
      <c r="CJ49" s="137"/>
      <c r="CK49" s="137"/>
      <c r="CL49" s="137"/>
      <c r="CM49" s="137"/>
      <c r="CN49" s="137"/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7"/>
      <c r="DB49" s="137"/>
      <c r="DC49" s="137"/>
      <c r="DD49" s="137"/>
      <c r="DE49" s="137"/>
      <c r="DF49" s="137"/>
      <c r="DG49" s="137"/>
      <c r="DH49" s="137"/>
      <c r="DI49" s="137"/>
      <c r="DJ49" s="137"/>
      <c r="DK49" s="137"/>
      <c r="DL49" s="137"/>
      <c r="DM49" s="137"/>
      <c r="DN49" s="137"/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37"/>
      <c r="DZ49" s="137"/>
      <c r="EA49" s="137"/>
      <c r="EB49" s="137"/>
      <c r="EC49" s="137"/>
      <c r="ED49" s="137"/>
      <c r="EE49" s="137"/>
      <c r="EF49" s="137"/>
      <c r="EG49" s="137"/>
      <c r="EH49" s="137"/>
      <c r="EI49" s="137"/>
      <c r="EJ49" s="137"/>
      <c r="EK49" s="137"/>
      <c r="EL49" s="137"/>
      <c r="EM49" s="137"/>
      <c r="EN49" s="137"/>
      <c r="EO49" s="137"/>
      <c r="EP49" s="137"/>
      <c r="EQ49" s="137"/>
      <c r="ER49" s="137"/>
      <c r="ES49" s="137"/>
      <c r="ET49" s="137"/>
      <c r="EU49" s="137"/>
      <c r="EV49" s="137"/>
      <c r="EW49" s="137"/>
      <c r="EX49" s="137"/>
      <c r="EY49" s="137"/>
      <c r="EZ49" s="137"/>
      <c r="FA49" s="137"/>
      <c r="FB49" s="137"/>
      <c r="FC49" s="137"/>
      <c r="FD49" s="137"/>
      <c r="FE49" s="137"/>
      <c r="FF49" s="137"/>
      <c r="FG49" s="137"/>
      <c r="FH49" s="137"/>
      <c r="FI49" s="137"/>
      <c r="FJ49" s="137"/>
      <c r="FK49" s="137"/>
      <c r="FL49" s="137"/>
      <c r="FM49" s="137"/>
      <c r="FN49" s="137"/>
      <c r="FO49" s="137"/>
      <c r="FP49" s="137"/>
      <c r="FQ49" s="137"/>
      <c r="FR49" s="137"/>
      <c r="FS49" s="137"/>
      <c r="FT49" s="137"/>
      <c r="FU49" s="137"/>
      <c r="FV49" s="1"/>
      <c r="FW49" s="95"/>
      <c r="FX49" s="85"/>
      <c r="FY49" s="105"/>
      <c r="FZ49" s="84"/>
      <c r="GA49" s="84"/>
      <c r="GB49" s="84"/>
      <c r="GC49" s="84"/>
      <c r="GD49" s="84"/>
      <c r="GE49" s="84"/>
      <c r="GF49" s="84"/>
      <c r="GG49" s="84"/>
      <c r="GH49" s="1"/>
      <c r="GI49" s="1"/>
      <c r="GJ49" s="1"/>
      <c r="GK49" s="1"/>
      <c r="GL49" s="1"/>
      <c r="GM49" s="1"/>
      <c r="GN49" s="1"/>
      <c r="GO49" s="1"/>
      <c r="GP49" s="1"/>
      <c r="GR49" s="1"/>
      <c r="GS49" s="104"/>
      <c r="GT49" s="104"/>
      <c r="GU49" s="104"/>
      <c r="GV49" s="68"/>
      <c r="GW49" s="1"/>
      <c r="GX49" s="17"/>
      <c r="GY49" s="17"/>
      <c r="GZ49" s="27"/>
      <c r="HA49" s="17"/>
      <c r="HB49" s="17"/>
      <c r="HC49" s="42"/>
      <c r="HD49" s="42"/>
      <c r="HE49" s="42"/>
      <c r="HF49" s="42"/>
      <c r="HG49" s="42"/>
      <c r="HH49" s="42"/>
      <c r="HI49" s="42"/>
      <c r="HJ49" s="42"/>
      <c r="HK49" s="42"/>
      <c r="HL49" s="20"/>
      <c r="HM49" s="27"/>
      <c r="HN49" s="27"/>
      <c r="HO49" s="27"/>
      <c r="HP49" s="27"/>
      <c r="HQ49" s="27"/>
      <c r="HR49" s="17"/>
      <c r="HS49" s="17"/>
      <c r="HT49" s="17"/>
      <c r="HU49" s="17"/>
      <c r="HV49" s="17"/>
      <c r="HW49" s="17"/>
      <c r="HX49" s="17"/>
      <c r="HY49" s="17"/>
      <c r="HZ49" s="17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</row>
    <row r="50" spans="2:249">
      <c r="B50" s="127" t="s">
        <v>50</v>
      </c>
      <c r="C50" s="128">
        <v>3902.0266888431647</v>
      </c>
      <c r="D50" s="128" t="s">
        <v>4</v>
      </c>
      <c r="E50" s="128">
        <v>5973.3125860103519</v>
      </c>
      <c r="F50" s="128" t="s">
        <v>4</v>
      </c>
      <c r="G50" s="128">
        <v>5255.4716206442718</v>
      </c>
      <c r="H50" s="128" t="s">
        <v>4</v>
      </c>
      <c r="I50" s="128">
        <v>6624.3729259632028</v>
      </c>
      <c r="J50" s="128" t="s">
        <v>4</v>
      </c>
      <c r="K50" s="128">
        <v>6173.4720626735179</v>
      </c>
      <c r="L50" s="128" t="s">
        <v>4</v>
      </c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7"/>
      <c r="CD50" s="137"/>
      <c r="CE50" s="137"/>
      <c r="CF50" s="137"/>
      <c r="CG50" s="137"/>
      <c r="CH50" s="137"/>
      <c r="CI50" s="137"/>
      <c r="CJ50" s="137"/>
      <c r="CK50" s="137"/>
      <c r="CL50" s="137"/>
      <c r="CM50" s="137"/>
      <c r="CN50" s="137"/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7"/>
      <c r="DB50" s="137"/>
      <c r="DC50" s="137"/>
      <c r="DD50" s="137"/>
      <c r="DE50" s="137"/>
      <c r="DF50" s="137"/>
      <c r="DG50" s="137"/>
      <c r="DH50" s="137"/>
      <c r="DI50" s="137"/>
      <c r="DJ50" s="137"/>
      <c r="DK50" s="137"/>
      <c r="DL50" s="137"/>
      <c r="DM50" s="137"/>
      <c r="DN50" s="137"/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37"/>
      <c r="DZ50" s="137"/>
      <c r="EA50" s="137"/>
      <c r="EB50" s="137"/>
      <c r="EC50" s="137"/>
      <c r="ED50" s="137"/>
      <c r="EE50" s="137"/>
      <c r="EF50" s="137"/>
      <c r="EG50" s="137"/>
      <c r="EH50" s="137"/>
      <c r="EI50" s="137"/>
      <c r="EJ50" s="137"/>
      <c r="EK50" s="137"/>
      <c r="EL50" s="137"/>
      <c r="EM50" s="137"/>
      <c r="EN50" s="137"/>
      <c r="EO50" s="137"/>
      <c r="EP50" s="137"/>
      <c r="EQ50" s="137"/>
      <c r="ER50" s="137"/>
      <c r="ES50" s="137"/>
      <c r="ET50" s="137"/>
      <c r="EU50" s="137"/>
      <c r="EV50" s="137"/>
      <c r="EW50" s="137"/>
      <c r="EX50" s="137"/>
      <c r="EY50" s="137"/>
      <c r="EZ50" s="137"/>
      <c r="FA50" s="137"/>
      <c r="FB50" s="137"/>
      <c r="FC50" s="137"/>
      <c r="FD50" s="137"/>
      <c r="FE50" s="137"/>
      <c r="FF50" s="137"/>
      <c r="FG50" s="137"/>
      <c r="FH50" s="137"/>
      <c r="FI50" s="137"/>
      <c r="FJ50" s="137"/>
      <c r="FK50" s="137"/>
      <c r="FL50" s="137"/>
      <c r="FM50" s="137"/>
      <c r="FN50" s="137"/>
      <c r="FO50" s="137"/>
      <c r="FP50" s="137"/>
      <c r="FQ50" s="137"/>
      <c r="FR50" s="137"/>
      <c r="FS50" s="137"/>
      <c r="FT50" s="137"/>
      <c r="FU50" s="137"/>
      <c r="FV50" s="1"/>
      <c r="FW50" s="95"/>
      <c r="FX50" s="85"/>
      <c r="FY50" s="105"/>
      <c r="FZ50" s="105"/>
      <c r="GA50" s="105"/>
      <c r="GB50" s="105"/>
      <c r="GC50" s="105"/>
      <c r="GD50" s="105"/>
      <c r="GE50" s="105"/>
      <c r="GF50" s="105"/>
      <c r="GG50" s="105"/>
      <c r="GH50" s="1"/>
      <c r="GI50" s="1"/>
      <c r="GJ50" s="1"/>
      <c r="GK50" s="1"/>
      <c r="GL50" s="1"/>
      <c r="GM50" s="1"/>
      <c r="GN50" s="1"/>
      <c r="GO50" s="1"/>
      <c r="GP50" s="1"/>
      <c r="GR50" s="1"/>
      <c r="GS50" s="82"/>
      <c r="GT50" s="82"/>
      <c r="GU50" s="82"/>
      <c r="GV50" s="67"/>
      <c r="GW50" s="1"/>
      <c r="GX50" s="23"/>
      <c r="GY50" s="23"/>
      <c r="GZ50" s="26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0"/>
      <c r="HM50" s="26"/>
      <c r="HN50" s="26"/>
      <c r="HO50" s="26"/>
      <c r="HP50" s="26"/>
      <c r="HQ50" s="26"/>
      <c r="HR50" s="25"/>
      <c r="HS50" s="25"/>
      <c r="HT50" s="25"/>
      <c r="HU50" s="25"/>
      <c r="HV50" s="25"/>
      <c r="HW50" s="25"/>
      <c r="HX50" s="25"/>
      <c r="HY50" s="25"/>
      <c r="HZ50" s="25"/>
      <c r="IA50" s="16"/>
      <c r="IB50" s="25"/>
      <c r="IC50" s="25"/>
      <c r="ID50" s="25"/>
      <c r="IE50" s="25"/>
      <c r="IF50" s="25"/>
      <c r="IG50" s="25"/>
      <c r="IH50" s="25"/>
      <c r="II50" s="25"/>
      <c r="IJ50" s="25"/>
      <c r="IK50" s="25"/>
      <c r="IL50" s="25"/>
      <c r="IM50" s="25"/>
      <c r="IN50" s="25"/>
      <c r="IO50" s="25"/>
    </row>
    <row r="51" spans="2:249" ht="23.25">
      <c r="B51" s="126" t="s">
        <v>51</v>
      </c>
      <c r="C51" s="129">
        <v>72.577696412482879</v>
      </c>
      <c r="D51" s="129" t="s">
        <v>193</v>
      </c>
      <c r="E51" s="129">
        <v>112.29827661699463</v>
      </c>
      <c r="F51" s="129" t="s">
        <v>193</v>
      </c>
      <c r="G51" s="129">
        <v>101.95614944049886</v>
      </c>
      <c r="H51" s="129" t="s">
        <v>193</v>
      </c>
      <c r="I51" s="129">
        <v>121.5453872525303</v>
      </c>
      <c r="J51" s="129" t="s">
        <v>193</v>
      </c>
      <c r="K51" s="129">
        <v>116.06127477826212</v>
      </c>
      <c r="L51" s="129" t="s">
        <v>193</v>
      </c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7"/>
      <c r="CD51" s="137"/>
      <c r="CE51" s="137"/>
      <c r="CF51" s="137"/>
      <c r="CG51" s="137"/>
      <c r="CH51" s="137"/>
      <c r="CI51" s="137"/>
      <c r="CJ51" s="137"/>
      <c r="CK51" s="137"/>
      <c r="CL51" s="137"/>
      <c r="CM51" s="137"/>
      <c r="CN51" s="137"/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7"/>
      <c r="DB51" s="137"/>
      <c r="DC51" s="137"/>
      <c r="DD51" s="137"/>
      <c r="DE51" s="137"/>
      <c r="DF51" s="137"/>
      <c r="DG51" s="137"/>
      <c r="DH51" s="137"/>
      <c r="DI51" s="137"/>
      <c r="DJ51" s="137"/>
      <c r="DK51" s="137"/>
      <c r="DL51" s="137"/>
      <c r="DM51" s="137"/>
      <c r="DN51" s="137"/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37"/>
      <c r="DZ51" s="137"/>
      <c r="EA51" s="137"/>
      <c r="EB51" s="137"/>
      <c r="EC51" s="137"/>
      <c r="ED51" s="137"/>
      <c r="EE51" s="137"/>
      <c r="EF51" s="137"/>
      <c r="EG51" s="137"/>
      <c r="EH51" s="137"/>
      <c r="EI51" s="137"/>
      <c r="EJ51" s="137"/>
      <c r="EK51" s="137"/>
      <c r="EL51" s="137"/>
      <c r="EM51" s="137"/>
      <c r="EN51" s="137"/>
      <c r="EO51" s="137"/>
      <c r="EP51" s="137"/>
      <c r="EQ51" s="137"/>
      <c r="ER51" s="137"/>
      <c r="ES51" s="137"/>
      <c r="ET51" s="137"/>
      <c r="EU51" s="137"/>
      <c r="EV51" s="137"/>
      <c r="EW51" s="137"/>
      <c r="EX51" s="137"/>
      <c r="EY51" s="137"/>
      <c r="EZ51" s="137"/>
      <c r="FA51" s="137"/>
      <c r="FB51" s="137"/>
      <c r="FC51" s="137"/>
      <c r="FD51" s="137"/>
      <c r="FE51" s="137"/>
      <c r="FF51" s="137"/>
      <c r="FG51" s="137"/>
      <c r="FH51" s="137"/>
      <c r="FI51" s="137"/>
      <c r="FJ51" s="137"/>
      <c r="FK51" s="137"/>
      <c r="FL51" s="137"/>
      <c r="FM51" s="137"/>
      <c r="FN51" s="137"/>
      <c r="FO51" s="137"/>
      <c r="FP51" s="137"/>
      <c r="FQ51" s="137"/>
      <c r="FR51" s="137"/>
      <c r="FS51" s="137"/>
      <c r="FT51" s="137"/>
      <c r="FU51" s="137"/>
      <c r="FV51" s="10"/>
      <c r="FW51" s="112"/>
      <c r="FX51" s="92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R51" s="1"/>
      <c r="GS51" s="104"/>
      <c r="GT51" s="104"/>
      <c r="GU51" s="104"/>
      <c r="GV51" s="68"/>
      <c r="GW51" s="1"/>
      <c r="GX51" s="16"/>
      <c r="GY51" s="16"/>
      <c r="GZ51" s="27"/>
      <c r="HA51" s="17"/>
      <c r="HB51" s="17"/>
      <c r="HC51" s="42"/>
      <c r="HD51" s="42"/>
      <c r="HE51" s="42"/>
      <c r="HF51" s="42"/>
      <c r="HG51" s="42"/>
      <c r="HH51" s="42"/>
      <c r="HI51" s="42"/>
      <c r="HJ51" s="42"/>
      <c r="HK51" s="42"/>
      <c r="HL51" s="20"/>
      <c r="HM51" s="27"/>
      <c r="HN51" s="27"/>
      <c r="HO51" s="27"/>
      <c r="HP51" s="27"/>
      <c r="HQ51" s="27"/>
      <c r="HR51" s="17"/>
      <c r="HS51" s="17"/>
      <c r="HT51" s="17"/>
      <c r="HU51" s="17"/>
      <c r="HV51" s="17"/>
      <c r="HW51" s="17"/>
      <c r="HX51" s="17"/>
      <c r="HY51" s="17"/>
      <c r="HZ51" s="17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</row>
    <row r="52" spans="2:249" ht="23.25">
      <c r="B52" s="127" t="s">
        <v>52</v>
      </c>
      <c r="C52" s="128">
        <v>67.497257663609076</v>
      </c>
      <c r="D52" s="128" t="s">
        <v>193</v>
      </c>
      <c r="E52" s="128">
        <v>103.31441448763506</v>
      </c>
      <c r="F52" s="128" t="s">
        <v>193</v>
      </c>
      <c r="G52" s="128">
        <v>94.819218979663944</v>
      </c>
      <c r="H52" s="128" t="s">
        <v>193</v>
      </c>
      <c r="I52" s="128">
        <v>109.49084852727727</v>
      </c>
      <c r="J52" s="128" t="s">
        <v>193</v>
      </c>
      <c r="K52" s="128">
        <v>110.25821103934902</v>
      </c>
      <c r="L52" s="128" t="s">
        <v>193</v>
      </c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  <c r="CC52" s="137"/>
      <c r="CD52" s="137"/>
      <c r="CE52" s="137"/>
      <c r="CF52" s="137"/>
      <c r="CG52" s="137"/>
      <c r="CH52" s="137"/>
      <c r="CI52" s="137"/>
      <c r="CJ52" s="137"/>
      <c r="CK52" s="137"/>
      <c r="CL52" s="137"/>
      <c r="CM52" s="137"/>
      <c r="CN52" s="137"/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7"/>
      <c r="DB52" s="137"/>
      <c r="DC52" s="137"/>
      <c r="DD52" s="137"/>
      <c r="DE52" s="137"/>
      <c r="DF52" s="137"/>
      <c r="DG52" s="137"/>
      <c r="DH52" s="137"/>
      <c r="DI52" s="137"/>
      <c r="DJ52" s="137"/>
      <c r="DK52" s="137"/>
      <c r="DL52" s="137"/>
      <c r="DM52" s="137"/>
      <c r="DN52" s="137"/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37"/>
      <c r="DZ52" s="137"/>
      <c r="EA52" s="137"/>
      <c r="EB52" s="137"/>
      <c r="EC52" s="137"/>
      <c r="ED52" s="137"/>
      <c r="EE52" s="137"/>
      <c r="EF52" s="137"/>
      <c r="EG52" s="137"/>
      <c r="EH52" s="137"/>
      <c r="EI52" s="137"/>
      <c r="EJ52" s="137"/>
      <c r="EK52" s="137"/>
      <c r="EL52" s="137"/>
      <c r="EM52" s="137"/>
      <c r="EN52" s="137"/>
      <c r="EO52" s="137"/>
      <c r="EP52" s="137"/>
      <c r="EQ52" s="137"/>
      <c r="ER52" s="137"/>
      <c r="ES52" s="137"/>
      <c r="ET52" s="137"/>
      <c r="EU52" s="137"/>
      <c r="EV52" s="137"/>
      <c r="EW52" s="137"/>
      <c r="EX52" s="137"/>
      <c r="EY52" s="137"/>
      <c r="EZ52" s="137"/>
      <c r="FA52" s="137"/>
      <c r="FB52" s="137"/>
      <c r="FC52" s="137"/>
      <c r="FD52" s="137"/>
      <c r="FE52" s="137"/>
      <c r="FF52" s="137"/>
      <c r="FG52" s="137"/>
      <c r="FH52" s="137"/>
      <c r="FI52" s="137"/>
      <c r="FJ52" s="137"/>
      <c r="FK52" s="137"/>
      <c r="FL52" s="137"/>
      <c r="FM52" s="137"/>
      <c r="FN52" s="137"/>
      <c r="FO52" s="137"/>
      <c r="FP52" s="137"/>
      <c r="FQ52" s="137"/>
      <c r="FR52" s="137"/>
      <c r="FS52" s="137"/>
      <c r="FT52" s="137"/>
      <c r="FU52" s="137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R52" s="1"/>
      <c r="GS52" s="82"/>
      <c r="GT52" s="82"/>
      <c r="GU52" s="82"/>
      <c r="GV52" s="69"/>
      <c r="GW52" s="1"/>
      <c r="GX52" s="23"/>
      <c r="GY52" s="23"/>
      <c r="GZ52" s="26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0"/>
      <c r="HM52" s="26"/>
      <c r="HN52" s="26"/>
      <c r="HO52" s="26"/>
      <c r="HP52" s="26"/>
      <c r="HQ52" s="26"/>
      <c r="HR52" s="25"/>
      <c r="HS52" s="25"/>
      <c r="HT52" s="25"/>
      <c r="HU52" s="25"/>
      <c r="HV52" s="25"/>
      <c r="HW52" s="25"/>
      <c r="HX52" s="25"/>
      <c r="HY52" s="25"/>
      <c r="HZ52" s="25"/>
      <c r="IA52" s="16"/>
      <c r="IB52" s="25"/>
      <c r="IC52" s="25"/>
      <c r="ID52" s="25"/>
      <c r="IE52" s="25"/>
      <c r="IF52" s="25"/>
      <c r="IG52" s="25"/>
      <c r="IH52" s="25"/>
      <c r="II52" s="25"/>
      <c r="IJ52" s="25"/>
      <c r="IK52" s="25"/>
      <c r="IL52" s="25"/>
      <c r="IM52" s="25"/>
      <c r="IN52" s="25"/>
      <c r="IO52" s="25"/>
    </row>
    <row r="53" spans="2:249" ht="23.25">
      <c r="B53" s="126" t="s">
        <v>53</v>
      </c>
      <c r="C53" s="129">
        <v>65.472339933700809</v>
      </c>
      <c r="D53" s="129" t="s">
        <v>193</v>
      </c>
      <c r="E53" s="129">
        <v>92.982973038871549</v>
      </c>
      <c r="F53" s="129" t="s">
        <v>193</v>
      </c>
      <c r="G53" s="129">
        <v>91.0264502204774</v>
      </c>
      <c r="H53" s="129" t="s">
        <v>193</v>
      </c>
      <c r="I53" s="129">
        <v>102.98139761564063</v>
      </c>
      <c r="J53" s="129" t="s">
        <v>193</v>
      </c>
      <c r="K53" s="129">
        <v>104.74530048738157</v>
      </c>
      <c r="L53" s="129" t="s">
        <v>193</v>
      </c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  <c r="CC53" s="137"/>
      <c r="CD53" s="137"/>
      <c r="CE53" s="137"/>
      <c r="CF53" s="137"/>
      <c r="CG53" s="137"/>
      <c r="CH53" s="137"/>
      <c r="CI53" s="137"/>
      <c r="CJ53" s="137"/>
      <c r="CK53" s="137"/>
      <c r="CL53" s="137"/>
      <c r="CM53" s="137"/>
      <c r="CN53" s="137"/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7"/>
      <c r="DB53" s="137"/>
      <c r="DC53" s="137"/>
      <c r="DD53" s="137"/>
      <c r="DE53" s="137"/>
      <c r="DF53" s="137"/>
      <c r="DG53" s="137"/>
      <c r="DH53" s="137"/>
      <c r="DI53" s="137"/>
      <c r="DJ53" s="137"/>
      <c r="DK53" s="137"/>
      <c r="DL53" s="137"/>
      <c r="DM53" s="137"/>
      <c r="DN53" s="137"/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37"/>
      <c r="DZ53" s="137"/>
      <c r="EA53" s="137"/>
      <c r="EB53" s="137"/>
      <c r="EC53" s="137"/>
      <c r="ED53" s="137"/>
      <c r="EE53" s="137"/>
      <c r="EF53" s="137"/>
      <c r="EG53" s="137"/>
      <c r="EH53" s="137"/>
      <c r="EI53" s="137"/>
      <c r="EJ53" s="137"/>
      <c r="EK53" s="137"/>
      <c r="EL53" s="137"/>
      <c r="EM53" s="137"/>
      <c r="EN53" s="137"/>
      <c r="EO53" s="137"/>
      <c r="EP53" s="137"/>
      <c r="EQ53" s="137"/>
      <c r="ER53" s="137"/>
      <c r="ES53" s="137"/>
      <c r="ET53" s="137"/>
      <c r="EU53" s="137"/>
      <c r="EV53" s="137"/>
      <c r="EW53" s="137"/>
      <c r="EX53" s="137"/>
      <c r="EY53" s="137"/>
      <c r="EZ53" s="137"/>
      <c r="FA53" s="137"/>
      <c r="FB53" s="137"/>
      <c r="FC53" s="137"/>
      <c r="FD53" s="137"/>
      <c r="FE53" s="137"/>
      <c r="FF53" s="137"/>
      <c r="FG53" s="137"/>
      <c r="FH53" s="137"/>
      <c r="FI53" s="137"/>
      <c r="FJ53" s="137"/>
      <c r="FK53" s="137"/>
      <c r="FL53" s="137"/>
      <c r="FM53" s="137"/>
      <c r="FN53" s="137"/>
      <c r="FO53" s="137"/>
      <c r="FP53" s="137"/>
      <c r="FQ53" s="137"/>
      <c r="FR53" s="137"/>
      <c r="FS53" s="137"/>
      <c r="FT53" s="137"/>
      <c r="FU53" s="137"/>
      <c r="FV53" s="1"/>
      <c r="FW53" s="80"/>
      <c r="FX53" s="80"/>
      <c r="FY53" s="80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R53" s="1"/>
      <c r="GS53" s="1"/>
      <c r="GT53" s="1"/>
      <c r="GU53" s="1"/>
      <c r="GV53" s="32"/>
      <c r="GW53" s="1"/>
      <c r="GX53" s="16"/>
      <c r="GY53" s="16"/>
      <c r="GZ53" s="4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</row>
    <row r="54" spans="2:249">
      <c r="B54" s="127" t="s">
        <v>54</v>
      </c>
      <c r="C54" s="128">
        <v>3011.7276369502374</v>
      </c>
      <c r="D54" s="128" t="s">
        <v>4</v>
      </c>
      <c r="E54" s="128">
        <v>4416.6912193463986</v>
      </c>
      <c r="F54" s="128" t="s">
        <v>4</v>
      </c>
      <c r="G54" s="128">
        <v>4323.7563854726768</v>
      </c>
      <c r="H54" s="128" t="s">
        <v>4</v>
      </c>
      <c r="I54" s="128">
        <v>4641.1535915116492</v>
      </c>
      <c r="J54" s="128" t="s">
        <v>4</v>
      </c>
      <c r="K54" s="128">
        <v>5080.1470736380061</v>
      </c>
      <c r="L54" s="128" t="s">
        <v>4</v>
      </c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  <c r="CC54" s="137"/>
      <c r="CD54" s="137"/>
      <c r="CE54" s="137"/>
      <c r="CF54" s="137"/>
      <c r="CG54" s="137"/>
      <c r="CH54" s="137"/>
      <c r="CI54" s="137"/>
      <c r="CJ54" s="137"/>
      <c r="CK54" s="137"/>
      <c r="CL54" s="137"/>
      <c r="CM54" s="137"/>
      <c r="CN54" s="137"/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7"/>
      <c r="DB54" s="137"/>
      <c r="DC54" s="137"/>
      <c r="DD54" s="137"/>
      <c r="DE54" s="137"/>
      <c r="DF54" s="137"/>
      <c r="DG54" s="137"/>
      <c r="DH54" s="137"/>
      <c r="DI54" s="137"/>
      <c r="DJ54" s="137"/>
      <c r="DK54" s="137"/>
      <c r="DL54" s="137"/>
      <c r="DM54" s="137"/>
      <c r="DN54" s="137"/>
      <c r="DO54" s="137"/>
      <c r="DP54" s="137"/>
      <c r="DQ54" s="137"/>
      <c r="DR54" s="137"/>
      <c r="DS54" s="137"/>
      <c r="DT54" s="137"/>
      <c r="DU54" s="137"/>
      <c r="DV54" s="137"/>
      <c r="DW54" s="137"/>
      <c r="DX54" s="137"/>
      <c r="DY54" s="137"/>
      <c r="DZ54" s="137"/>
      <c r="EA54" s="137"/>
      <c r="EB54" s="137"/>
      <c r="EC54" s="137"/>
      <c r="ED54" s="137"/>
      <c r="EE54" s="137"/>
      <c r="EF54" s="137"/>
      <c r="EG54" s="137"/>
      <c r="EH54" s="137"/>
      <c r="EI54" s="137"/>
      <c r="EJ54" s="137"/>
      <c r="EK54" s="137"/>
      <c r="EL54" s="137"/>
      <c r="EM54" s="137"/>
      <c r="EN54" s="137"/>
      <c r="EO54" s="137"/>
      <c r="EP54" s="137"/>
      <c r="EQ54" s="137"/>
      <c r="ER54" s="137"/>
      <c r="ES54" s="137"/>
      <c r="ET54" s="137"/>
      <c r="EU54" s="137"/>
      <c r="EV54" s="137"/>
      <c r="EW54" s="137"/>
      <c r="EX54" s="137"/>
      <c r="EY54" s="137"/>
      <c r="EZ54" s="137"/>
      <c r="FA54" s="137"/>
      <c r="FB54" s="137"/>
      <c r="FC54" s="137"/>
      <c r="FD54" s="137"/>
      <c r="FE54" s="137"/>
      <c r="FF54" s="137"/>
      <c r="FG54" s="137"/>
      <c r="FH54" s="137"/>
      <c r="FI54" s="137"/>
      <c r="FJ54" s="137"/>
      <c r="FK54" s="137"/>
      <c r="FL54" s="137"/>
      <c r="FM54" s="137"/>
      <c r="FN54" s="137"/>
      <c r="FO54" s="137"/>
      <c r="FP54" s="137"/>
      <c r="FQ54" s="137"/>
      <c r="FR54" s="137"/>
      <c r="FS54" s="137"/>
      <c r="FT54" s="137"/>
      <c r="FU54" s="137"/>
      <c r="FV54" s="1"/>
      <c r="FW54" s="80"/>
      <c r="FX54" s="1"/>
      <c r="FY54" s="84"/>
      <c r="FZ54" s="84"/>
      <c r="GA54" s="84"/>
      <c r="GB54" s="84"/>
      <c r="GC54" s="84"/>
      <c r="GD54" s="84"/>
      <c r="GE54" s="84"/>
      <c r="GF54" s="84"/>
      <c r="GG54" s="84"/>
      <c r="GH54" s="1"/>
      <c r="GI54" s="84"/>
      <c r="GJ54" s="84"/>
      <c r="GK54" s="84"/>
      <c r="GL54" s="84"/>
      <c r="GM54" s="84"/>
      <c r="GN54" s="84"/>
      <c r="GO54" s="84"/>
      <c r="GP54" s="84"/>
      <c r="GR54" s="14"/>
      <c r="GS54" s="14"/>
      <c r="GT54" s="14"/>
      <c r="GU54" s="14"/>
      <c r="GV54" s="65"/>
      <c r="GW54" s="1"/>
      <c r="GX54" s="14"/>
      <c r="GY54" s="14"/>
      <c r="GZ54" s="47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"/>
      <c r="HM54" s="14"/>
      <c r="HN54" s="14"/>
      <c r="HO54" s="14"/>
      <c r="HP54" s="14"/>
      <c r="HQ54" s="14"/>
      <c r="HR54" s="14"/>
      <c r="HS54" s="14"/>
      <c r="HT54" s="14"/>
      <c r="HU54" s="14"/>
      <c r="HV54" s="14"/>
      <c r="HW54" s="14"/>
      <c r="HX54" s="14"/>
      <c r="HY54" s="14"/>
      <c r="HZ54" s="14"/>
      <c r="IA54" s="1"/>
      <c r="IB54" s="14"/>
      <c r="IC54" s="14"/>
      <c r="ID54" s="14"/>
      <c r="IE54" s="14"/>
      <c r="IF54" s="14"/>
      <c r="IG54" s="14"/>
      <c r="IH54" s="14"/>
      <c r="II54" s="14"/>
      <c r="IJ54" s="14"/>
      <c r="IK54" s="14"/>
      <c r="IL54" s="14"/>
      <c r="IM54" s="14"/>
      <c r="IN54" s="14"/>
      <c r="IO54" s="14"/>
    </row>
    <row r="55" spans="2:249" ht="23.25">
      <c r="B55" s="126" t="s">
        <v>55</v>
      </c>
      <c r="C55" s="129">
        <v>57.222825102054514</v>
      </c>
      <c r="D55" s="129" t="s">
        <v>193</v>
      </c>
      <c r="E55" s="129">
        <v>84.800471411450857</v>
      </c>
      <c r="F55" s="129" t="s">
        <v>193</v>
      </c>
      <c r="G55" s="129">
        <v>83.016122601075409</v>
      </c>
      <c r="H55" s="129" t="s">
        <v>193</v>
      </c>
      <c r="I55" s="129">
        <v>89.162918238721332</v>
      </c>
      <c r="J55" s="129" t="s">
        <v>193</v>
      </c>
      <c r="K55" s="129">
        <v>94.49073556966691</v>
      </c>
      <c r="L55" s="129" t="s">
        <v>193</v>
      </c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  <c r="CC55" s="137"/>
      <c r="CD55" s="137"/>
      <c r="CE55" s="137"/>
      <c r="CF55" s="137"/>
      <c r="CG55" s="137"/>
      <c r="CH55" s="137"/>
      <c r="CI55" s="137"/>
      <c r="CJ55" s="137"/>
      <c r="CK55" s="137"/>
      <c r="CL55" s="137"/>
      <c r="CM55" s="137"/>
      <c r="CN55" s="137"/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7"/>
      <c r="DB55" s="137"/>
      <c r="DC55" s="137"/>
      <c r="DD55" s="137"/>
      <c r="DE55" s="137"/>
      <c r="DF55" s="137"/>
      <c r="DG55" s="137"/>
      <c r="DH55" s="137"/>
      <c r="DI55" s="137"/>
      <c r="DJ55" s="137"/>
      <c r="DK55" s="137"/>
      <c r="DL55" s="137"/>
      <c r="DM55" s="137"/>
      <c r="DN55" s="137"/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37"/>
      <c r="DZ55" s="137"/>
      <c r="EA55" s="137"/>
      <c r="EB55" s="137"/>
      <c r="EC55" s="137"/>
      <c r="ED55" s="137"/>
      <c r="EE55" s="137"/>
      <c r="EF55" s="137"/>
      <c r="EG55" s="137"/>
      <c r="EH55" s="137"/>
      <c r="EI55" s="137"/>
      <c r="EJ55" s="137"/>
      <c r="EK55" s="137"/>
      <c r="EL55" s="137"/>
      <c r="EM55" s="137"/>
      <c r="EN55" s="137"/>
      <c r="EO55" s="137"/>
      <c r="EP55" s="137"/>
      <c r="EQ55" s="137"/>
      <c r="ER55" s="137"/>
      <c r="ES55" s="137"/>
      <c r="ET55" s="137"/>
      <c r="EU55" s="137"/>
      <c r="EV55" s="137"/>
      <c r="EW55" s="137"/>
      <c r="EX55" s="137"/>
      <c r="EY55" s="137"/>
      <c r="EZ55" s="137"/>
      <c r="FA55" s="137"/>
      <c r="FB55" s="137"/>
      <c r="FC55" s="137"/>
      <c r="FD55" s="137"/>
      <c r="FE55" s="137"/>
      <c r="FF55" s="137"/>
      <c r="FG55" s="137"/>
      <c r="FH55" s="137"/>
      <c r="FI55" s="137"/>
      <c r="FJ55" s="137"/>
      <c r="FK55" s="137"/>
      <c r="FL55" s="137"/>
      <c r="FM55" s="137"/>
      <c r="FN55" s="137"/>
      <c r="FO55" s="137"/>
      <c r="FP55" s="137"/>
      <c r="FQ55" s="137"/>
      <c r="FR55" s="137"/>
      <c r="FS55" s="137"/>
      <c r="FT55" s="137"/>
      <c r="FU55" s="137"/>
      <c r="FV55" s="1"/>
      <c r="FW55" s="80"/>
      <c r="FX55" s="1"/>
      <c r="FY55" s="84"/>
      <c r="FZ55" s="84"/>
      <c r="GA55" s="84"/>
      <c r="GB55" s="84"/>
      <c r="GC55" s="84"/>
      <c r="GD55" s="84"/>
      <c r="GE55" s="84"/>
      <c r="GF55" s="84"/>
      <c r="GG55" s="84"/>
      <c r="GH55" s="1"/>
      <c r="GI55" s="84"/>
      <c r="GJ55" s="84"/>
      <c r="GK55" s="84"/>
      <c r="GL55" s="84"/>
      <c r="GM55" s="84"/>
      <c r="GN55" s="84"/>
      <c r="GO55" s="84"/>
      <c r="GP55" s="84"/>
      <c r="GR55" s="1"/>
      <c r="GS55" s="86"/>
      <c r="GT55" s="88"/>
      <c r="GU55" s="87"/>
      <c r="GV55" s="68"/>
      <c r="GW55" s="1"/>
      <c r="GX55" s="16"/>
      <c r="GY55" s="16"/>
      <c r="GZ55" s="44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</row>
    <row r="56" spans="2:249" ht="23.25">
      <c r="B56" s="127" t="s">
        <v>56</v>
      </c>
      <c r="C56" s="132">
        <v>54.361683846951792</v>
      </c>
      <c r="D56" s="132" t="s">
        <v>193</v>
      </c>
      <c r="E56" s="132">
        <v>82.256457269107329</v>
      </c>
      <c r="F56" s="132" t="s">
        <v>193</v>
      </c>
      <c r="G56" s="132">
        <v>74.714510340967863</v>
      </c>
      <c r="H56" s="132" t="s">
        <v>193</v>
      </c>
      <c r="I56" s="132">
        <v>83.873143144398043</v>
      </c>
      <c r="J56" s="132" t="s">
        <v>193</v>
      </c>
      <c r="K56" s="132">
        <v>91.656013502576897</v>
      </c>
      <c r="L56" s="132" t="s">
        <v>193</v>
      </c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  <c r="CC56" s="137"/>
      <c r="CD56" s="137"/>
      <c r="CE56" s="137"/>
      <c r="CF56" s="137"/>
      <c r="CG56" s="137"/>
      <c r="CH56" s="137"/>
      <c r="CI56" s="137"/>
      <c r="CJ56" s="137"/>
      <c r="CK56" s="137"/>
      <c r="CL56" s="137"/>
      <c r="CM56" s="137"/>
      <c r="CN56" s="137"/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7"/>
      <c r="DB56" s="137"/>
      <c r="DC56" s="137"/>
      <c r="DD56" s="137"/>
      <c r="DE56" s="137"/>
      <c r="DF56" s="137"/>
      <c r="DG56" s="137"/>
      <c r="DH56" s="137"/>
      <c r="DI56" s="137"/>
      <c r="DJ56" s="137"/>
      <c r="DK56" s="137"/>
      <c r="DL56" s="137"/>
      <c r="DM56" s="137"/>
      <c r="DN56" s="137"/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37"/>
      <c r="DZ56" s="137"/>
      <c r="EA56" s="137"/>
      <c r="EB56" s="137"/>
      <c r="EC56" s="137"/>
      <c r="ED56" s="137"/>
      <c r="EE56" s="137"/>
      <c r="EF56" s="137"/>
      <c r="EG56" s="137"/>
      <c r="EH56" s="137"/>
      <c r="EI56" s="137"/>
      <c r="EJ56" s="137"/>
      <c r="EK56" s="137"/>
      <c r="EL56" s="137"/>
      <c r="EM56" s="137"/>
      <c r="EN56" s="137"/>
      <c r="EO56" s="137"/>
      <c r="EP56" s="137"/>
      <c r="EQ56" s="137"/>
      <c r="ER56" s="137"/>
      <c r="ES56" s="137"/>
      <c r="ET56" s="137"/>
      <c r="EU56" s="137"/>
      <c r="EV56" s="137"/>
      <c r="EW56" s="137"/>
      <c r="EX56" s="137"/>
      <c r="EY56" s="137"/>
      <c r="EZ56" s="137"/>
      <c r="FA56" s="137"/>
      <c r="FB56" s="137"/>
      <c r="FC56" s="137"/>
      <c r="FD56" s="137"/>
      <c r="FE56" s="137"/>
      <c r="FF56" s="137"/>
      <c r="FG56" s="137"/>
      <c r="FH56" s="137"/>
      <c r="FI56" s="137"/>
      <c r="FJ56" s="137"/>
      <c r="FK56" s="137"/>
      <c r="FL56" s="137"/>
      <c r="FM56" s="137"/>
      <c r="FN56" s="137"/>
      <c r="FO56" s="137"/>
      <c r="FP56" s="137"/>
      <c r="FQ56" s="137"/>
      <c r="FR56" s="137"/>
      <c r="FS56" s="137"/>
      <c r="FT56" s="137"/>
      <c r="FU56" s="137"/>
      <c r="FV56" s="1"/>
      <c r="FW56" s="80"/>
      <c r="FX56" s="1"/>
      <c r="FY56" s="84"/>
      <c r="FZ56" s="84"/>
      <c r="GA56" s="84"/>
      <c r="GB56" s="84"/>
      <c r="GC56" s="84"/>
      <c r="GD56" s="84"/>
      <c r="GE56" s="84"/>
      <c r="GF56" s="84"/>
      <c r="GG56" s="84"/>
      <c r="GH56" s="1"/>
      <c r="GI56" s="84"/>
      <c r="GJ56" s="84"/>
      <c r="GK56" s="84"/>
      <c r="GL56" s="84"/>
      <c r="GM56" s="84"/>
      <c r="GN56" s="84"/>
      <c r="GO56" s="84"/>
      <c r="GP56" s="84"/>
      <c r="GR56" s="1"/>
      <c r="GS56" s="86"/>
      <c r="GT56" s="86"/>
      <c r="GU56" s="87"/>
      <c r="GV56" s="68"/>
      <c r="GW56" s="1"/>
      <c r="GX56" s="16"/>
      <c r="GY56" s="16"/>
      <c r="GZ56" s="2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20"/>
      <c r="HM56" s="30"/>
      <c r="HN56" s="30"/>
      <c r="HO56" s="30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6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</row>
    <row r="57" spans="2:249" ht="23.25">
      <c r="B57" s="126" t="s">
        <v>57</v>
      </c>
      <c r="C57" s="129">
        <v>50.556365977665166</v>
      </c>
      <c r="D57" s="129" t="s">
        <v>193</v>
      </c>
      <c r="E57" s="129">
        <v>77.321069832960887</v>
      </c>
      <c r="F57" s="129" t="s">
        <v>193</v>
      </c>
      <c r="G57" s="129">
        <v>67.243059306871075</v>
      </c>
      <c r="H57" s="129" t="s">
        <v>193</v>
      </c>
      <c r="I57" s="129">
        <v>78.900754555734167</v>
      </c>
      <c r="J57" s="129" t="s">
        <v>193</v>
      </c>
      <c r="K57" s="129">
        <v>87.07321282744806</v>
      </c>
      <c r="L57" s="129" t="s">
        <v>193</v>
      </c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  <c r="CC57" s="137"/>
      <c r="CD57" s="137"/>
      <c r="CE57" s="137"/>
      <c r="CF57" s="137"/>
      <c r="CG57" s="137"/>
      <c r="CH57" s="137"/>
      <c r="CI57" s="137"/>
      <c r="CJ57" s="137"/>
      <c r="CK57" s="137"/>
      <c r="CL57" s="137"/>
      <c r="CM57" s="137"/>
      <c r="CN57" s="137"/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7"/>
      <c r="DB57" s="137"/>
      <c r="DC57" s="137"/>
      <c r="DD57" s="137"/>
      <c r="DE57" s="137"/>
      <c r="DF57" s="137"/>
      <c r="DG57" s="137"/>
      <c r="DH57" s="137"/>
      <c r="DI57" s="137"/>
      <c r="DJ57" s="137"/>
      <c r="DK57" s="137"/>
      <c r="DL57" s="137"/>
      <c r="DM57" s="137"/>
      <c r="DN57" s="137"/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37"/>
      <c r="DZ57" s="137"/>
      <c r="EA57" s="137"/>
      <c r="EB57" s="137"/>
      <c r="EC57" s="137"/>
      <c r="ED57" s="137"/>
      <c r="EE57" s="137"/>
      <c r="EF57" s="137"/>
      <c r="EG57" s="137"/>
      <c r="EH57" s="137"/>
      <c r="EI57" s="137"/>
      <c r="EJ57" s="137"/>
      <c r="EK57" s="137"/>
      <c r="EL57" s="137"/>
      <c r="EM57" s="137"/>
      <c r="EN57" s="137"/>
      <c r="EO57" s="137"/>
      <c r="EP57" s="137"/>
      <c r="EQ57" s="137"/>
      <c r="ER57" s="137"/>
      <c r="ES57" s="137"/>
      <c r="ET57" s="137"/>
      <c r="EU57" s="137"/>
      <c r="EV57" s="137"/>
      <c r="EW57" s="137"/>
      <c r="EX57" s="137"/>
      <c r="EY57" s="137"/>
      <c r="EZ57" s="137"/>
      <c r="FA57" s="137"/>
      <c r="FB57" s="137"/>
      <c r="FC57" s="137"/>
      <c r="FD57" s="137"/>
      <c r="FE57" s="137"/>
      <c r="FF57" s="137"/>
      <c r="FG57" s="137"/>
      <c r="FH57" s="137"/>
      <c r="FI57" s="137"/>
      <c r="FJ57" s="137"/>
      <c r="FK57" s="137"/>
      <c r="FL57" s="137"/>
      <c r="FM57" s="137"/>
      <c r="FN57" s="137"/>
      <c r="FO57" s="137"/>
      <c r="FP57" s="137"/>
      <c r="FQ57" s="137"/>
      <c r="FR57" s="137"/>
      <c r="FS57" s="137"/>
      <c r="FT57" s="137"/>
      <c r="FU57" s="137"/>
      <c r="FV57" s="1"/>
      <c r="FW57" s="80"/>
      <c r="FX57" s="1"/>
      <c r="FY57" s="84"/>
      <c r="FZ57" s="84"/>
      <c r="GA57" s="84"/>
      <c r="GB57" s="84"/>
      <c r="GC57" s="84"/>
      <c r="GD57" s="84"/>
      <c r="GE57" s="84"/>
      <c r="GF57" s="84"/>
      <c r="GG57" s="84"/>
      <c r="GH57" s="1"/>
      <c r="GI57" s="84"/>
      <c r="GJ57" s="84"/>
      <c r="GK57" s="84"/>
      <c r="GL57" s="84"/>
      <c r="GM57" s="84"/>
      <c r="GN57" s="84"/>
      <c r="GO57" s="84"/>
      <c r="GP57" s="84"/>
      <c r="GR57" s="1"/>
      <c r="GS57" s="86"/>
      <c r="GT57" s="87"/>
      <c r="GU57" s="87"/>
      <c r="GV57" s="68"/>
      <c r="GW57" s="1"/>
      <c r="GX57" s="16"/>
      <c r="GY57" s="16"/>
      <c r="GZ57" s="2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20"/>
      <c r="HM57" s="30"/>
      <c r="HN57" s="30"/>
      <c r="HO57" s="30"/>
      <c r="HP57" s="33"/>
      <c r="HQ57" s="33"/>
      <c r="HR57" s="33"/>
      <c r="HS57" s="33"/>
      <c r="HT57" s="33"/>
      <c r="HU57" s="33"/>
      <c r="HV57" s="33"/>
      <c r="HW57" s="33"/>
      <c r="HX57" s="33"/>
      <c r="HY57" s="33"/>
      <c r="HZ57" s="33"/>
      <c r="IA57" s="16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</row>
    <row r="58" spans="2:249">
      <c r="B58" s="127" t="s">
        <v>58</v>
      </c>
      <c r="C58" s="128">
        <v>2426.705566927928</v>
      </c>
      <c r="D58" s="128" t="s">
        <v>4</v>
      </c>
      <c r="E58" s="128">
        <v>3711.4113519821231</v>
      </c>
      <c r="F58" s="128" t="s">
        <v>4</v>
      </c>
      <c r="G58" s="128">
        <v>3059.5591984626335</v>
      </c>
      <c r="H58" s="128" t="s">
        <v>4</v>
      </c>
      <c r="I58" s="128">
        <v>3545.4843322859047</v>
      </c>
      <c r="J58" s="128" t="s">
        <v>4</v>
      </c>
      <c r="K58" s="128">
        <v>4223.0508221312311</v>
      </c>
      <c r="L58" s="128" t="s">
        <v>4</v>
      </c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7"/>
      <c r="CD58" s="137"/>
      <c r="CE58" s="137"/>
      <c r="CF58" s="137"/>
      <c r="CG58" s="137"/>
      <c r="CH58" s="137"/>
      <c r="CI58" s="137"/>
      <c r="CJ58" s="137"/>
      <c r="CK58" s="137"/>
      <c r="CL58" s="137"/>
      <c r="CM58" s="137"/>
      <c r="CN58" s="137"/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7"/>
      <c r="DB58" s="137"/>
      <c r="DC58" s="137"/>
      <c r="DD58" s="137"/>
      <c r="DE58" s="137"/>
      <c r="DF58" s="137"/>
      <c r="DG58" s="137"/>
      <c r="DH58" s="137"/>
      <c r="DI58" s="137"/>
      <c r="DJ58" s="137"/>
      <c r="DK58" s="137"/>
      <c r="DL58" s="137"/>
      <c r="DM58" s="137"/>
      <c r="DN58" s="137"/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37"/>
      <c r="DZ58" s="137"/>
      <c r="EA58" s="137"/>
      <c r="EB58" s="137"/>
      <c r="EC58" s="137"/>
      <c r="ED58" s="137"/>
      <c r="EE58" s="137"/>
      <c r="EF58" s="137"/>
      <c r="EG58" s="137"/>
      <c r="EH58" s="137"/>
      <c r="EI58" s="137"/>
      <c r="EJ58" s="137"/>
      <c r="EK58" s="137"/>
      <c r="EL58" s="137"/>
      <c r="EM58" s="137"/>
      <c r="EN58" s="137"/>
      <c r="EO58" s="137"/>
      <c r="EP58" s="137"/>
      <c r="EQ58" s="137"/>
      <c r="ER58" s="137"/>
      <c r="ES58" s="137"/>
      <c r="ET58" s="137"/>
      <c r="EU58" s="137"/>
      <c r="EV58" s="137"/>
      <c r="EW58" s="137"/>
      <c r="EX58" s="137"/>
      <c r="EY58" s="137"/>
      <c r="EZ58" s="137"/>
      <c r="FA58" s="137"/>
      <c r="FB58" s="137"/>
      <c r="FC58" s="137"/>
      <c r="FD58" s="137"/>
      <c r="FE58" s="137"/>
      <c r="FF58" s="137"/>
      <c r="FG58" s="137"/>
      <c r="FH58" s="137"/>
      <c r="FI58" s="137"/>
      <c r="FJ58" s="137"/>
      <c r="FK58" s="137"/>
      <c r="FL58" s="137"/>
      <c r="FM58" s="137"/>
      <c r="FN58" s="137"/>
      <c r="FO58" s="137"/>
      <c r="FP58" s="137"/>
      <c r="FQ58" s="137"/>
      <c r="FR58" s="137"/>
      <c r="FS58" s="137"/>
      <c r="FT58" s="137"/>
      <c r="FU58" s="137"/>
      <c r="FV58" s="1"/>
      <c r="FW58" s="80"/>
      <c r="FX58" s="1"/>
      <c r="FY58" s="84"/>
      <c r="FZ58" s="84"/>
      <c r="GA58" s="84"/>
      <c r="GB58" s="84"/>
      <c r="GC58" s="84"/>
      <c r="GD58" s="84"/>
      <c r="GE58" s="84"/>
      <c r="GF58" s="84"/>
      <c r="GG58" s="84"/>
      <c r="GH58" s="1"/>
      <c r="GI58" s="84"/>
      <c r="GJ58" s="84"/>
      <c r="GK58" s="84"/>
      <c r="GL58" s="84"/>
      <c r="GM58" s="84"/>
      <c r="GN58" s="84"/>
      <c r="GO58" s="84"/>
      <c r="GP58" s="84"/>
      <c r="GR58" s="1"/>
      <c r="GS58" s="87"/>
      <c r="GT58" s="87"/>
      <c r="GU58" s="86"/>
      <c r="GV58" s="68"/>
      <c r="GW58" s="1"/>
      <c r="GX58" s="16"/>
      <c r="GY58" s="16"/>
      <c r="GZ58" s="50"/>
      <c r="HA58" s="50"/>
      <c r="HB58" s="50"/>
      <c r="HC58" s="50"/>
      <c r="HD58" s="50"/>
      <c r="HE58" s="50"/>
      <c r="HF58" s="50"/>
      <c r="HG58" s="50"/>
      <c r="HH58" s="17"/>
      <c r="HI58" s="17"/>
      <c r="HJ58" s="17"/>
      <c r="HK58" s="17"/>
      <c r="HL58" s="20"/>
      <c r="HM58" s="30"/>
      <c r="HN58" s="30"/>
      <c r="HO58" s="30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</row>
    <row r="59" spans="2:249" ht="23.25">
      <c r="B59" s="126" t="s">
        <v>59</v>
      </c>
      <c r="C59" s="129">
        <v>45.622064658245044</v>
      </c>
      <c r="D59" s="129" t="s">
        <v>193</v>
      </c>
      <c r="E59" s="129">
        <v>69.774533417263925</v>
      </c>
      <c r="F59" s="129" t="s">
        <v>193</v>
      </c>
      <c r="G59" s="129">
        <v>56.907801091404984</v>
      </c>
      <c r="H59" s="129" t="s">
        <v>193</v>
      </c>
      <c r="I59" s="129">
        <v>66.927408580517834</v>
      </c>
      <c r="J59" s="129" t="s">
        <v>193</v>
      </c>
      <c r="K59" s="129">
        <v>80.237965620493384</v>
      </c>
      <c r="L59" s="129" t="s">
        <v>193</v>
      </c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  <c r="CC59" s="137"/>
      <c r="CD59" s="137"/>
      <c r="CE59" s="137"/>
      <c r="CF59" s="137"/>
      <c r="CG59" s="137"/>
      <c r="CH59" s="137"/>
      <c r="CI59" s="137"/>
      <c r="CJ59" s="137"/>
      <c r="CK59" s="137"/>
      <c r="CL59" s="137"/>
      <c r="CM59" s="137"/>
      <c r="CN59" s="137"/>
      <c r="CO59" s="137"/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7"/>
      <c r="DB59" s="137"/>
      <c r="DC59" s="137"/>
      <c r="DD59" s="137"/>
      <c r="DE59" s="137"/>
      <c r="DF59" s="137"/>
      <c r="DG59" s="137"/>
      <c r="DH59" s="137"/>
      <c r="DI59" s="137"/>
      <c r="DJ59" s="137"/>
      <c r="DK59" s="137"/>
      <c r="DL59" s="137"/>
      <c r="DM59" s="137"/>
      <c r="DN59" s="137"/>
      <c r="DO59" s="137"/>
      <c r="DP59" s="137"/>
      <c r="DQ59" s="137"/>
      <c r="DR59" s="137"/>
      <c r="DS59" s="137"/>
      <c r="DT59" s="137"/>
      <c r="DU59" s="137"/>
      <c r="DV59" s="137"/>
      <c r="DW59" s="137"/>
      <c r="DX59" s="137"/>
      <c r="DY59" s="137"/>
      <c r="DZ59" s="137"/>
      <c r="EA59" s="137"/>
      <c r="EB59" s="137"/>
      <c r="EC59" s="137"/>
      <c r="ED59" s="137"/>
      <c r="EE59" s="137"/>
      <c r="EF59" s="137"/>
      <c r="EG59" s="137"/>
      <c r="EH59" s="137"/>
      <c r="EI59" s="137"/>
      <c r="EJ59" s="137"/>
      <c r="EK59" s="137"/>
      <c r="EL59" s="137"/>
      <c r="EM59" s="137"/>
      <c r="EN59" s="137"/>
      <c r="EO59" s="137"/>
      <c r="EP59" s="137"/>
      <c r="EQ59" s="137"/>
      <c r="ER59" s="137"/>
      <c r="ES59" s="137"/>
      <c r="ET59" s="137"/>
      <c r="EU59" s="137"/>
      <c r="EV59" s="137"/>
      <c r="EW59" s="137"/>
      <c r="EX59" s="137"/>
      <c r="EY59" s="137"/>
      <c r="EZ59" s="137"/>
      <c r="FA59" s="137"/>
      <c r="FB59" s="137"/>
      <c r="FC59" s="137"/>
      <c r="FD59" s="137"/>
      <c r="FE59" s="137"/>
      <c r="FF59" s="137"/>
      <c r="FG59" s="137"/>
      <c r="FH59" s="137"/>
      <c r="FI59" s="137"/>
      <c r="FJ59" s="137"/>
      <c r="FK59" s="137"/>
      <c r="FL59" s="137"/>
      <c r="FM59" s="137"/>
      <c r="FN59" s="137"/>
      <c r="FO59" s="137"/>
      <c r="FP59" s="137"/>
      <c r="FQ59" s="137"/>
      <c r="FR59" s="137"/>
      <c r="FS59" s="137"/>
      <c r="FT59" s="137"/>
      <c r="FU59" s="137"/>
      <c r="FV59" s="1"/>
      <c r="FW59" s="80"/>
      <c r="FX59" s="1"/>
      <c r="FY59" s="84"/>
      <c r="FZ59" s="84"/>
      <c r="GA59" s="84"/>
      <c r="GB59" s="84"/>
      <c r="GC59" s="84"/>
      <c r="GD59" s="84"/>
      <c r="GE59" s="84"/>
      <c r="GF59" s="84"/>
      <c r="GG59" s="84"/>
      <c r="GH59" s="1"/>
      <c r="GI59" s="84"/>
      <c r="GJ59" s="84"/>
      <c r="GK59" s="84"/>
      <c r="GL59" s="84"/>
      <c r="GM59" s="84"/>
      <c r="GN59" s="84"/>
      <c r="GO59" s="84"/>
      <c r="GP59" s="84"/>
      <c r="GR59" s="1"/>
      <c r="GS59" s="87"/>
      <c r="GT59" s="87"/>
      <c r="GU59" s="86"/>
      <c r="GV59" s="67"/>
      <c r="GW59" s="1"/>
      <c r="GX59" s="50"/>
      <c r="GY59" s="50"/>
      <c r="GZ59" s="50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20"/>
      <c r="HM59" s="29"/>
      <c r="HN59" s="29"/>
      <c r="HO59" s="29"/>
      <c r="HP59" s="25"/>
      <c r="HQ59" s="25"/>
      <c r="HR59" s="25"/>
      <c r="HS59" s="25"/>
      <c r="HT59" s="25"/>
      <c r="HU59" s="25"/>
      <c r="HV59" s="25"/>
      <c r="HW59" s="25"/>
      <c r="HX59" s="25"/>
      <c r="HY59" s="25"/>
      <c r="HZ59" s="25"/>
      <c r="IA59" s="16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</row>
    <row r="60" spans="2:249">
      <c r="B60" s="127" t="s">
        <v>60</v>
      </c>
      <c r="C60" s="128">
        <v>2144.2370389375174</v>
      </c>
      <c r="D60" s="128" t="s">
        <v>4</v>
      </c>
      <c r="E60" s="128">
        <v>3244.5158039027719</v>
      </c>
      <c r="F60" s="128" t="s">
        <v>4</v>
      </c>
      <c r="G60" s="128">
        <v>2560.8510491132242</v>
      </c>
      <c r="H60" s="128" t="s">
        <v>4</v>
      </c>
      <c r="I60" s="128">
        <v>3165.5156118648565</v>
      </c>
      <c r="J60" s="128" t="s">
        <v>4</v>
      </c>
      <c r="K60" s="128">
        <v>3731.0654013529424</v>
      </c>
      <c r="L60" s="128" t="s">
        <v>4</v>
      </c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  <c r="CC60" s="137"/>
      <c r="CD60" s="137"/>
      <c r="CE60" s="137"/>
      <c r="CF60" s="137"/>
      <c r="CG60" s="137"/>
      <c r="CH60" s="137"/>
      <c r="CI60" s="137"/>
      <c r="CJ60" s="137"/>
      <c r="CK60" s="137"/>
      <c r="CL60" s="137"/>
      <c r="CM60" s="137"/>
      <c r="CN60" s="137"/>
      <c r="CO60" s="137"/>
      <c r="CP60" s="137"/>
      <c r="CQ60" s="137"/>
      <c r="CR60" s="137"/>
      <c r="CS60" s="137"/>
      <c r="CT60" s="137"/>
      <c r="CU60" s="137"/>
      <c r="CV60" s="137"/>
      <c r="CW60" s="137"/>
      <c r="CX60" s="137"/>
      <c r="CY60" s="137"/>
      <c r="CZ60" s="137"/>
      <c r="DA60" s="137"/>
      <c r="DB60" s="137"/>
      <c r="DC60" s="137"/>
      <c r="DD60" s="137"/>
      <c r="DE60" s="137"/>
      <c r="DF60" s="137"/>
      <c r="DG60" s="137"/>
      <c r="DH60" s="137"/>
      <c r="DI60" s="137"/>
      <c r="DJ60" s="137"/>
      <c r="DK60" s="137"/>
      <c r="DL60" s="137"/>
      <c r="DM60" s="137"/>
      <c r="DN60" s="137"/>
      <c r="DO60" s="137"/>
      <c r="DP60" s="137"/>
      <c r="DQ60" s="137"/>
      <c r="DR60" s="137"/>
      <c r="DS60" s="137"/>
      <c r="DT60" s="137"/>
      <c r="DU60" s="137"/>
      <c r="DV60" s="137"/>
      <c r="DW60" s="137"/>
      <c r="DX60" s="137"/>
      <c r="DY60" s="137"/>
      <c r="DZ60" s="137"/>
      <c r="EA60" s="137"/>
      <c r="EB60" s="137"/>
      <c r="EC60" s="137"/>
      <c r="ED60" s="137"/>
      <c r="EE60" s="137"/>
      <c r="EF60" s="137"/>
      <c r="EG60" s="137"/>
      <c r="EH60" s="137"/>
      <c r="EI60" s="137"/>
      <c r="EJ60" s="137"/>
      <c r="EK60" s="137"/>
      <c r="EL60" s="137"/>
      <c r="EM60" s="137"/>
      <c r="EN60" s="137"/>
      <c r="EO60" s="137"/>
      <c r="EP60" s="137"/>
      <c r="EQ60" s="137"/>
      <c r="ER60" s="137"/>
      <c r="ES60" s="137"/>
      <c r="ET60" s="137"/>
      <c r="EU60" s="137"/>
      <c r="EV60" s="137"/>
      <c r="EW60" s="137"/>
      <c r="EX60" s="137"/>
      <c r="EY60" s="137"/>
      <c r="EZ60" s="137"/>
      <c r="FA60" s="137"/>
      <c r="FB60" s="137"/>
      <c r="FC60" s="137"/>
      <c r="FD60" s="137"/>
      <c r="FE60" s="137"/>
      <c r="FF60" s="137"/>
      <c r="FG60" s="137"/>
      <c r="FH60" s="137"/>
      <c r="FI60" s="137"/>
      <c r="FJ60" s="137"/>
      <c r="FK60" s="137"/>
      <c r="FL60" s="137"/>
      <c r="FM60" s="137"/>
      <c r="FN60" s="137"/>
      <c r="FO60" s="137"/>
      <c r="FP60" s="137"/>
      <c r="FQ60" s="137"/>
      <c r="FR60" s="137"/>
      <c r="FS60" s="137"/>
      <c r="FT60" s="137"/>
      <c r="FU60" s="137"/>
      <c r="FV60" s="1"/>
      <c r="FW60" s="80"/>
      <c r="FX60" s="1"/>
      <c r="FY60" s="84"/>
      <c r="FZ60" s="84"/>
      <c r="GA60" s="84"/>
      <c r="GB60" s="84"/>
      <c r="GC60" s="84"/>
      <c r="GD60" s="84"/>
      <c r="GE60" s="84"/>
      <c r="GF60" s="84"/>
      <c r="GG60" s="84"/>
      <c r="GH60" s="1"/>
      <c r="GI60" s="84"/>
      <c r="GJ60" s="84"/>
      <c r="GK60" s="84"/>
      <c r="GL60" s="84"/>
      <c r="GM60" s="84"/>
      <c r="GN60" s="84"/>
      <c r="GO60" s="84"/>
      <c r="GP60" s="84"/>
      <c r="GR60" s="1"/>
      <c r="GS60" s="100"/>
      <c r="GT60" s="100"/>
      <c r="GU60" s="99"/>
      <c r="GV60" s="68"/>
      <c r="GW60" s="1"/>
      <c r="GX60" s="150"/>
      <c r="GY60" s="150"/>
      <c r="GZ60" s="150"/>
      <c r="HA60" s="151"/>
      <c r="HB60" s="151"/>
      <c r="HC60" s="151"/>
      <c r="HD60" s="151"/>
      <c r="HE60" s="151"/>
      <c r="HF60" s="151"/>
      <c r="HG60" s="151"/>
      <c r="HH60" s="151"/>
      <c r="HI60" s="151"/>
      <c r="HJ60" s="151"/>
      <c r="HK60" s="151"/>
      <c r="HL60" s="20"/>
      <c r="HM60" s="30"/>
      <c r="HN60" s="30"/>
      <c r="HO60" s="30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6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</row>
    <row r="61" spans="2:249" ht="34.5">
      <c r="B61" s="126" t="s">
        <v>61</v>
      </c>
      <c r="C61" s="129">
        <v>1951.2557054331407</v>
      </c>
      <c r="D61" s="129" t="s">
        <v>4</v>
      </c>
      <c r="E61" s="129">
        <v>2920.0642235124951</v>
      </c>
      <c r="F61" s="129" t="s">
        <v>4</v>
      </c>
      <c r="G61" s="129">
        <v>2381.5914756752986</v>
      </c>
      <c r="H61" s="129" t="s">
        <v>4</v>
      </c>
      <c r="I61" s="129">
        <v>2849.0640506783707</v>
      </c>
      <c r="J61" s="129" t="s">
        <v>4</v>
      </c>
      <c r="K61" s="129">
        <v>3544.5121312852953</v>
      </c>
      <c r="L61" s="129" t="s">
        <v>4</v>
      </c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  <c r="CC61" s="137"/>
      <c r="CD61" s="137"/>
      <c r="CE61" s="137"/>
      <c r="CF61" s="137"/>
      <c r="CG61" s="137"/>
      <c r="CH61" s="137"/>
      <c r="CI61" s="137"/>
      <c r="CJ61" s="137"/>
      <c r="CK61" s="137"/>
      <c r="CL61" s="137"/>
      <c r="CM61" s="137"/>
      <c r="CN61" s="137"/>
      <c r="CO61" s="137"/>
      <c r="CP61" s="137"/>
      <c r="CQ61" s="137"/>
      <c r="CR61" s="137"/>
      <c r="CS61" s="137"/>
      <c r="CT61" s="137"/>
      <c r="CU61" s="137"/>
      <c r="CV61" s="137"/>
      <c r="CW61" s="137"/>
      <c r="CX61" s="137"/>
      <c r="CY61" s="137"/>
      <c r="CZ61" s="137"/>
      <c r="DA61" s="137"/>
      <c r="DB61" s="137"/>
      <c r="DC61" s="137"/>
      <c r="DD61" s="137"/>
      <c r="DE61" s="137"/>
      <c r="DF61" s="137"/>
      <c r="DG61" s="137"/>
      <c r="DH61" s="137"/>
      <c r="DI61" s="137"/>
      <c r="DJ61" s="137"/>
      <c r="DK61" s="137"/>
      <c r="DL61" s="137"/>
      <c r="DM61" s="137"/>
      <c r="DN61" s="137"/>
      <c r="DO61" s="137"/>
      <c r="DP61" s="137"/>
      <c r="DQ61" s="137"/>
      <c r="DR61" s="137"/>
      <c r="DS61" s="137"/>
      <c r="DT61" s="137"/>
      <c r="DU61" s="137"/>
      <c r="DV61" s="137"/>
      <c r="DW61" s="137"/>
      <c r="DX61" s="137"/>
      <c r="DY61" s="137"/>
      <c r="DZ61" s="137"/>
      <c r="EA61" s="137"/>
      <c r="EB61" s="137"/>
      <c r="EC61" s="137"/>
      <c r="ED61" s="137"/>
      <c r="EE61" s="137"/>
      <c r="EF61" s="137"/>
      <c r="EG61" s="137"/>
      <c r="EH61" s="137"/>
      <c r="EI61" s="137"/>
      <c r="EJ61" s="137"/>
      <c r="EK61" s="137"/>
      <c r="EL61" s="137"/>
      <c r="EM61" s="137"/>
      <c r="EN61" s="137"/>
      <c r="EO61" s="137"/>
      <c r="EP61" s="137"/>
      <c r="EQ61" s="137"/>
      <c r="ER61" s="137"/>
      <c r="ES61" s="137"/>
      <c r="ET61" s="137"/>
      <c r="EU61" s="137"/>
      <c r="EV61" s="137"/>
      <c r="EW61" s="137"/>
      <c r="EX61" s="137"/>
      <c r="EY61" s="137"/>
      <c r="EZ61" s="137"/>
      <c r="FA61" s="137"/>
      <c r="FB61" s="137"/>
      <c r="FC61" s="137"/>
      <c r="FD61" s="137"/>
      <c r="FE61" s="137"/>
      <c r="FF61" s="137"/>
      <c r="FG61" s="137"/>
      <c r="FH61" s="137"/>
      <c r="FI61" s="137"/>
      <c r="FJ61" s="137"/>
      <c r="FK61" s="137"/>
      <c r="FL61" s="137"/>
      <c r="FM61" s="137"/>
      <c r="FN61" s="137"/>
      <c r="FO61" s="137"/>
      <c r="FP61" s="137"/>
      <c r="FQ61" s="137"/>
      <c r="FR61" s="137"/>
      <c r="FS61" s="137"/>
      <c r="FT61" s="137"/>
      <c r="FU61" s="137"/>
      <c r="FV61" s="1"/>
      <c r="FW61" s="80"/>
      <c r="FX61" s="1"/>
      <c r="FY61" s="84"/>
      <c r="FZ61" s="84"/>
      <c r="GA61" s="84"/>
      <c r="GB61" s="84"/>
      <c r="GC61" s="84"/>
      <c r="GD61" s="84"/>
      <c r="GE61" s="84"/>
      <c r="GF61" s="84"/>
      <c r="GG61" s="84"/>
      <c r="GH61" s="1"/>
      <c r="GI61" s="84"/>
      <c r="GJ61" s="84"/>
      <c r="GK61" s="84"/>
      <c r="GL61" s="84"/>
      <c r="GM61" s="84"/>
      <c r="GN61" s="84"/>
      <c r="GO61" s="84"/>
      <c r="GP61" s="84"/>
      <c r="GR61" s="1"/>
      <c r="GS61" s="87"/>
      <c r="GT61" s="87"/>
      <c r="GU61" s="86"/>
      <c r="GV61" s="68"/>
      <c r="GW61" s="1"/>
      <c r="GX61" s="16"/>
      <c r="GY61" s="16"/>
      <c r="GZ61" s="50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20"/>
      <c r="HM61" s="30"/>
      <c r="HN61" s="30"/>
      <c r="HO61" s="30"/>
      <c r="HP61" s="30"/>
      <c r="HQ61" s="30"/>
      <c r="HR61" s="30"/>
      <c r="HS61" s="30"/>
      <c r="HT61" s="30"/>
      <c r="HU61" s="30"/>
      <c r="HV61" s="30"/>
      <c r="HW61" s="30"/>
      <c r="HX61" s="30"/>
      <c r="HY61" s="30"/>
      <c r="HZ61" s="30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</row>
    <row r="62" spans="2:249" ht="23.25">
      <c r="B62" s="127" t="s">
        <v>62</v>
      </c>
      <c r="C62" s="132">
        <v>1834.1803631071523</v>
      </c>
      <c r="D62" s="132" t="s">
        <v>4</v>
      </c>
      <c r="E62" s="132">
        <v>2832.4622968071203</v>
      </c>
      <c r="F62" s="132" t="s">
        <v>4</v>
      </c>
      <c r="G62" s="132">
        <v>2167.2482428645217</v>
      </c>
      <c r="H62" s="132" t="s">
        <v>4</v>
      </c>
      <c r="I62" s="132">
        <v>2763.6221291580196</v>
      </c>
      <c r="J62" s="132" t="s">
        <v>4</v>
      </c>
      <c r="K62" s="132">
        <v>3367.2865247210307</v>
      </c>
      <c r="L62" s="132" t="s">
        <v>4</v>
      </c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  <c r="CC62" s="137"/>
      <c r="CD62" s="137"/>
      <c r="CE62" s="137"/>
      <c r="CF62" s="137"/>
      <c r="CG62" s="137"/>
      <c r="CH62" s="137"/>
      <c r="CI62" s="137"/>
      <c r="CJ62" s="137"/>
      <c r="CK62" s="137"/>
      <c r="CL62" s="137"/>
      <c r="CM62" s="137"/>
      <c r="CN62" s="137"/>
      <c r="CO62" s="137"/>
      <c r="CP62" s="137"/>
      <c r="CQ62" s="137"/>
      <c r="CR62" s="137"/>
      <c r="CS62" s="137"/>
      <c r="CT62" s="137"/>
      <c r="CU62" s="137"/>
      <c r="CV62" s="137"/>
      <c r="CW62" s="137"/>
      <c r="CX62" s="137"/>
      <c r="CY62" s="137"/>
      <c r="CZ62" s="137"/>
      <c r="DA62" s="137"/>
      <c r="DB62" s="137"/>
      <c r="DC62" s="137"/>
      <c r="DD62" s="137"/>
      <c r="DE62" s="137"/>
      <c r="DF62" s="137"/>
      <c r="DG62" s="137"/>
      <c r="DH62" s="137"/>
      <c r="DI62" s="137"/>
      <c r="DJ62" s="137"/>
      <c r="DK62" s="137"/>
      <c r="DL62" s="137"/>
      <c r="DM62" s="137"/>
      <c r="DN62" s="137"/>
      <c r="DO62" s="137"/>
      <c r="DP62" s="137"/>
      <c r="DQ62" s="137"/>
      <c r="DR62" s="137"/>
      <c r="DS62" s="137"/>
      <c r="DT62" s="137"/>
      <c r="DU62" s="137"/>
      <c r="DV62" s="137"/>
      <c r="DW62" s="137"/>
      <c r="DX62" s="137"/>
      <c r="DY62" s="137"/>
      <c r="DZ62" s="137"/>
      <c r="EA62" s="137"/>
      <c r="EB62" s="137"/>
      <c r="EC62" s="137"/>
      <c r="ED62" s="137"/>
      <c r="EE62" s="137"/>
      <c r="EF62" s="137"/>
      <c r="EG62" s="137"/>
      <c r="EH62" s="137"/>
      <c r="EI62" s="137"/>
      <c r="EJ62" s="137"/>
      <c r="EK62" s="137"/>
      <c r="EL62" s="137"/>
      <c r="EM62" s="137"/>
      <c r="EN62" s="137"/>
      <c r="EO62" s="137"/>
      <c r="EP62" s="137"/>
      <c r="EQ62" s="137"/>
      <c r="ER62" s="137"/>
      <c r="ES62" s="137"/>
      <c r="ET62" s="137"/>
      <c r="EU62" s="137"/>
      <c r="EV62" s="137"/>
      <c r="EW62" s="137"/>
      <c r="EX62" s="137"/>
      <c r="EY62" s="137"/>
      <c r="EZ62" s="137"/>
      <c r="FA62" s="137"/>
      <c r="FB62" s="137"/>
      <c r="FC62" s="137"/>
      <c r="FD62" s="137"/>
      <c r="FE62" s="137"/>
      <c r="FF62" s="137"/>
      <c r="FG62" s="137"/>
      <c r="FH62" s="137"/>
      <c r="FI62" s="137"/>
      <c r="FJ62" s="137"/>
      <c r="FK62" s="137"/>
      <c r="FL62" s="137"/>
      <c r="FM62" s="137"/>
      <c r="FN62" s="137"/>
      <c r="FO62" s="137"/>
      <c r="FP62" s="137"/>
      <c r="FQ62" s="137"/>
      <c r="FR62" s="137"/>
      <c r="FS62" s="137"/>
      <c r="FT62" s="137"/>
      <c r="FU62" s="137"/>
      <c r="FV62" s="1"/>
      <c r="FW62" s="80"/>
      <c r="FX62" s="1"/>
      <c r="FY62" s="84"/>
      <c r="FZ62" s="84"/>
      <c r="GA62" s="84"/>
      <c r="GB62" s="84"/>
      <c r="GC62" s="84"/>
      <c r="GD62" s="84"/>
      <c r="GE62" s="84"/>
      <c r="GF62" s="84"/>
      <c r="GG62" s="84"/>
      <c r="GH62" s="1"/>
      <c r="GI62" s="84"/>
      <c r="GJ62" s="84"/>
      <c r="GK62" s="84"/>
      <c r="GL62" s="84"/>
      <c r="GM62" s="84"/>
      <c r="GN62" s="84"/>
      <c r="GO62" s="84"/>
      <c r="GP62" s="84"/>
      <c r="GR62" s="1"/>
      <c r="GS62" s="87"/>
      <c r="GT62" s="87"/>
      <c r="GU62" s="86"/>
      <c r="GV62" s="68"/>
      <c r="GW62" s="1"/>
      <c r="GX62" s="16"/>
      <c r="GY62" s="16"/>
      <c r="GZ62" s="50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20"/>
      <c r="HM62" s="30"/>
      <c r="HN62" s="30"/>
      <c r="HO62" s="30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</row>
    <row r="63" spans="2:249" ht="23.25">
      <c r="B63" s="126" t="s">
        <v>63</v>
      </c>
      <c r="C63" s="129">
        <v>1650.762326796437</v>
      </c>
      <c r="D63" s="129" t="s">
        <v>4</v>
      </c>
      <c r="E63" s="129">
        <v>2719.1638049348358</v>
      </c>
      <c r="F63" s="129" t="s">
        <v>4</v>
      </c>
      <c r="G63" s="129">
        <v>1950.5234185780696</v>
      </c>
      <c r="H63" s="129" t="s">
        <v>4</v>
      </c>
      <c r="I63" s="129">
        <v>2514.9861375337978</v>
      </c>
      <c r="J63" s="129" t="s">
        <v>4</v>
      </c>
      <c r="K63" s="129">
        <v>3097.9036027433485</v>
      </c>
      <c r="L63" s="129" t="s">
        <v>4</v>
      </c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  <c r="CC63" s="137"/>
      <c r="CD63" s="137"/>
      <c r="CE63" s="137"/>
      <c r="CF63" s="137"/>
      <c r="CG63" s="137"/>
      <c r="CH63" s="137"/>
      <c r="CI63" s="137"/>
      <c r="CJ63" s="137"/>
      <c r="CK63" s="137"/>
      <c r="CL63" s="137"/>
      <c r="CM63" s="137"/>
      <c r="CN63" s="137"/>
      <c r="CO63" s="137"/>
      <c r="CP63" s="137"/>
      <c r="CQ63" s="137"/>
      <c r="CR63" s="137"/>
      <c r="CS63" s="137"/>
      <c r="CT63" s="137"/>
      <c r="CU63" s="137"/>
      <c r="CV63" s="137"/>
      <c r="CW63" s="137"/>
      <c r="CX63" s="137"/>
      <c r="CY63" s="137"/>
      <c r="CZ63" s="137"/>
      <c r="DA63" s="137"/>
      <c r="DB63" s="137"/>
      <c r="DC63" s="137"/>
      <c r="DD63" s="137"/>
      <c r="DE63" s="137"/>
      <c r="DF63" s="137"/>
      <c r="DG63" s="137"/>
      <c r="DH63" s="137"/>
      <c r="DI63" s="137"/>
      <c r="DJ63" s="137"/>
      <c r="DK63" s="137"/>
      <c r="DL63" s="137"/>
      <c r="DM63" s="137"/>
      <c r="DN63" s="137"/>
      <c r="DO63" s="137"/>
      <c r="DP63" s="137"/>
      <c r="DQ63" s="137"/>
      <c r="DR63" s="137"/>
      <c r="DS63" s="137"/>
      <c r="DT63" s="137"/>
      <c r="DU63" s="137"/>
      <c r="DV63" s="137"/>
      <c r="DW63" s="137"/>
      <c r="DX63" s="137"/>
      <c r="DY63" s="137"/>
      <c r="DZ63" s="137"/>
      <c r="EA63" s="137"/>
      <c r="EB63" s="137"/>
      <c r="EC63" s="137"/>
      <c r="ED63" s="137"/>
      <c r="EE63" s="137"/>
      <c r="EF63" s="137"/>
      <c r="EG63" s="137"/>
      <c r="EH63" s="137"/>
      <c r="EI63" s="137"/>
      <c r="EJ63" s="137"/>
      <c r="EK63" s="137"/>
      <c r="EL63" s="137"/>
      <c r="EM63" s="137"/>
      <c r="EN63" s="137"/>
      <c r="EO63" s="137"/>
      <c r="EP63" s="137"/>
      <c r="EQ63" s="137"/>
      <c r="ER63" s="137"/>
      <c r="ES63" s="137"/>
      <c r="ET63" s="137"/>
      <c r="EU63" s="137"/>
      <c r="EV63" s="137"/>
      <c r="EW63" s="137"/>
      <c r="EX63" s="137"/>
      <c r="EY63" s="137"/>
      <c r="EZ63" s="137"/>
      <c r="FA63" s="137"/>
      <c r="FB63" s="137"/>
      <c r="FC63" s="137"/>
      <c r="FD63" s="137"/>
      <c r="FE63" s="137"/>
      <c r="FF63" s="137"/>
      <c r="FG63" s="137"/>
      <c r="FH63" s="137"/>
      <c r="FI63" s="137"/>
      <c r="FJ63" s="137"/>
      <c r="FK63" s="137"/>
      <c r="FL63" s="137"/>
      <c r="FM63" s="137"/>
      <c r="FN63" s="137"/>
      <c r="FO63" s="137"/>
      <c r="FP63" s="137"/>
      <c r="FQ63" s="137"/>
      <c r="FR63" s="137"/>
      <c r="FS63" s="137"/>
      <c r="FT63" s="137"/>
      <c r="FU63" s="137"/>
      <c r="FV63" s="1"/>
      <c r="FW63" s="80"/>
      <c r="FX63" s="1"/>
      <c r="FY63" s="84"/>
      <c r="FZ63" s="84"/>
      <c r="GA63" s="84"/>
      <c r="GB63" s="84"/>
      <c r="GC63" s="84"/>
      <c r="GD63" s="84"/>
      <c r="GE63" s="84"/>
      <c r="GF63" s="84"/>
      <c r="GG63" s="84"/>
      <c r="GH63" s="1"/>
      <c r="GI63" s="84"/>
      <c r="GJ63" s="84"/>
      <c r="GK63" s="84"/>
      <c r="GL63" s="84"/>
      <c r="GM63" s="84"/>
      <c r="GN63" s="84"/>
      <c r="GO63" s="84"/>
      <c r="GP63" s="84"/>
      <c r="GR63" s="16"/>
      <c r="GS63" s="87"/>
      <c r="GT63" s="87"/>
      <c r="GU63" s="86"/>
      <c r="GV63" s="68"/>
      <c r="GW63" s="1"/>
      <c r="GX63" s="16"/>
      <c r="GY63" s="16"/>
      <c r="GZ63" s="50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20"/>
      <c r="HM63" s="30"/>
      <c r="HN63" s="30"/>
      <c r="HO63" s="30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</row>
    <row r="64" spans="2:249">
      <c r="B64" s="127" t="s">
        <v>64</v>
      </c>
      <c r="C64" s="132">
        <v>1485.6860941167934</v>
      </c>
      <c r="D64" s="132" t="s">
        <v>4</v>
      </c>
      <c r="E64" s="132">
        <v>2583.2056146880941</v>
      </c>
      <c r="F64" s="132" t="s">
        <v>4</v>
      </c>
      <c r="G64" s="132">
        <v>1852.9972476491662</v>
      </c>
      <c r="H64" s="132" t="s">
        <v>4</v>
      </c>
      <c r="I64" s="132">
        <v>2364.14696928177</v>
      </c>
      <c r="J64" s="132" t="s">
        <v>4</v>
      </c>
      <c r="K64" s="132">
        <v>2850.0713145238806</v>
      </c>
      <c r="L64" s="132" t="s">
        <v>4</v>
      </c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  <c r="CC64" s="137"/>
      <c r="CD64" s="137"/>
      <c r="CE64" s="137"/>
      <c r="CF64" s="137"/>
      <c r="CG64" s="137"/>
      <c r="CH64" s="137"/>
      <c r="CI64" s="137"/>
      <c r="CJ64" s="137"/>
      <c r="CK64" s="137"/>
      <c r="CL64" s="137"/>
      <c r="CM64" s="137"/>
      <c r="CN64" s="137"/>
      <c r="CO64" s="137"/>
      <c r="CP64" s="137"/>
      <c r="CQ64" s="137"/>
      <c r="CR64" s="137"/>
      <c r="CS64" s="137"/>
      <c r="CT64" s="137"/>
      <c r="CU64" s="137"/>
      <c r="CV64" s="137"/>
      <c r="CW64" s="137"/>
      <c r="CX64" s="137"/>
      <c r="CY64" s="137"/>
      <c r="CZ64" s="137"/>
      <c r="DA64" s="137"/>
      <c r="DB64" s="137"/>
      <c r="DC64" s="137"/>
      <c r="DD64" s="137"/>
      <c r="DE64" s="137"/>
      <c r="DF64" s="137"/>
      <c r="DG64" s="137"/>
      <c r="DH64" s="137"/>
      <c r="DI64" s="137"/>
      <c r="DJ64" s="137"/>
      <c r="DK64" s="137"/>
      <c r="DL64" s="137"/>
      <c r="DM64" s="137"/>
      <c r="DN64" s="137"/>
      <c r="DO64" s="137"/>
      <c r="DP64" s="137"/>
      <c r="DQ64" s="137"/>
      <c r="DR64" s="137"/>
      <c r="DS64" s="137"/>
      <c r="DT64" s="137"/>
      <c r="DU64" s="137"/>
      <c r="DV64" s="137"/>
      <c r="DW64" s="137"/>
      <c r="DX64" s="137"/>
      <c r="DY64" s="137"/>
      <c r="DZ64" s="137"/>
      <c r="EA64" s="137"/>
      <c r="EB64" s="137"/>
      <c r="EC64" s="137"/>
      <c r="ED64" s="137"/>
      <c r="EE64" s="137"/>
      <c r="EF64" s="137"/>
      <c r="EG64" s="137"/>
      <c r="EH64" s="137"/>
      <c r="EI64" s="137"/>
      <c r="EJ64" s="137"/>
      <c r="EK64" s="137"/>
      <c r="EL64" s="137"/>
      <c r="EM64" s="137"/>
      <c r="EN64" s="137"/>
      <c r="EO64" s="137"/>
      <c r="EP64" s="137"/>
      <c r="EQ64" s="137"/>
      <c r="ER64" s="137"/>
      <c r="ES64" s="137"/>
      <c r="ET64" s="137"/>
      <c r="EU64" s="137"/>
      <c r="EV64" s="137"/>
      <c r="EW64" s="137"/>
      <c r="EX64" s="137"/>
      <c r="EY64" s="137"/>
      <c r="EZ64" s="137"/>
      <c r="FA64" s="137"/>
      <c r="FB64" s="137"/>
      <c r="FC64" s="137"/>
      <c r="FD64" s="137"/>
      <c r="FE64" s="137"/>
      <c r="FF64" s="137"/>
      <c r="FG64" s="137"/>
      <c r="FH64" s="137"/>
      <c r="FI64" s="137"/>
      <c r="FJ64" s="137"/>
      <c r="FK64" s="137"/>
      <c r="FL64" s="137"/>
      <c r="FM64" s="137"/>
      <c r="FN64" s="137"/>
      <c r="FO64" s="137"/>
      <c r="FP64" s="137"/>
      <c r="FQ64" s="137"/>
      <c r="FR64" s="137"/>
      <c r="FS64" s="137"/>
      <c r="FT64" s="137"/>
      <c r="FU64" s="137"/>
      <c r="FV64" s="1"/>
      <c r="FW64" s="80"/>
      <c r="FX64" s="1"/>
      <c r="FY64" s="84"/>
      <c r="FZ64" s="84"/>
      <c r="GA64" s="84"/>
      <c r="GB64" s="84"/>
      <c r="GC64" s="84"/>
      <c r="GD64" s="84"/>
      <c r="GE64" s="84"/>
      <c r="GF64" s="84"/>
      <c r="GG64" s="84"/>
      <c r="GH64" s="1"/>
      <c r="GI64" s="84"/>
      <c r="GJ64" s="84"/>
      <c r="GK64" s="84"/>
      <c r="GL64" s="84"/>
      <c r="GM64" s="84"/>
      <c r="GN64" s="84"/>
      <c r="GO64" s="84"/>
      <c r="GP64" s="84"/>
      <c r="GR64" s="16"/>
      <c r="GS64" s="73"/>
      <c r="GT64" s="87"/>
      <c r="GU64" s="86"/>
      <c r="GV64" s="68"/>
      <c r="GW64" s="1"/>
      <c r="GX64" s="16"/>
      <c r="GY64" s="16"/>
      <c r="GZ64" s="50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20"/>
      <c r="HM64" s="30"/>
      <c r="HN64" s="30"/>
      <c r="HO64" s="30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</row>
    <row r="65" spans="2:249">
      <c r="B65" s="126" t="s">
        <v>65</v>
      </c>
      <c r="C65" s="129">
        <v>1441.1155112932895</v>
      </c>
      <c r="D65" s="129" t="s">
        <v>4</v>
      </c>
      <c r="E65" s="129">
        <v>2324.8850532192846</v>
      </c>
      <c r="F65" s="129" t="s">
        <v>4</v>
      </c>
      <c r="G65" s="129">
        <v>1797.4073302196912</v>
      </c>
      <c r="H65" s="129" t="s">
        <v>4</v>
      </c>
      <c r="I65" s="129">
        <v>2151.463742046411</v>
      </c>
      <c r="J65" s="129" t="s">
        <v>4</v>
      </c>
      <c r="K65" s="129">
        <v>2650.5663225072085</v>
      </c>
      <c r="L65" s="129" t="s">
        <v>4</v>
      </c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  <c r="CC65" s="137"/>
      <c r="CD65" s="137"/>
      <c r="CE65" s="137"/>
      <c r="CF65" s="137"/>
      <c r="CG65" s="137"/>
      <c r="CH65" s="137"/>
      <c r="CI65" s="137"/>
      <c r="CJ65" s="137"/>
      <c r="CK65" s="137"/>
      <c r="CL65" s="137"/>
      <c r="CM65" s="137"/>
      <c r="CN65" s="137"/>
      <c r="CO65" s="137"/>
      <c r="CP65" s="137"/>
      <c r="CQ65" s="137"/>
      <c r="CR65" s="137"/>
      <c r="CS65" s="137"/>
      <c r="CT65" s="137"/>
      <c r="CU65" s="137"/>
      <c r="CV65" s="137"/>
      <c r="CW65" s="137"/>
      <c r="CX65" s="137"/>
      <c r="CY65" s="137"/>
      <c r="CZ65" s="137"/>
      <c r="DA65" s="137"/>
      <c r="DB65" s="137"/>
      <c r="DC65" s="137"/>
      <c r="DD65" s="137"/>
      <c r="DE65" s="137"/>
      <c r="DF65" s="137"/>
      <c r="DG65" s="137"/>
      <c r="DH65" s="137"/>
      <c r="DI65" s="137"/>
      <c r="DJ65" s="137"/>
      <c r="DK65" s="137"/>
      <c r="DL65" s="137"/>
      <c r="DM65" s="137"/>
      <c r="DN65" s="137"/>
      <c r="DO65" s="137"/>
      <c r="DP65" s="137"/>
      <c r="DQ65" s="137"/>
      <c r="DR65" s="137"/>
      <c r="DS65" s="137"/>
      <c r="DT65" s="137"/>
      <c r="DU65" s="137"/>
      <c r="DV65" s="137"/>
      <c r="DW65" s="137"/>
      <c r="DX65" s="137"/>
      <c r="DY65" s="137"/>
      <c r="DZ65" s="137"/>
      <c r="EA65" s="137"/>
      <c r="EB65" s="137"/>
      <c r="EC65" s="137"/>
      <c r="ED65" s="137"/>
      <c r="EE65" s="137"/>
      <c r="EF65" s="137"/>
      <c r="EG65" s="137"/>
      <c r="EH65" s="137"/>
      <c r="EI65" s="137"/>
      <c r="EJ65" s="137"/>
      <c r="EK65" s="137"/>
      <c r="EL65" s="137"/>
      <c r="EM65" s="137"/>
      <c r="EN65" s="137"/>
      <c r="EO65" s="137"/>
      <c r="EP65" s="137"/>
      <c r="EQ65" s="137"/>
      <c r="ER65" s="137"/>
      <c r="ES65" s="137"/>
      <c r="ET65" s="137"/>
      <c r="EU65" s="137"/>
      <c r="EV65" s="137"/>
      <c r="EW65" s="137"/>
      <c r="EX65" s="137"/>
      <c r="EY65" s="137"/>
      <c r="EZ65" s="137"/>
      <c r="FA65" s="137"/>
      <c r="FB65" s="137"/>
      <c r="FC65" s="137"/>
      <c r="FD65" s="137"/>
      <c r="FE65" s="137"/>
      <c r="FF65" s="137"/>
      <c r="FG65" s="137"/>
      <c r="FH65" s="137"/>
      <c r="FI65" s="137"/>
      <c r="FJ65" s="137"/>
      <c r="FK65" s="137"/>
      <c r="FL65" s="137"/>
      <c r="FM65" s="137"/>
      <c r="FN65" s="137"/>
      <c r="FO65" s="137"/>
      <c r="FP65" s="137"/>
      <c r="FQ65" s="137"/>
      <c r="FR65" s="137"/>
      <c r="FS65" s="137"/>
      <c r="FT65" s="137"/>
      <c r="FU65" s="137"/>
      <c r="FV65" s="1"/>
      <c r="FW65" s="80"/>
      <c r="FX65" s="1"/>
      <c r="FY65" s="84"/>
      <c r="FZ65" s="84"/>
      <c r="GA65" s="84"/>
      <c r="GB65" s="84"/>
      <c r="GC65" s="84"/>
      <c r="GD65" s="84"/>
      <c r="GE65" s="84"/>
      <c r="GF65" s="84"/>
      <c r="GG65" s="84"/>
      <c r="GH65" s="1"/>
      <c r="GI65" s="84"/>
      <c r="GJ65" s="84"/>
      <c r="GK65" s="84"/>
      <c r="GL65" s="84"/>
      <c r="GM65" s="84"/>
      <c r="GN65" s="84"/>
      <c r="GO65" s="84"/>
      <c r="GP65" s="84"/>
      <c r="GR65" s="16"/>
      <c r="GS65" s="73"/>
      <c r="GT65" s="86"/>
      <c r="GU65" s="86"/>
      <c r="GV65" s="67"/>
      <c r="GW65" s="1"/>
      <c r="GX65" s="23"/>
      <c r="GY65" s="23"/>
      <c r="GZ65" s="51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20"/>
      <c r="HM65" s="29"/>
      <c r="HN65" s="29"/>
      <c r="HO65" s="29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16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</row>
    <row r="66" spans="2:249">
      <c r="B66" s="127" t="s">
        <v>66</v>
      </c>
      <c r="C66" s="128">
        <v>1340.2374255027594</v>
      </c>
      <c r="D66" s="128" t="s">
        <v>4</v>
      </c>
      <c r="E66" s="128">
        <v>2162.1430994939346</v>
      </c>
      <c r="F66" s="128" t="s">
        <v>4</v>
      </c>
      <c r="G66" s="128">
        <v>1707.5369637087067</v>
      </c>
      <c r="H66" s="128" t="s">
        <v>4</v>
      </c>
      <c r="I66" s="128">
        <v>2043.9405549440903</v>
      </c>
      <c r="J66" s="128" t="s">
        <v>4</v>
      </c>
      <c r="K66" s="128">
        <v>2438.5210167066321</v>
      </c>
      <c r="L66" s="128" t="s">
        <v>4</v>
      </c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  <c r="CC66" s="137"/>
      <c r="CD66" s="137"/>
      <c r="CE66" s="137"/>
      <c r="CF66" s="137"/>
      <c r="CG66" s="137"/>
      <c r="CH66" s="137"/>
      <c r="CI66" s="137"/>
      <c r="CJ66" s="137"/>
      <c r="CK66" s="137"/>
      <c r="CL66" s="137"/>
      <c r="CM66" s="137"/>
      <c r="CN66" s="137"/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7"/>
      <c r="DB66" s="137"/>
      <c r="DC66" s="137"/>
      <c r="DD66" s="137"/>
      <c r="DE66" s="137"/>
      <c r="DF66" s="137"/>
      <c r="DG66" s="137"/>
      <c r="DH66" s="137"/>
      <c r="DI66" s="137"/>
      <c r="DJ66" s="137"/>
      <c r="DK66" s="137"/>
      <c r="DL66" s="137"/>
      <c r="DM66" s="137"/>
      <c r="DN66" s="137"/>
      <c r="DO66" s="137"/>
      <c r="DP66" s="137"/>
      <c r="DQ66" s="137"/>
      <c r="DR66" s="137"/>
      <c r="DS66" s="137"/>
      <c r="DT66" s="137"/>
      <c r="DU66" s="137"/>
      <c r="DV66" s="137"/>
      <c r="DW66" s="137"/>
      <c r="DX66" s="137"/>
      <c r="DY66" s="137"/>
      <c r="DZ66" s="137"/>
      <c r="EA66" s="137"/>
      <c r="EB66" s="137"/>
      <c r="EC66" s="137"/>
      <c r="ED66" s="137"/>
      <c r="EE66" s="137"/>
      <c r="EF66" s="137"/>
      <c r="EG66" s="137"/>
      <c r="EH66" s="137"/>
      <c r="EI66" s="137"/>
      <c r="EJ66" s="137"/>
      <c r="EK66" s="137"/>
      <c r="EL66" s="137"/>
      <c r="EM66" s="137"/>
      <c r="EN66" s="137"/>
      <c r="EO66" s="137"/>
      <c r="EP66" s="137"/>
      <c r="EQ66" s="137"/>
      <c r="ER66" s="137"/>
      <c r="ES66" s="137"/>
      <c r="ET66" s="137"/>
      <c r="EU66" s="137"/>
      <c r="EV66" s="137"/>
      <c r="EW66" s="137"/>
      <c r="EX66" s="137"/>
      <c r="EY66" s="137"/>
      <c r="EZ66" s="137"/>
      <c r="FA66" s="137"/>
      <c r="FB66" s="137"/>
      <c r="FC66" s="137"/>
      <c r="FD66" s="137"/>
      <c r="FE66" s="137"/>
      <c r="FF66" s="137"/>
      <c r="FG66" s="137"/>
      <c r="FH66" s="137"/>
      <c r="FI66" s="137"/>
      <c r="FJ66" s="137"/>
      <c r="FK66" s="137"/>
      <c r="FL66" s="137"/>
      <c r="FM66" s="137"/>
      <c r="FN66" s="137"/>
      <c r="FO66" s="137"/>
      <c r="FP66" s="137"/>
      <c r="FQ66" s="137"/>
      <c r="FR66" s="137"/>
      <c r="FS66" s="137"/>
      <c r="FT66" s="137"/>
      <c r="FU66" s="137"/>
      <c r="FV66" s="1"/>
      <c r="FW66" s="80"/>
      <c r="FX66" s="1"/>
      <c r="FY66" s="84"/>
      <c r="FZ66" s="84"/>
      <c r="GA66" s="84"/>
      <c r="GB66" s="84"/>
      <c r="GC66" s="84"/>
      <c r="GD66" s="84"/>
      <c r="GE66" s="84"/>
      <c r="GF66" s="84"/>
      <c r="GG66" s="84"/>
      <c r="GH66" s="1"/>
      <c r="GI66" s="84"/>
      <c r="GJ66" s="84"/>
      <c r="GK66" s="84"/>
      <c r="GL66" s="84"/>
      <c r="GM66" s="84"/>
      <c r="GN66" s="84"/>
      <c r="GO66" s="84"/>
      <c r="GP66" s="84"/>
      <c r="GR66" s="16"/>
      <c r="GS66" s="100"/>
      <c r="GT66" s="100"/>
      <c r="GU66" s="99"/>
      <c r="GV66" s="68"/>
      <c r="GW66" s="1"/>
      <c r="GX66" s="16"/>
      <c r="GY66" s="16"/>
      <c r="GZ66" s="50"/>
      <c r="HA66" s="151"/>
      <c r="HB66" s="151"/>
      <c r="HC66" s="151"/>
      <c r="HD66" s="151"/>
      <c r="HE66" s="151"/>
      <c r="HF66" s="151"/>
      <c r="HG66" s="151"/>
      <c r="HH66" s="151"/>
      <c r="HI66" s="151"/>
      <c r="HJ66" s="151"/>
      <c r="HK66" s="151"/>
      <c r="HL66" s="20"/>
      <c r="HM66" s="30"/>
      <c r="HN66" s="30"/>
      <c r="HO66" s="30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</row>
    <row r="67" spans="2:249" ht="23.25">
      <c r="B67" s="126" t="s">
        <v>67</v>
      </c>
      <c r="C67" s="129">
        <v>25.464511084552427</v>
      </c>
      <c r="D67" s="129" t="s">
        <v>193</v>
      </c>
      <c r="E67" s="129">
        <v>41.945576130182332</v>
      </c>
      <c r="F67" s="129" t="s">
        <v>193</v>
      </c>
      <c r="G67" s="129">
        <v>31.418680132240201</v>
      </c>
      <c r="H67" s="129" t="s">
        <v>193</v>
      </c>
      <c r="I67" s="129">
        <v>37.772929988993624</v>
      </c>
      <c r="J67" s="129" t="s">
        <v>193</v>
      </c>
      <c r="K67" s="129">
        <v>46.81960352076733</v>
      </c>
      <c r="L67" s="129" t="s">
        <v>193</v>
      </c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7"/>
      <c r="CD67" s="137"/>
      <c r="CE67" s="137"/>
      <c r="CF67" s="137"/>
      <c r="CG67" s="137"/>
      <c r="CH67" s="137"/>
      <c r="CI67" s="137"/>
      <c r="CJ67" s="137"/>
      <c r="CK67" s="137"/>
      <c r="CL67" s="137"/>
      <c r="CM67" s="137"/>
      <c r="CN67" s="137"/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7"/>
      <c r="DB67" s="137"/>
      <c r="DC67" s="137"/>
      <c r="DD67" s="137"/>
      <c r="DE67" s="137"/>
      <c r="DF67" s="137"/>
      <c r="DG67" s="137"/>
      <c r="DH67" s="137"/>
      <c r="DI67" s="137"/>
      <c r="DJ67" s="137"/>
      <c r="DK67" s="137"/>
      <c r="DL67" s="137"/>
      <c r="DM67" s="137"/>
      <c r="DN67" s="137"/>
      <c r="DO67" s="137"/>
      <c r="DP67" s="137"/>
      <c r="DQ67" s="137"/>
      <c r="DR67" s="137"/>
      <c r="DS67" s="137"/>
      <c r="DT67" s="137"/>
      <c r="DU67" s="137"/>
      <c r="DV67" s="137"/>
      <c r="DW67" s="137"/>
      <c r="DX67" s="137"/>
      <c r="DY67" s="137"/>
      <c r="DZ67" s="137"/>
      <c r="EA67" s="137"/>
      <c r="EB67" s="137"/>
      <c r="EC67" s="137"/>
      <c r="ED67" s="137"/>
      <c r="EE67" s="137"/>
      <c r="EF67" s="137"/>
      <c r="EG67" s="137"/>
      <c r="EH67" s="137"/>
      <c r="EI67" s="137"/>
      <c r="EJ67" s="137"/>
      <c r="EK67" s="137"/>
      <c r="EL67" s="137"/>
      <c r="EM67" s="137"/>
      <c r="EN67" s="137"/>
      <c r="EO67" s="137"/>
      <c r="EP67" s="137"/>
      <c r="EQ67" s="137"/>
      <c r="ER67" s="137"/>
      <c r="ES67" s="137"/>
      <c r="ET67" s="137"/>
      <c r="EU67" s="137"/>
      <c r="EV67" s="137"/>
      <c r="EW67" s="137"/>
      <c r="EX67" s="137"/>
      <c r="EY67" s="137"/>
      <c r="EZ67" s="137"/>
      <c r="FA67" s="137"/>
      <c r="FB67" s="137"/>
      <c r="FC67" s="137"/>
      <c r="FD67" s="137"/>
      <c r="FE67" s="137"/>
      <c r="FF67" s="137"/>
      <c r="FG67" s="137"/>
      <c r="FH67" s="137"/>
      <c r="FI67" s="137"/>
      <c r="FJ67" s="137"/>
      <c r="FK67" s="137"/>
      <c r="FL67" s="137"/>
      <c r="FM67" s="137"/>
      <c r="FN67" s="137"/>
      <c r="FO67" s="137"/>
      <c r="FP67" s="137"/>
      <c r="FQ67" s="137"/>
      <c r="FR67" s="137"/>
      <c r="FS67" s="137"/>
      <c r="FT67" s="137"/>
      <c r="FU67" s="137"/>
      <c r="FV67" s="1"/>
      <c r="FW67" s="80"/>
      <c r="FX67" s="1"/>
      <c r="FY67" s="84"/>
      <c r="FZ67" s="84"/>
      <c r="GA67" s="84"/>
      <c r="GB67" s="84"/>
      <c r="GC67" s="84"/>
      <c r="GD67" s="84"/>
      <c r="GE67" s="84"/>
      <c r="GF67" s="84"/>
      <c r="GG67" s="84"/>
      <c r="GH67" s="81"/>
      <c r="GI67" s="84"/>
      <c r="GJ67" s="84"/>
      <c r="GK67" s="84"/>
      <c r="GL67" s="84"/>
      <c r="GM67" s="84"/>
      <c r="GN67" s="84"/>
      <c r="GO67" s="84"/>
      <c r="GP67" s="84"/>
      <c r="GR67" s="16"/>
      <c r="GS67" s="87"/>
      <c r="GT67" s="87"/>
      <c r="GU67" s="86"/>
      <c r="GV67" s="68"/>
      <c r="GW67" s="1"/>
      <c r="GX67" s="16"/>
      <c r="GY67" s="16"/>
      <c r="GZ67" s="50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20"/>
      <c r="HM67" s="30"/>
      <c r="HN67" s="30"/>
      <c r="HO67" s="30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</row>
    <row r="68" spans="2:249" ht="23.25">
      <c r="B68" s="127" t="s">
        <v>68</v>
      </c>
      <c r="C68" s="128">
        <v>24.191285530324809</v>
      </c>
      <c r="D68" s="128" t="s">
        <v>193</v>
      </c>
      <c r="E68" s="128">
        <v>38.589930039767744</v>
      </c>
      <c r="F68" s="128" t="s">
        <v>193</v>
      </c>
      <c r="G68" s="128">
        <v>28.905185721660988</v>
      </c>
      <c r="H68" s="128" t="s">
        <v>193</v>
      </c>
      <c r="I68" s="128">
        <v>36.302012789433881</v>
      </c>
      <c r="J68" s="128" t="s">
        <v>193</v>
      </c>
      <c r="K68" s="128">
        <v>44.478623344728966</v>
      </c>
      <c r="L68" s="128" t="s">
        <v>193</v>
      </c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7"/>
      <c r="CD68" s="137"/>
      <c r="CE68" s="137"/>
      <c r="CF68" s="137"/>
      <c r="CG68" s="137"/>
      <c r="CH68" s="137"/>
      <c r="CI68" s="137"/>
      <c r="CJ68" s="137"/>
      <c r="CK68" s="137"/>
      <c r="CL68" s="137"/>
      <c r="CM68" s="137"/>
      <c r="CN68" s="137"/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7"/>
      <c r="DB68" s="137"/>
      <c r="DC68" s="137"/>
      <c r="DD68" s="137"/>
      <c r="DE68" s="137"/>
      <c r="DF68" s="137"/>
      <c r="DG68" s="137"/>
      <c r="DH68" s="137"/>
      <c r="DI68" s="137"/>
      <c r="DJ68" s="137"/>
      <c r="DK68" s="137"/>
      <c r="DL68" s="137"/>
      <c r="DM68" s="137"/>
      <c r="DN68" s="137"/>
      <c r="DO68" s="137"/>
      <c r="DP68" s="137"/>
      <c r="DQ68" s="137"/>
      <c r="DR68" s="137"/>
      <c r="DS68" s="137"/>
      <c r="DT68" s="137"/>
      <c r="DU68" s="137"/>
      <c r="DV68" s="137"/>
      <c r="DW68" s="137"/>
      <c r="DX68" s="137"/>
      <c r="DY68" s="137"/>
      <c r="DZ68" s="137"/>
      <c r="EA68" s="137"/>
      <c r="EB68" s="137"/>
      <c r="EC68" s="137"/>
      <c r="ED68" s="137"/>
      <c r="EE68" s="137"/>
      <c r="EF68" s="137"/>
      <c r="EG68" s="137"/>
      <c r="EH68" s="137"/>
      <c r="EI68" s="137"/>
      <c r="EJ68" s="137"/>
      <c r="EK68" s="137"/>
      <c r="EL68" s="137"/>
      <c r="EM68" s="137"/>
      <c r="EN68" s="137"/>
      <c r="EO68" s="137"/>
      <c r="EP68" s="137"/>
      <c r="EQ68" s="137"/>
      <c r="ER68" s="137"/>
      <c r="ES68" s="137"/>
      <c r="ET68" s="137"/>
      <c r="EU68" s="137"/>
      <c r="EV68" s="137"/>
      <c r="EW68" s="137"/>
      <c r="EX68" s="137"/>
      <c r="EY68" s="137"/>
      <c r="EZ68" s="137"/>
      <c r="FA68" s="137"/>
      <c r="FB68" s="137"/>
      <c r="FC68" s="137"/>
      <c r="FD68" s="137"/>
      <c r="FE68" s="137"/>
      <c r="FF68" s="137"/>
      <c r="FG68" s="137"/>
      <c r="FH68" s="137"/>
      <c r="FI68" s="137"/>
      <c r="FJ68" s="137"/>
      <c r="FK68" s="137"/>
      <c r="FL68" s="137"/>
      <c r="FM68" s="137"/>
      <c r="FN68" s="137"/>
      <c r="FO68" s="137"/>
      <c r="FP68" s="137"/>
      <c r="FQ68" s="137"/>
      <c r="FR68" s="137"/>
      <c r="FS68" s="137"/>
      <c r="FT68" s="137"/>
      <c r="FU68" s="137"/>
      <c r="FV68" s="1"/>
      <c r="FW68" s="80"/>
      <c r="FX68" s="1"/>
      <c r="FY68" s="84"/>
      <c r="FZ68" s="84"/>
      <c r="GA68" s="84"/>
      <c r="GB68" s="84"/>
      <c r="GC68" s="84"/>
      <c r="GD68" s="84"/>
      <c r="GE68" s="84"/>
      <c r="GF68" s="84"/>
      <c r="GG68" s="84"/>
      <c r="GH68" s="81"/>
      <c r="GI68" s="84"/>
      <c r="GJ68" s="84"/>
      <c r="GK68" s="84"/>
      <c r="GL68" s="84"/>
      <c r="GM68" s="84"/>
      <c r="GN68" s="84"/>
      <c r="GO68" s="84"/>
      <c r="GP68" s="84"/>
      <c r="GR68" s="16"/>
      <c r="GS68" s="87"/>
      <c r="GT68" s="87"/>
      <c r="GU68" s="86"/>
      <c r="GV68" s="68"/>
      <c r="GW68" s="1"/>
      <c r="GX68" s="16"/>
      <c r="GY68" s="16"/>
      <c r="GZ68" s="50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20"/>
      <c r="HM68" s="30"/>
      <c r="HN68" s="30"/>
      <c r="HO68" s="30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</row>
    <row r="69" spans="2:249">
      <c r="B69" s="126" t="s">
        <v>69</v>
      </c>
      <c r="C69" s="129">
        <v>1149.0860626904284</v>
      </c>
      <c r="D69" s="129" t="s">
        <v>4</v>
      </c>
      <c r="E69" s="129">
        <v>1852.3166419088518</v>
      </c>
      <c r="F69" s="129" t="s">
        <v>4</v>
      </c>
      <c r="G69" s="129">
        <v>1300.7333574747445</v>
      </c>
      <c r="H69" s="129" t="s">
        <v>4</v>
      </c>
      <c r="I69" s="129">
        <v>1695.4966138928262</v>
      </c>
      <c r="J69" s="129" t="s">
        <v>4</v>
      </c>
      <c r="K69" s="129">
        <v>2023.7773621851679</v>
      </c>
      <c r="L69" s="129" t="s">
        <v>4</v>
      </c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  <c r="CC69" s="137"/>
      <c r="CD69" s="137"/>
      <c r="CE69" s="137"/>
      <c r="CF69" s="137"/>
      <c r="CG69" s="137"/>
      <c r="CH69" s="137"/>
      <c r="CI69" s="137"/>
      <c r="CJ69" s="137"/>
      <c r="CK69" s="137"/>
      <c r="CL69" s="137"/>
      <c r="CM69" s="137"/>
      <c r="CN69" s="137"/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7"/>
      <c r="DB69" s="137"/>
      <c r="DC69" s="137"/>
      <c r="DD69" s="137"/>
      <c r="DE69" s="137"/>
      <c r="DF69" s="137"/>
      <c r="DG69" s="137"/>
      <c r="DH69" s="137"/>
      <c r="DI69" s="137"/>
      <c r="DJ69" s="137"/>
      <c r="DK69" s="137"/>
      <c r="DL69" s="137"/>
      <c r="DM69" s="137"/>
      <c r="DN69" s="137"/>
      <c r="DO69" s="137"/>
      <c r="DP69" s="137"/>
      <c r="DQ69" s="137"/>
      <c r="DR69" s="137"/>
      <c r="DS69" s="137"/>
      <c r="DT69" s="137"/>
      <c r="DU69" s="137"/>
      <c r="DV69" s="137"/>
      <c r="DW69" s="137"/>
      <c r="DX69" s="137"/>
      <c r="DY69" s="137"/>
      <c r="DZ69" s="137"/>
      <c r="EA69" s="137"/>
      <c r="EB69" s="137"/>
      <c r="EC69" s="137"/>
      <c r="ED69" s="137"/>
      <c r="EE69" s="137"/>
      <c r="EF69" s="137"/>
      <c r="EG69" s="137"/>
      <c r="EH69" s="137"/>
      <c r="EI69" s="137"/>
      <c r="EJ69" s="137"/>
      <c r="EK69" s="137"/>
      <c r="EL69" s="137"/>
      <c r="EM69" s="137"/>
      <c r="EN69" s="137"/>
      <c r="EO69" s="137"/>
      <c r="EP69" s="137"/>
      <c r="EQ69" s="137"/>
      <c r="ER69" s="137"/>
      <c r="ES69" s="137"/>
      <c r="ET69" s="137"/>
      <c r="EU69" s="137"/>
      <c r="EV69" s="137"/>
      <c r="EW69" s="137"/>
      <c r="EX69" s="137"/>
      <c r="EY69" s="137"/>
      <c r="EZ69" s="137"/>
      <c r="FA69" s="137"/>
      <c r="FB69" s="137"/>
      <c r="FC69" s="137"/>
      <c r="FD69" s="137"/>
      <c r="FE69" s="137"/>
      <c r="FF69" s="137"/>
      <c r="FG69" s="137"/>
      <c r="FH69" s="137"/>
      <c r="FI69" s="137"/>
      <c r="FJ69" s="137"/>
      <c r="FK69" s="137"/>
      <c r="FL69" s="137"/>
      <c r="FM69" s="137"/>
      <c r="FN69" s="137"/>
      <c r="FO69" s="137"/>
      <c r="FP69" s="137"/>
      <c r="FQ69" s="137"/>
      <c r="FR69" s="137"/>
      <c r="FS69" s="137"/>
      <c r="FT69" s="137"/>
      <c r="FU69" s="137"/>
      <c r="FV69" s="1"/>
      <c r="FW69" s="80"/>
      <c r="FX69" s="1"/>
      <c r="FY69" s="84"/>
      <c r="FZ69" s="81"/>
      <c r="GA69" s="81"/>
      <c r="GB69" s="81"/>
      <c r="GC69" s="81"/>
      <c r="GD69" s="81"/>
      <c r="GE69" s="81"/>
      <c r="GF69" s="81"/>
      <c r="GG69" s="81"/>
      <c r="GH69" s="81"/>
      <c r="GI69" s="84"/>
      <c r="GJ69" s="81"/>
      <c r="GK69" s="81"/>
      <c r="GL69" s="81"/>
      <c r="GM69" s="81"/>
      <c r="GN69" s="81"/>
      <c r="GO69" s="81"/>
      <c r="GP69" s="81"/>
      <c r="GR69" s="16"/>
      <c r="GS69" s="73"/>
      <c r="GT69" s="87"/>
      <c r="GU69" s="86"/>
      <c r="GV69" s="68"/>
      <c r="GW69" s="1"/>
      <c r="GX69" s="16"/>
      <c r="GY69" s="16"/>
      <c r="GZ69" s="50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20"/>
      <c r="HM69" s="30"/>
      <c r="HN69" s="30"/>
      <c r="HO69" s="30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</row>
    <row r="70" spans="2:249">
      <c r="B70" s="127" t="s">
        <v>70</v>
      </c>
      <c r="C70" s="133">
        <v>1045.66831704829</v>
      </c>
      <c r="D70" s="133" t="s">
        <v>4</v>
      </c>
      <c r="E70" s="133">
        <v>1778.2239762324978</v>
      </c>
      <c r="F70" s="133" t="s">
        <v>4</v>
      </c>
      <c r="G70" s="133">
        <v>1183.6673553020175</v>
      </c>
      <c r="H70" s="133" t="s">
        <v>4</v>
      </c>
      <c r="I70" s="133">
        <v>1542.9919186424715</v>
      </c>
      <c r="J70" s="133" t="s">
        <v>4</v>
      </c>
      <c r="K70" s="133">
        <v>1861.8751732103544</v>
      </c>
      <c r="L70" s="133" t="s">
        <v>4</v>
      </c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7"/>
      <c r="CD70" s="137"/>
      <c r="CE70" s="137"/>
      <c r="CF70" s="137"/>
      <c r="CG70" s="137"/>
      <c r="CH70" s="137"/>
      <c r="CI70" s="137"/>
      <c r="CJ70" s="137"/>
      <c r="CK70" s="137"/>
      <c r="CL70" s="137"/>
      <c r="CM70" s="137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7"/>
      <c r="DB70" s="137"/>
      <c r="DC70" s="137"/>
      <c r="DD70" s="137"/>
      <c r="DE70" s="137"/>
      <c r="DF70" s="137"/>
      <c r="DG70" s="137"/>
      <c r="DH70" s="137"/>
      <c r="DI70" s="137"/>
      <c r="DJ70" s="137"/>
      <c r="DK70" s="137"/>
      <c r="DL70" s="137"/>
      <c r="DM70" s="137"/>
      <c r="DN70" s="137"/>
      <c r="DO70" s="137"/>
      <c r="DP70" s="137"/>
      <c r="DQ70" s="137"/>
      <c r="DR70" s="137"/>
      <c r="DS70" s="137"/>
      <c r="DT70" s="137"/>
      <c r="DU70" s="137"/>
      <c r="DV70" s="137"/>
      <c r="DW70" s="137"/>
      <c r="DX70" s="137"/>
      <c r="DY70" s="137"/>
      <c r="DZ70" s="137"/>
      <c r="EA70" s="137"/>
      <c r="EB70" s="137"/>
      <c r="EC70" s="137"/>
      <c r="ED70" s="137"/>
      <c r="EE70" s="137"/>
      <c r="EF70" s="137"/>
      <c r="EG70" s="137"/>
      <c r="EH70" s="137"/>
      <c r="EI70" s="137"/>
      <c r="EJ70" s="137"/>
      <c r="EK70" s="137"/>
      <c r="EL70" s="137"/>
      <c r="EM70" s="137"/>
      <c r="EN70" s="137"/>
      <c r="EO70" s="137"/>
      <c r="EP70" s="137"/>
      <c r="EQ70" s="137"/>
      <c r="ER70" s="137"/>
      <c r="ES70" s="137"/>
      <c r="ET70" s="137"/>
      <c r="EU70" s="137"/>
      <c r="EV70" s="137"/>
      <c r="EW70" s="137"/>
      <c r="EX70" s="137"/>
      <c r="EY70" s="137"/>
      <c r="EZ70" s="137"/>
      <c r="FA70" s="137"/>
      <c r="FB70" s="137"/>
      <c r="FC70" s="137"/>
      <c r="FD70" s="137"/>
      <c r="FE70" s="137"/>
      <c r="FF70" s="137"/>
      <c r="FG70" s="137"/>
      <c r="FH70" s="137"/>
      <c r="FI70" s="137"/>
      <c r="FJ70" s="137"/>
      <c r="FK70" s="137"/>
      <c r="FL70" s="137"/>
      <c r="FM70" s="137"/>
      <c r="FN70" s="137"/>
      <c r="FO70" s="137"/>
      <c r="FP70" s="137"/>
      <c r="FQ70" s="137"/>
      <c r="FR70" s="137"/>
      <c r="FS70" s="137"/>
      <c r="FT70" s="137"/>
      <c r="FU70" s="137"/>
      <c r="FV70" s="1"/>
      <c r="FW70" s="89"/>
      <c r="FX70" s="1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R70" s="16"/>
      <c r="GS70" s="73"/>
      <c r="GT70" s="87"/>
      <c r="GU70" s="86"/>
      <c r="GV70" s="68"/>
      <c r="GW70" s="1"/>
      <c r="GX70" s="16"/>
      <c r="GY70" s="16"/>
      <c r="GZ70" s="50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20"/>
      <c r="HM70" s="30"/>
      <c r="HN70" s="30"/>
      <c r="HO70" s="30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</row>
    <row r="71" spans="2:249">
      <c r="B71" s="126" t="s">
        <v>71</v>
      </c>
      <c r="C71" s="129">
        <v>972.47153485490969</v>
      </c>
      <c r="D71" s="129" t="s">
        <v>4</v>
      </c>
      <c r="E71" s="129">
        <v>1671.5305376585479</v>
      </c>
      <c r="F71" s="129" t="s">
        <v>4</v>
      </c>
      <c r="G71" s="129">
        <v>1100.8106404308764</v>
      </c>
      <c r="H71" s="129" t="s">
        <v>4</v>
      </c>
      <c r="I71" s="129">
        <v>1388.7927267782245</v>
      </c>
      <c r="J71" s="129" t="s">
        <v>4</v>
      </c>
      <c r="K71" s="129">
        <v>1768.7814145498369</v>
      </c>
      <c r="L71" s="129" t="s">
        <v>4</v>
      </c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  <c r="CC71" s="137"/>
      <c r="CD71" s="137"/>
      <c r="CE71" s="137"/>
      <c r="CF71" s="137"/>
      <c r="CG71" s="137"/>
      <c r="CH71" s="137"/>
      <c r="CI71" s="137"/>
      <c r="CJ71" s="137"/>
      <c r="CK71" s="137"/>
      <c r="CL71" s="137"/>
      <c r="CM71" s="137"/>
      <c r="CN71" s="137"/>
      <c r="CO71" s="137"/>
      <c r="CP71" s="137"/>
      <c r="CQ71" s="137"/>
      <c r="CR71" s="137"/>
      <c r="CS71" s="137"/>
      <c r="CT71" s="137"/>
      <c r="CU71" s="137"/>
      <c r="CV71" s="137"/>
      <c r="CW71" s="137"/>
      <c r="CX71" s="137"/>
      <c r="CY71" s="137"/>
      <c r="CZ71" s="137"/>
      <c r="DA71" s="137"/>
      <c r="DB71" s="137"/>
      <c r="DC71" s="137"/>
      <c r="DD71" s="137"/>
      <c r="DE71" s="137"/>
      <c r="DF71" s="137"/>
      <c r="DG71" s="137"/>
      <c r="DH71" s="137"/>
      <c r="DI71" s="137"/>
      <c r="DJ71" s="137"/>
      <c r="DK71" s="137"/>
      <c r="DL71" s="137"/>
      <c r="DM71" s="137"/>
      <c r="DN71" s="137"/>
      <c r="DO71" s="137"/>
      <c r="DP71" s="137"/>
      <c r="DQ71" s="137"/>
      <c r="DR71" s="137"/>
      <c r="DS71" s="137"/>
      <c r="DT71" s="137"/>
      <c r="DU71" s="137"/>
      <c r="DV71" s="137"/>
      <c r="DW71" s="137"/>
      <c r="DX71" s="137"/>
      <c r="DY71" s="137"/>
      <c r="DZ71" s="137"/>
      <c r="EA71" s="137"/>
      <c r="EB71" s="137"/>
      <c r="EC71" s="137"/>
      <c r="ED71" s="137"/>
      <c r="EE71" s="137"/>
      <c r="EF71" s="137"/>
      <c r="EG71" s="137"/>
      <c r="EH71" s="137"/>
      <c r="EI71" s="137"/>
      <c r="EJ71" s="137"/>
      <c r="EK71" s="137"/>
      <c r="EL71" s="137"/>
      <c r="EM71" s="137"/>
      <c r="EN71" s="137"/>
      <c r="EO71" s="137"/>
      <c r="EP71" s="137"/>
      <c r="EQ71" s="137"/>
      <c r="ER71" s="137"/>
      <c r="ES71" s="137"/>
      <c r="ET71" s="137"/>
      <c r="EU71" s="137"/>
      <c r="EV71" s="137"/>
      <c r="EW71" s="137"/>
      <c r="EX71" s="137"/>
      <c r="EY71" s="137"/>
      <c r="EZ71" s="137"/>
      <c r="FA71" s="137"/>
      <c r="FB71" s="137"/>
      <c r="FC71" s="137"/>
      <c r="FD71" s="137"/>
      <c r="FE71" s="137"/>
      <c r="FF71" s="137"/>
      <c r="FG71" s="137"/>
      <c r="FH71" s="137"/>
      <c r="FI71" s="137"/>
      <c r="FJ71" s="137"/>
      <c r="FK71" s="137"/>
      <c r="FL71" s="137"/>
      <c r="FM71" s="137"/>
      <c r="FN71" s="137"/>
      <c r="FO71" s="137"/>
      <c r="FP71" s="137"/>
      <c r="FQ71" s="137"/>
      <c r="FR71" s="137"/>
      <c r="FS71" s="137"/>
      <c r="FT71" s="137"/>
      <c r="FU71" s="137"/>
      <c r="FV71" s="1"/>
      <c r="FW71" s="89"/>
      <c r="FX71" s="1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R71" s="16"/>
      <c r="GS71" s="87"/>
      <c r="GT71" s="87"/>
      <c r="GU71" s="86"/>
      <c r="GV71" s="68"/>
      <c r="GW71" s="1"/>
      <c r="GX71" s="16"/>
      <c r="GY71" s="16"/>
      <c r="GZ71" s="50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20"/>
      <c r="HM71" s="30"/>
      <c r="HN71" s="30"/>
      <c r="HO71" s="30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</row>
    <row r="72" spans="2:249" ht="23.25">
      <c r="B72" s="127" t="s">
        <v>72</v>
      </c>
      <c r="C72" s="128">
        <v>18.087970548301321</v>
      </c>
      <c r="D72" s="128" t="s">
        <v>193</v>
      </c>
      <c r="E72" s="128">
        <v>30.087549677853861</v>
      </c>
      <c r="F72" s="128" t="s">
        <v>193</v>
      </c>
      <c r="G72" s="128">
        <v>20.475077912014299</v>
      </c>
      <c r="H72" s="128" t="s">
        <v>193</v>
      </c>
      <c r="I72" s="128">
        <v>27.09050326343062</v>
      </c>
      <c r="J72" s="128" t="s">
        <v>193</v>
      </c>
      <c r="K72" s="128">
        <v>33.253090593536932</v>
      </c>
      <c r="L72" s="128" t="s">
        <v>193</v>
      </c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  <c r="CC72" s="137"/>
      <c r="CD72" s="137"/>
      <c r="CE72" s="137"/>
      <c r="CF72" s="137"/>
      <c r="CG72" s="137"/>
      <c r="CH72" s="137"/>
      <c r="CI72" s="137"/>
      <c r="CJ72" s="137"/>
      <c r="CK72" s="137"/>
      <c r="CL72" s="137"/>
      <c r="CM72" s="137"/>
      <c r="CN72" s="137"/>
      <c r="CO72" s="137"/>
      <c r="CP72" s="137"/>
      <c r="CQ72" s="137"/>
      <c r="CR72" s="137"/>
      <c r="CS72" s="137"/>
      <c r="CT72" s="137"/>
      <c r="CU72" s="137"/>
      <c r="CV72" s="137"/>
      <c r="CW72" s="137"/>
      <c r="CX72" s="137"/>
      <c r="CY72" s="137"/>
      <c r="CZ72" s="137"/>
      <c r="DA72" s="137"/>
      <c r="DB72" s="137"/>
      <c r="DC72" s="137"/>
      <c r="DD72" s="137"/>
      <c r="DE72" s="137"/>
      <c r="DF72" s="137"/>
      <c r="DG72" s="137"/>
      <c r="DH72" s="137"/>
      <c r="DI72" s="137"/>
      <c r="DJ72" s="137"/>
      <c r="DK72" s="137"/>
      <c r="DL72" s="137"/>
      <c r="DM72" s="137"/>
      <c r="DN72" s="137"/>
      <c r="DO72" s="137"/>
      <c r="DP72" s="137"/>
      <c r="DQ72" s="137"/>
      <c r="DR72" s="137"/>
      <c r="DS72" s="137"/>
      <c r="DT72" s="137"/>
      <c r="DU72" s="137"/>
      <c r="DV72" s="137"/>
      <c r="DW72" s="137"/>
      <c r="DX72" s="137"/>
      <c r="DY72" s="137"/>
      <c r="DZ72" s="137"/>
      <c r="EA72" s="137"/>
      <c r="EB72" s="137"/>
      <c r="EC72" s="137"/>
      <c r="ED72" s="137"/>
      <c r="EE72" s="137"/>
      <c r="EF72" s="137"/>
      <c r="EG72" s="137"/>
      <c r="EH72" s="137"/>
      <c r="EI72" s="137"/>
      <c r="EJ72" s="137"/>
      <c r="EK72" s="137"/>
      <c r="EL72" s="137"/>
      <c r="EM72" s="137"/>
      <c r="EN72" s="137"/>
      <c r="EO72" s="137"/>
      <c r="EP72" s="137"/>
      <c r="EQ72" s="137"/>
      <c r="ER72" s="137"/>
      <c r="ES72" s="137"/>
      <c r="ET72" s="137"/>
      <c r="EU72" s="137"/>
      <c r="EV72" s="137"/>
      <c r="EW72" s="137"/>
      <c r="EX72" s="137"/>
      <c r="EY72" s="137"/>
      <c r="EZ72" s="137"/>
      <c r="FA72" s="137"/>
      <c r="FB72" s="137"/>
      <c r="FC72" s="137"/>
      <c r="FD72" s="137"/>
      <c r="FE72" s="137"/>
      <c r="FF72" s="137"/>
      <c r="FG72" s="137"/>
      <c r="FH72" s="137"/>
      <c r="FI72" s="137"/>
      <c r="FJ72" s="137"/>
      <c r="FK72" s="137"/>
      <c r="FL72" s="137"/>
      <c r="FM72" s="137"/>
      <c r="FN72" s="137"/>
      <c r="FO72" s="137"/>
      <c r="FP72" s="137"/>
      <c r="FQ72" s="137"/>
      <c r="FR72" s="137"/>
      <c r="FS72" s="137"/>
      <c r="FT72" s="137"/>
      <c r="FU72" s="137"/>
      <c r="FV72" s="10"/>
      <c r="FW72" s="113"/>
      <c r="FX72" s="10"/>
      <c r="FY72" s="114"/>
      <c r="FZ72" s="114"/>
      <c r="GA72" s="114"/>
      <c r="GB72" s="114"/>
      <c r="GC72" s="114"/>
      <c r="GD72" s="114"/>
      <c r="GE72" s="114"/>
      <c r="GF72" s="114"/>
      <c r="GG72" s="114"/>
      <c r="GH72" s="114"/>
      <c r="GI72" s="114"/>
      <c r="GJ72" s="114"/>
      <c r="GK72" s="114"/>
      <c r="GL72" s="114"/>
      <c r="GM72" s="114"/>
      <c r="GN72" s="114"/>
      <c r="GO72" s="114"/>
      <c r="GP72" s="114"/>
      <c r="GR72" s="16"/>
      <c r="GS72" s="73"/>
      <c r="GT72" s="87"/>
      <c r="GU72" s="86"/>
      <c r="GV72" s="68"/>
      <c r="GW72" s="1"/>
      <c r="GX72" s="16"/>
      <c r="GY72" s="16"/>
      <c r="GZ72" s="50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20"/>
      <c r="HM72" s="30"/>
      <c r="HN72" s="30"/>
      <c r="HO72" s="30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</row>
    <row r="73" spans="2:249" ht="23.25">
      <c r="B73" s="126" t="s">
        <v>73</v>
      </c>
      <c r="C73" s="129">
        <v>813.95867467355947</v>
      </c>
      <c r="D73" s="129" t="s">
        <v>4</v>
      </c>
      <c r="E73" s="129">
        <v>1444.2023845369854</v>
      </c>
      <c r="F73" s="129" t="s">
        <v>4</v>
      </c>
      <c r="G73" s="129">
        <v>982.80373977668637</v>
      </c>
      <c r="H73" s="129" t="s">
        <v>4</v>
      </c>
      <c r="I73" s="129">
        <v>1266.389408276385</v>
      </c>
      <c r="J73" s="129" t="s">
        <v>4</v>
      </c>
      <c r="K73" s="129">
        <v>1596.1483484897728</v>
      </c>
      <c r="L73" s="129" t="s">
        <v>4</v>
      </c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  <c r="CC73" s="137"/>
      <c r="CD73" s="137"/>
      <c r="CE73" s="137"/>
      <c r="CF73" s="137"/>
      <c r="CG73" s="137"/>
      <c r="CH73" s="137"/>
      <c r="CI73" s="137"/>
      <c r="CJ73" s="137"/>
      <c r="CK73" s="137"/>
      <c r="CL73" s="137"/>
      <c r="CM73" s="137"/>
      <c r="CN73" s="137"/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7"/>
      <c r="DB73" s="137"/>
      <c r="DC73" s="137"/>
      <c r="DD73" s="137"/>
      <c r="DE73" s="137"/>
      <c r="DF73" s="137"/>
      <c r="DG73" s="137"/>
      <c r="DH73" s="137"/>
      <c r="DI73" s="137"/>
      <c r="DJ73" s="137"/>
      <c r="DK73" s="137"/>
      <c r="DL73" s="137"/>
      <c r="DM73" s="137"/>
      <c r="DN73" s="137"/>
      <c r="DO73" s="137"/>
      <c r="DP73" s="137"/>
      <c r="DQ73" s="137"/>
      <c r="DR73" s="137"/>
      <c r="DS73" s="137"/>
      <c r="DT73" s="137"/>
      <c r="DU73" s="137"/>
      <c r="DV73" s="137"/>
      <c r="DW73" s="137"/>
      <c r="DX73" s="137"/>
      <c r="DY73" s="137"/>
      <c r="DZ73" s="137"/>
      <c r="EA73" s="137"/>
      <c r="EB73" s="137"/>
      <c r="EC73" s="137"/>
      <c r="ED73" s="137"/>
      <c r="EE73" s="137"/>
      <c r="EF73" s="137"/>
      <c r="EG73" s="137"/>
      <c r="EH73" s="137"/>
      <c r="EI73" s="137"/>
      <c r="EJ73" s="137"/>
      <c r="EK73" s="137"/>
      <c r="EL73" s="137"/>
      <c r="EM73" s="137"/>
      <c r="EN73" s="137"/>
      <c r="EO73" s="137"/>
      <c r="EP73" s="137"/>
      <c r="EQ73" s="137"/>
      <c r="ER73" s="137"/>
      <c r="ES73" s="137"/>
      <c r="ET73" s="137"/>
      <c r="EU73" s="137"/>
      <c r="EV73" s="137"/>
      <c r="EW73" s="137"/>
      <c r="EX73" s="137"/>
      <c r="EY73" s="137"/>
      <c r="EZ73" s="137"/>
      <c r="FA73" s="137"/>
      <c r="FB73" s="137"/>
      <c r="FC73" s="137"/>
      <c r="FD73" s="137"/>
      <c r="FE73" s="137"/>
      <c r="FF73" s="137"/>
      <c r="FG73" s="137"/>
      <c r="FH73" s="137"/>
      <c r="FI73" s="137"/>
      <c r="FJ73" s="137"/>
      <c r="FK73" s="137"/>
      <c r="FL73" s="137"/>
      <c r="FM73" s="137"/>
      <c r="FN73" s="137"/>
      <c r="FO73" s="137"/>
      <c r="FP73" s="137"/>
      <c r="FQ73" s="137"/>
      <c r="FR73" s="137"/>
      <c r="FS73" s="137"/>
      <c r="FT73" s="137"/>
      <c r="FU73" s="137"/>
      <c r="FV73" s="1"/>
      <c r="FW73" s="1"/>
      <c r="FX73" s="1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R73" s="16"/>
      <c r="GS73" s="73"/>
      <c r="GT73" s="87"/>
      <c r="GU73" s="86"/>
      <c r="GV73" s="68"/>
      <c r="GW73" s="1"/>
      <c r="GX73" s="16"/>
      <c r="GY73" s="16"/>
      <c r="GZ73" s="50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20"/>
      <c r="HM73" s="30"/>
      <c r="HN73" s="30"/>
      <c r="HO73" s="30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</row>
    <row r="74" spans="2:249" ht="23.25">
      <c r="B74" s="127" t="s">
        <v>74</v>
      </c>
      <c r="C74" s="128">
        <v>15.139631348928205</v>
      </c>
      <c r="D74" s="128" t="s">
        <v>193</v>
      </c>
      <c r="E74" s="128">
        <v>25.995642921665734</v>
      </c>
      <c r="F74" s="128" t="s">
        <v>193</v>
      </c>
      <c r="G74" s="128">
        <v>17.887028063935691</v>
      </c>
      <c r="H74" s="128" t="s">
        <v>193</v>
      </c>
      <c r="I74" s="128">
        <v>25.548554520561872</v>
      </c>
      <c r="J74" s="128" t="s">
        <v>193</v>
      </c>
      <c r="K74" s="128">
        <v>30.646048291003641</v>
      </c>
      <c r="L74" s="128" t="s">
        <v>193</v>
      </c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  <c r="CC74" s="137"/>
      <c r="CD74" s="137"/>
      <c r="CE74" s="137"/>
      <c r="CF74" s="137"/>
      <c r="CG74" s="137"/>
      <c r="CH74" s="137"/>
      <c r="CI74" s="137"/>
      <c r="CJ74" s="137"/>
      <c r="CK74" s="137"/>
      <c r="CL74" s="137"/>
      <c r="CM74" s="137"/>
      <c r="CN74" s="137"/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7"/>
      <c r="DB74" s="137"/>
      <c r="DC74" s="137"/>
      <c r="DD74" s="137"/>
      <c r="DE74" s="137"/>
      <c r="DF74" s="137"/>
      <c r="DG74" s="137"/>
      <c r="DH74" s="137"/>
      <c r="DI74" s="137"/>
      <c r="DJ74" s="137"/>
      <c r="DK74" s="137"/>
      <c r="DL74" s="137"/>
      <c r="DM74" s="137"/>
      <c r="DN74" s="137"/>
      <c r="DO74" s="137"/>
      <c r="DP74" s="137"/>
      <c r="DQ74" s="137"/>
      <c r="DR74" s="137"/>
      <c r="DS74" s="137"/>
      <c r="DT74" s="137"/>
      <c r="DU74" s="137"/>
      <c r="DV74" s="137"/>
      <c r="DW74" s="137"/>
      <c r="DX74" s="137"/>
      <c r="DY74" s="137"/>
      <c r="DZ74" s="137"/>
      <c r="EA74" s="137"/>
      <c r="EB74" s="137"/>
      <c r="EC74" s="137"/>
      <c r="ED74" s="137"/>
      <c r="EE74" s="137"/>
      <c r="EF74" s="137"/>
      <c r="EG74" s="137"/>
      <c r="EH74" s="137"/>
      <c r="EI74" s="137"/>
      <c r="EJ74" s="137"/>
      <c r="EK74" s="137"/>
      <c r="EL74" s="137"/>
      <c r="EM74" s="137"/>
      <c r="EN74" s="137"/>
      <c r="EO74" s="137"/>
      <c r="EP74" s="137"/>
      <c r="EQ74" s="137"/>
      <c r="ER74" s="137"/>
      <c r="ES74" s="137"/>
      <c r="ET74" s="137"/>
      <c r="EU74" s="137"/>
      <c r="EV74" s="137"/>
      <c r="EW74" s="137"/>
      <c r="EX74" s="137"/>
      <c r="EY74" s="137"/>
      <c r="EZ74" s="137"/>
      <c r="FA74" s="137"/>
      <c r="FB74" s="137"/>
      <c r="FC74" s="137"/>
      <c r="FD74" s="137"/>
      <c r="FE74" s="137"/>
      <c r="FF74" s="137"/>
      <c r="FG74" s="137"/>
      <c r="FH74" s="137"/>
      <c r="FI74" s="137"/>
      <c r="FJ74" s="137"/>
      <c r="FK74" s="137"/>
      <c r="FL74" s="137"/>
      <c r="FM74" s="137"/>
      <c r="FN74" s="137"/>
      <c r="FO74" s="137"/>
      <c r="FP74" s="137"/>
      <c r="FQ74" s="137"/>
      <c r="FR74" s="137"/>
      <c r="FS74" s="137"/>
      <c r="FT74" s="137"/>
      <c r="FU74" s="137"/>
      <c r="FV74" s="1"/>
      <c r="FW74" s="1"/>
      <c r="FX74" s="1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1"/>
      <c r="GJ74" s="1"/>
      <c r="GK74" s="1"/>
      <c r="GL74" s="1"/>
      <c r="GM74" s="1"/>
      <c r="GN74" s="1"/>
      <c r="GO74" s="1"/>
      <c r="GP74" s="1"/>
      <c r="GR74" s="16"/>
      <c r="GS74" s="73"/>
      <c r="GT74" s="87"/>
      <c r="GU74" s="86"/>
      <c r="GV74" s="68"/>
      <c r="GW74" s="1"/>
      <c r="GX74" s="16"/>
      <c r="GY74" s="16"/>
      <c r="GZ74" s="50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20"/>
      <c r="HM74" s="30"/>
      <c r="HN74" s="30"/>
      <c r="HO74" s="30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</row>
    <row r="75" spans="2:249">
      <c r="B75" s="126" t="s">
        <v>75</v>
      </c>
      <c r="C75" s="129">
        <v>688.85322637623335</v>
      </c>
      <c r="D75" s="129" t="s">
        <v>4</v>
      </c>
      <c r="E75" s="129">
        <v>1169.8039314749581</v>
      </c>
      <c r="F75" s="129" t="s">
        <v>4</v>
      </c>
      <c r="G75" s="129">
        <v>840.69031900497748</v>
      </c>
      <c r="H75" s="129" t="s">
        <v>4</v>
      </c>
      <c r="I75" s="129">
        <v>1154.782062466408</v>
      </c>
      <c r="J75" s="129" t="s">
        <v>4</v>
      </c>
      <c r="K75" s="129">
        <v>1425.0412455316691</v>
      </c>
      <c r="L75" s="129" t="s">
        <v>4</v>
      </c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  <c r="CC75" s="137"/>
      <c r="CD75" s="137"/>
      <c r="CE75" s="137"/>
      <c r="CF75" s="137"/>
      <c r="CG75" s="137"/>
      <c r="CH75" s="137"/>
      <c r="CI75" s="137"/>
      <c r="CJ75" s="137"/>
      <c r="CK75" s="137"/>
      <c r="CL75" s="137"/>
      <c r="CM75" s="137"/>
      <c r="CN75" s="137"/>
      <c r="CO75" s="137"/>
      <c r="CP75" s="137"/>
      <c r="CQ75" s="137"/>
      <c r="CR75" s="137"/>
      <c r="CS75" s="137"/>
      <c r="CT75" s="137"/>
      <c r="CU75" s="137"/>
      <c r="CV75" s="137"/>
      <c r="CW75" s="137"/>
      <c r="CX75" s="137"/>
      <c r="CY75" s="137"/>
      <c r="CZ75" s="137"/>
      <c r="DA75" s="137"/>
      <c r="DB75" s="137"/>
      <c r="DC75" s="137"/>
      <c r="DD75" s="137"/>
      <c r="DE75" s="137"/>
      <c r="DF75" s="137"/>
      <c r="DG75" s="137"/>
      <c r="DH75" s="137"/>
      <c r="DI75" s="137"/>
      <c r="DJ75" s="137"/>
      <c r="DK75" s="137"/>
      <c r="DL75" s="137"/>
      <c r="DM75" s="137"/>
      <c r="DN75" s="137"/>
      <c r="DO75" s="137"/>
      <c r="DP75" s="137"/>
      <c r="DQ75" s="137"/>
      <c r="DR75" s="137"/>
      <c r="DS75" s="137"/>
      <c r="DT75" s="137"/>
      <c r="DU75" s="137"/>
      <c r="DV75" s="137"/>
      <c r="DW75" s="137"/>
      <c r="DX75" s="137"/>
      <c r="DY75" s="137"/>
      <c r="DZ75" s="137"/>
      <c r="EA75" s="137"/>
      <c r="EB75" s="137"/>
      <c r="EC75" s="137"/>
      <c r="ED75" s="137"/>
      <c r="EE75" s="137"/>
      <c r="EF75" s="137"/>
      <c r="EG75" s="137"/>
      <c r="EH75" s="137"/>
      <c r="EI75" s="137"/>
      <c r="EJ75" s="137"/>
      <c r="EK75" s="137"/>
      <c r="EL75" s="137"/>
      <c r="EM75" s="137"/>
      <c r="EN75" s="137"/>
      <c r="EO75" s="137"/>
      <c r="EP75" s="137"/>
      <c r="EQ75" s="137"/>
      <c r="ER75" s="137"/>
      <c r="ES75" s="137"/>
      <c r="ET75" s="137"/>
      <c r="EU75" s="137"/>
      <c r="EV75" s="137"/>
      <c r="EW75" s="137"/>
      <c r="EX75" s="137"/>
      <c r="EY75" s="137"/>
      <c r="EZ75" s="137"/>
      <c r="FA75" s="137"/>
      <c r="FB75" s="137"/>
      <c r="FC75" s="137"/>
      <c r="FD75" s="137"/>
      <c r="FE75" s="137"/>
      <c r="FF75" s="137"/>
      <c r="FG75" s="137"/>
      <c r="FH75" s="137"/>
      <c r="FI75" s="137"/>
      <c r="FJ75" s="137"/>
      <c r="FK75" s="137"/>
      <c r="FL75" s="137"/>
      <c r="FM75" s="137"/>
      <c r="FN75" s="137"/>
      <c r="FO75" s="137"/>
      <c r="FP75" s="137"/>
      <c r="FQ75" s="137"/>
      <c r="FR75" s="137"/>
      <c r="FS75" s="137"/>
      <c r="FT75" s="137"/>
      <c r="FU75" s="137"/>
      <c r="FV75" s="1"/>
      <c r="FW75" s="1"/>
      <c r="FX75" s="1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1"/>
      <c r="GJ75" s="1"/>
      <c r="GK75" s="1"/>
      <c r="GL75" s="1"/>
      <c r="GM75" s="1"/>
      <c r="GN75" s="1"/>
      <c r="GO75" s="1"/>
      <c r="GP75" s="1"/>
      <c r="GR75" s="16"/>
      <c r="GS75" s="73"/>
      <c r="GT75" s="87"/>
      <c r="GU75" s="86"/>
      <c r="GV75" s="68"/>
      <c r="GW75" s="1"/>
      <c r="GX75" s="16"/>
      <c r="GY75" s="16"/>
      <c r="GZ75" s="50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20"/>
      <c r="HM75" s="30"/>
      <c r="HN75" s="30"/>
      <c r="HO75" s="30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</row>
    <row r="76" spans="2:249" ht="23.25">
      <c r="B76" s="127" t="s">
        <v>76</v>
      </c>
      <c r="C76" s="128">
        <v>626.85643600237233</v>
      </c>
      <c r="D76" s="128" t="s">
        <v>4</v>
      </c>
      <c r="E76" s="128">
        <v>1076.2196169569613</v>
      </c>
      <c r="F76" s="128" t="s">
        <v>4</v>
      </c>
      <c r="G76" s="128">
        <v>815.46960943482816</v>
      </c>
      <c r="H76" s="128" t="s">
        <v>4</v>
      </c>
      <c r="I76" s="128">
        <v>1062.4794974690953</v>
      </c>
      <c r="J76" s="128" t="s">
        <v>4</v>
      </c>
      <c r="K76" s="128">
        <v>1311.0379458891357</v>
      </c>
      <c r="L76" s="128" t="s">
        <v>4</v>
      </c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  <c r="CC76" s="137"/>
      <c r="CD76" s="137"/>
      <c r="CE76" s="137"/>
      <c r="CF76" s="137"/>
      <c r="CG76" s="137"/>
      <c r="CH76" s="137"/>
      <c r="CI76" s="137"/>
      <c r="CJ76" s="137"/>
      <c r="CK76" s="137"/>
      <c r="CL76" s="137"/>
      <c r="CM76" s="137"/>
      <c r="CN76" s="137"/>
      <c r="CO76" s="137"/>
      <c r="CP76" s="137"/>
      <c r="CQ76" s="137"/>
      <c r="CR76" s="137"/>
      <c r="CS76" s="137"/>
      <c r="CT76" s="137"/>
      <c r="CU76" s="137"/>
      <c r="CV76" s="137"/>
      <c r="CW76" s="137"/>
      <c r="CX76" s="137"/>
      <c r="CY76" s="137"/>
      <c r="CZ76" s="137"/>
      <c r="DA76" s="137"/>
      <c r="DB76" s="137"/>
      <c r="DC76" s="137"/>
      <c r="DD76" s="137"/>
      <c r="DE76" s="137"/>
      <c r="DF76" s="137"/>
      <c r="DG76" s="137"/>
      <c r="DH76" s="137"/>
      <c r="DI76" s="137"/>
      <c r="DJ76" s="137"/>
      <c r="DK76" s="137"/>
      <c r="DL76" s="137"/>
      <c r="DM76" s="137"/>
      <c r="DN76" s="137"/>
      <c r="DO76" s="137"/>
      <c r="DP76" s="137"/>
      <c r="DQ76" s="137"/>
      <c r="DR76" s="137"/>
      <c r="DS76" s="137"/>
      <c r="DT76" s="137"/>
      <c r="DU76" s="137"/>
      <c r="DV76" s="137"/>
      <c r="DW76" s="137"/>
      <c r="DX76" s="137"/>
      <c r="DY76" s="137"/>
      <c r="DZ76" s="137"/>
      <c r="EA76" s="137"/>
      <c r="EB76" s="137"/>
      <c r="EC76" s="137"/>
      <c r="ED76" s="137"/>
      <c r="EE76" s="137"/>
      <c r="EF76" s="137"/>
      <c r="EG76" s="137"/>
      <c r="EH76" s="137"/>
      <c r="EI76" s="137"/>
      <c r="EJ76" s="137"/>
      <c r="EK76" s="137"/>
      <c r="EL76" s="137"/>
      <c r="EM76" s="137"/>
      <c r="EN76" s="137"/>
      <c r="EO76" s="137"/>
      <c r="EP76" s="137"/>
      <c r="EQ76" s="137"/>
      <c r="ER76" s="137"/>
      <c r="ES76" s="137"/>
      <c r="ET76" s="137"/>
      <c r="EU76" s="137"/>
      <c r="EV76" s="137"/>
      <c r="EW76" s="137"/>
      <c r="EX76" s="137"/>
      <c r="EY76" s="137"/>
      <c r="EZ76" s="137"/>
      <c r="FA76" s="137"/>
      <c r="FB76" s="137"/>
      <c r="FC76" s="137"/>
      <c r="FD76" s="137"/>
      <c r="FE76" s="137"/>
      <c r="FF76" s="137"/>
      <c r="FG76" s="137"/>
      <c r="FH76" s="137"/>
      <c r="FI76" s="137"/>
      <c r="FJ76" s="137"/>
      <c r="FK76" s="137"/>
      <c r="FL76" s="137"/>
      <c r="FM76" s="137"/>
      <c r="FN76" s="137"/>
      <c r="FO76" s="137"/>
      <c r="FP76" s="137"/>
      <c r="FQ76" s="137"/>
      <c r="FR76" s="137"/>
      <c r="FS76" s="137"/>
      <c r="FT76" s="137"/>
      <c r="FU76" s="137"/>
      <c r="FV76" s="1"/>
      <c r="FW76" s="1"/>
      <c r="FX76" s="1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1"/>
      <c r="GJ76" s="1"/>
      <c r="GK76" s="1"/>
      <c r="GL76" s="1"/>
      <c r="GM76" s="1"/>
      <c r="GN76" s="1"/>
      <c r="GO76" s="1"/>
      <c r="GP76" s="1"/>
      <c r="GR76" s="16"/>
      <c r="GS76" s="73"/>
      <c r="GT76" s="87"/>
      <c r="GU76" s="86"/>
      <c r="GV76" s="68"/>
      <c r="GW76" s="1"/>
      <c r="GX76" s="16"/>
      <c r="GY76" s="16"/>
      <c r="GZ76" s="50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20"/>
      <c r="HM76" s="30"/>
      <c r="HN76" s="30"/>
      <c r="HO76" s="30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</row>
    <row r="77" spans="2:249" ht="23.25">
      <c r="B77" s="126" t="s">
        <v>77</v>
      </c>
      <c r="C77" s="129">
        <v>12.035643571245549</v>
      </c>
      <c r="D77" s="129" t="s">
        <v>193</v>
      </c>
      <c r="E77" s="129">
        <v>20.232928798790873</v>
      </c>
      <c r="F77" s="129" t="s">
        <v>193</v>
      </c>
      <c r="G77" s="129">
        <v>14.841546891713872</v>
      </c>
      <c r="H77" s="129" t="s">
        <v>193</v>
      </c>
      <c r="I77" s="129">
        <v>20.106630954443716</v>
      </c>
      <c r="J77" s="129" t="s">
        <v>193</v>
      </c>
      <c r="K77" s="129">
        <v>24.385305793537924</v>
      </c>
      <c r="L77" s="129" t="s">
        <v>193</v>
      </c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  <c r="CC77" s="137"/>
      <c r="CD77" s="137"/>
      <c r="CE77" s="137"/>
      <c r="CF77" s="137"/>
      <c r="CG77" s="137"/>
      <c r="CH77" s="137"/>
      <c r="CI77" s="137"/>
      <c r="CJ77" s="137"/>
      <c r="CK77" s="137"/>
      <c r="CL77" s="137"/>
      <c r="CM77" s="137"/>
      <c r="CN77" s="137"/>
      <c r="CO77" s="137"/>
      <c r="CP77" s="137"/>
      <c r="CQ77" s="137"/>
      <c r="CR77" s="137"/>
      <c r="CS77" s="137"/>
      <c r="CT77" s="137"/>
      <c r="CU77" s="137"/>
      <c r="CV77" s="137"/>
      <c r="CW77" s="137"/>
      <c r="CX77" s="137"/>
      <c r="CY77" s="137"/>
      <c r="CZ77" s="137"/>
      <c r="DA77" s="137"/>
      <c r="DB77" s="137"/>
      <c r="DC77" s="137"/>
      <c r="DD77" s="137"/>
      <c r="DE77" s="137"/>
      <c r="DF77" s="137"/>
      <c r="DG77" s="137"/>
      <c r="DH77" s="137"/>
      <c r="DI77" s="137"/>
      <c r="DJ77" s="137"/>
      <c r="DK77" s="137"/>
      <c r="DL77" s="137"/>
      <c r="DM77" s="137"/>
      <c r="DN77" s="137"/>
      <c r="DO77" s="137"/>
      <c r="DP77" s="137"/>
      <c r="DQ77" s="137"/>
      <c r="DR77" s="137"/>
      <c r="DS77" s="137"/>
      <c r="DT77" s="137"/>
      <c r="DU77" s="137"/>
      <c r="DV77" s="137"/>
      <c r="DW77" s="137"/>
      <c r="DX77" s="137"/>
      <c r="DY77" s="137"/>
      <c r="DZ77" s="137"/>
      <c r="EA77" s="137"/>
      <c r="EB77" s="137"/>
      <c r="EC77" s="137"/>
      <c r="ED77" s="137"/>
      <c r="EE77" s="137"/>
      <c r="EF77" s="137"/>
      <c r="EG77" s="137"/>
      <c r="EH77" s="137"/>
      <c r="EI77" s="137"/>
      <c r="EJ77" s="137"/>
      <c r="EK77" s="137"/>
      <c r="EL77" s="137"/>
      <c r="EM77" s="137"/>
      <c r="EN77" s="137"/>
      <c r="EO77" s="137"/>
      <c r="EP77" s="137"/>
      <c r="EQ77" s="137"/>
      <c r="ER77" s="137"/>
      <c r="ES77" s="137"/>
      <c r="ET77" s="137"/>
      <c r="EU77" s="137"/>
      <c r="EV77" s="137"/>
      <c r="EW77" s="137"/>
      <c r="EX77" s="137"/>
      <c r="EY77" s="137"/>
      <c r="EZ77" s="137"/>
      <c r="FA77" s="137"/>
      <c r="FB77" s="137"/>
      <c r="FC77" s="137"/>
      <c r="FD77" s="137"/>
      <c r="FE77" s="137"/>
      <c r="FF77" s="137"/>
      <c r="FG77" s="137"/>
      <c r="FH77" s="137"/>
      <c r="FI77" s="137"/>
      <c r="FJ77" s="137"/>
      <c r="FK77" s="137"/>
      <c r="FL77" s="137"/>
      <c r="FM77" s="137"/>
      <c r="FN77" s="137"/>
      <c r="FO77" s="137"/>
      <c r="FP77" s="137"/>
      <c r="FQ77" s="137"/>
      <c r="FR77" s="137"/>
      <c r="FS77" s="137"/>
      <c r="FT77" s="137"/>
      <c r="FU77" s="137"/>
      <c r="FV77" s="1"/>
      <c r="FW77" s="1"/>
      <c r="FX77" s="1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1"/>
      <c r="GJ77" s="1"/>
      <c r="GK77" s="1"/>
      <c r="GL77" s="1"/>
      <c r="GM77" s="1"/>
      <c r="GN77" s="1"/>
      <c r="GO77" s="1"/>
      <c r="GP77" s="1"/>
      <c r="GR77" s="16"/>
      <c r="GS77" s="73"/>
      <c r="GT77" s="87"/>
      <c r="GU77" s="86"/>
      <c r="GV77" s="68"/>
      <c r="GW77" s="1"/>
      <c r="GX77" s="16"/>
      <c r="GY77" s="16"/>
      <c r="GZ77" s="50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20"/>
      <c r="HM77" s="30"/>
      <c r="HN77" s="30"/>
      <c r="HO77" s="30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</row>
    <row r="78" spans="2:249" ht="23.25">
      <c r="B78" s="127" t="s">
        <v>78</v>
      </c>
      <c r="C78" s="128">
        <v>577.71089141978632</v>
      </c>
      <c r="D78" s="128" t="s">
        <v>4</v>
      </c>
      <c r="E78" s="128">
        <v>950.94765354317099</v>
      </c>
      <c r="F78" s="128" t="s">
        <v>4</v>
      </c>
      <c r="G78" s="128">
        <v>719.81502424812277</v>
      </c>
      <c r="H78" s="128" t="s">
        <v>4</v>
      </c>
      <c r="I78" s="128">
        <v>879.90502390441111</v>
      </c>
      <c r="J78" s="128" t="s">
        <v>4</v>
      </c>
      <c r="K78" s="128">
        <v>1170.4946780898204</v>
      </c>
      <c r="L78" s="128" t="s">
        <v>4</v>
      </c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  <c r="CC78" s="137"/>
      <c r="CD78" s="137"/>
      <c r="CE78" s="137"/>
      <c r="CF78" s="137"/>
      <c r="CG78" s="137"/>
      <c r="CH78" s="137"/>
      <c r="CI78" s="137"/>
      <c r="CJ78" s="137"/>
      <c r="CK78" s="137"/>
      <c r="CL78" s="137"/>
      <c r="CM78" s="137"/>
      <c r="CN78" s="137"/>
      <c r="CO78" s="137"/>
      <c r="CP78" s="137"/>
      <c r="CQ78" s="137"/>
      <c r="CR78" s="137"/>
      <c r="CS78" s="137"/>
      <c r="CT78" s="137"/>
      <c r="CU78" s="137"/>
      <c r="CV78" s="137"/>
      <c r="CW78" s="137"/>
      <c r="CX78" s="137"/>
      <c r="CY78" s="137"/>
      <c r="CZ78" s="137"/>
      <c r="DA78" s="137"/>
      <c r="DB78" s="137"/>
      <c r="DC78" s="137"/>
      <c r="DD78" s="137"/>
      <c r="DE78" s="137"/>
      <c r="DF78" s="137"/>
      <c r="DG78" s="137"/>
      <c r="DH78" s="137"/>
      <c r="DI78" s="137"/>
      <c r="DJ78" s="137"/>
      <c r="DK78" s="137"/>
      <c r="DL78" s="137"/>
      <c r="DM78" s="137"/>
      <c r="DN78" s="137"/>
      <c r="DO78" s="137"/>
      <c r="DP78" s="137"/>
      <c r="DQ78" s="137"/>
      <c r="DR78" s="137"/>
      <c r="DS78" s="137"/>
      <c r="DT78" s="137"/>
      <c r="DU78" s="137"/>
      <c r="DV78" s="137"/>
      <c r="DW78" s="137"/>
      <c r="DX78" s="137"/>
      <c r="DY78" s="137"/>
      <c r="DZ78" s="137"/>
      <c r="EA78" s="137"/>
      <c r="EB78" s="137"/>
      <c r="EC78" s="137"/>
      <c r="ED78" s="137"/>
      <c r="EE78" s="137"/>
      <c r="EF78" s="137"/>
      <c r="EG78" s="137"/>
      <c r="EH78" s="137"/>
      <c r="EI78" s="137"/>
      <c r="EJ78" s="137"/>
      <c r="EK78" s="137"/>
      <c r="EL78" s="137"/>
      <c r="EM78" s="137"/>
      <c r="EN78" s="137"/>
      <c r="EO78" s="137"/>
      <c r="EP78" s="137"/>
      <c r="EQ78" s="137"/>
      <c r="ER78" s="137"/>
      <c r="ES78" s="137"/>
      <c r="ET78" s="137"/>
      <c r="EU78" s="137"/>
      <c r="EV78" s="137"/>
      <c r="EW78" s="137"/>
      <c r="EX78" s="137"/>
      <c r="EY78" s="137"/>
      <c r="EZ78" s="137"/>
      <c r="FA78" s="137"/>
      <c r="FB78" s="137"/>
      <c r="FC78" s="137"/>
      <c r="FD78" s="137"/>
      <c r="FE78" s="137"/>
      <c r="FF78" s="137"/>
      <c r="FG78" s="137"/>
      <c r="FH78" s="137"/>
      <c r="FI78" s="137"/>
      <c r="FJ78" s="137"/>
      <c r="FK78" s="137"/>
      <c r="FL78" s="137"/>
      <c r="FM78" s="137"/>
      <c r="FN78" s="137"/>
      <c r="FO78" s="137"/>
      <c r="FP78" s="137"/>
      <c r="FQ78" s="137"/>
      <c r="FR78" s="137"/>
      <c r="FS78" s="137"/>
      <c r="FT78" s="137"/>
      <c r="FU78" s="137"/>
      <c r="FV78" s="1"/>
      <c r="FW78" s="1"/>
      <c r="FX78" s="1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1"/>
      <c r="GJ78" s="1"/>
      <c r="GK78" s="1"/>
      <c r="GL78" s="1"/>
      <c r="GM78" s="1"/>
      <c r="GN78" s="1"/>
      <c r="GO78" s="1"/>
      <c r="GP78" s="1"/>
      <c r="GR78" s="16"/>
      <c r="GS78" s="152"/>
      <c r="GT78" s="152"/>
      <c r="GU78" s="153"/>
      <c r="GV78" s="70"/>
      <c r="GW78" s="1"/>
      <c r="GX78" s="34"/>
      <c r="GY78" s="34"/>
      <c r="GZ78" s="154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20"/>
      <c r="HM78" s="43"/>
      <c r="HN78" s="43"/>
      <c r="HO78" s="43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16"/>
      <c r="IB78" s="34"/>
      <c r="IC78" s="34"/>
      <c r="ID78" s="34"/>
      <c r="IE78" s="34"/>
      <c r="IF78" s="34"/>
      <c r="IG78" s="34"/>
      <c r="IH78" s="34"/>
      <c r="II78" s="34"/>
      <c r="IJ78" s="34"/>
      <c r="IK78" s="34"/>
      <c r="IL78" s="34"/>
      <c r="IM78" s="34"/>
      <c r="IN78" s="34"/>
      <c r="IO78" s="34"/>
    </row>
    <row r="79" spans="2:249">
      <c r="B79" s="126" t="s">
        <v>79</v>
      </c>
      <c r="C79" s="129">
        <v>554.60245576299485</v>
      </c>
      <c r="D79" s="129" t="s">
        <v>4</v>
      </c>
      <c r="E79" s="129">
        <v>893.89079433058066</v>
      </c>
      <c r="F79" s="129" t="s">
        <v>4</v>
      </c>
      <c r="G79" s="129">
        <v>647.83352182331055</v>
      </c>
      <c r="H79" s="129" t="s">
        <v>4</v>
      </c>
      <c r="I79" s="129">
        <v>818.38167223110247</v>
      </c>
      <c r="J79" s="129" t="s">
        <v>4</v>
      </c>
      <c r="K79" s="129">
        <v>1065.1501570617365</v>
      </c>
      <c r="L79" s="129" t="s">
        <v>4</v>
      </c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  <c r="CC79" s="137"/>
      <c r="CD79" s="137"/>
      <c r="CE79" s="137"/>
      <c r="CF79" s="137"/>
      <c r="CG79" s="137"/>
      <c r="CH79" s="137"/>
      <c r="CI79" s="137"/>
      <c r="CJ79" s="137"/>
      <c r="CK79" s="137"/>
      <c r="CL79" s="137"/>
      <c r="CM79" s="137"/>
      <c r="CN79" s="137"/>
      <c r="CO79" s="137"/>
      <c r="CP79" s="137"/>
      <c r="CQ79" s="137"/>
      <c r="CR79" s="137"/>
      <c r="CS79" s="137"/>
      <c r="CT79" s="137"/>
      <c r="CU79" s="137"/>
      <c r="CV79" s="137"/>
      <c r="CW79" s="137"/>
      <c r="CX79" s="137"/>
      <c r="CY79" s="137"/>
      <c r="CZ79" s="137"/>
      <c r="DA79" s="137"/>
      <c r="DB79" s="137"/>
      <c r="DC79" s="137"/>
      <c r="DD79" s="137"/>
      <c r="DE79" s="137"/>
      <c r="DF79" s="137"/>
      <c r="DG79" s="137"/>
      <c r="DH79" s="137"/>
      <c r="DI79" s="137"/>
      <c r="DJ79" s="137"/>
      <c r="DK79" s="137"/>
      <c r="DL79" s="137"/>
      <c r="DM79" s="137"/>
      <c r="DN79" s="137"/>
      <c r="DO79" s="137"/>
      <c r="DP79" s="137"/>
      <c r="DQ79" s="137"/>
      <c r="DR79" s="137"/>
      <c r="DS79" s="137"/>
      <c r="DT79" s="137"/>
      <c r="DU79" s="137"/>
      <c r="DV79" s="137"/>
      <c r="DW79" s="137"/>
      <c r="DX79" s="137"/>
      <c r="DY79" s="137"/>
      <c r="DZ79" s="137"/>
      <c r="EA79" s="137"/>
      <c r="EB79" s="137"/>
      <c r="EC79" s="137"/>
      <c r="ED79" s="137"/>
      <c r="EE79" s="137"/>
      <c r="EF79" s="137"/>
      <c r="EG79" s="137"/>
      <c r="EH79" s="137"/>
      <c r="EI79" s="137"/>
      <c r="EJ79" s="137"/>
      <c r="EK79" s="137"/>
      <c r="EL79" s="137"/>
      <c r="EM79" s="137"/>
      <c r="EN79" s="137"/>
      <c r="EO79" s="137"/>
      <c r="EP79" s="137"/>
      <c r="EQ79" s="137"/>
      <c r="ER79" s="137"/>
      <c r="ES79" s="137"/>
      <c r="ET79" s="137"/>
      <c r="EU79" s="137"/>
      <c r="EV79" s="137"/>
      <c r="EW79" s="137"/>
      <c r="EX79" s="137"/>
      <c r="EY79" s="137"/>
      <c r="EZ79" s="137"/>
      <c r="FA79" s="137"/>
      <c r="FB79" s="137"/>
      <c r="FC79" s="137"/>
      <c r="FD79" s="137"/>
      <c r="FE79" s="137"/>
      <c r="FF79" s="137"/>
      <c r="FG79" s="137"/>
      <c r="FH79" s="137"/>
      <c r="FI79" s="137"/>
      <c r="FJ79" s="137"/>
      <c r="FK79" s="137"/>
      <c r="FL79" s="137"/>
      <c r="FM79" s="137"/>
      <c r="FN79" s="137"/>
      <c r="FO79" s="137"/>
      <c r="FP79" s="137"/>
      <c r="FQ79" s="137"/>
      <c r="FR79" s="137"/>
      <c r="FS79" s="137"/>
      <c r="FT79" s="137"/>
      <c r="FU79" s="137"/>
      <c r="FV79" s="1"/>
      <c r="FW79" s="1"/>
      <c r="FX79" s="1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1"/>
      <c r="GJ79" s="1"/>
      <c r="GK79" s="1"/>
      <c r="GL79" s="1"/>
      <c r="GM79" s="1"/>
      <c r="GN79" s="1"/>
      <c r="GO79" s="1"/>
      <c r="GP79" s="1"/>
      <c r="GR79" s="1"/>
      <c r="GS79" s="100"/>
      <c r="GT79" s="100"/>
      <c r="GU79" s="99"/>
      <c r="GV79" s="94"/>
      <c r="GW79" s="1"/>
      <c r="GX79" s="97"/>
      <c r="GY79" s="97"/>
      <c r="GZ79" s="97"/>
      <c r="HA79" s="97"/>
      <c r="HB79" s="97"/>
      <c r="HC79" s="97"/>
      <c r="HD79" s="97"/>
      <c r="HE79" s="97"/>
      <c r="HF79" s="97"/>
      <c r="HG79" s="97"/>
      <c r="HH79" s="97"/>
      <c r="HI79" s="97"/>
      <c r="HJ79" s="97"/>
      <c r="HK79" s="97"/>
      <c r="HL79" s="20"/>
      <c r="HM79" s="101"/>
      <c r="HN79" s="101"/>
      <c r="HO79" s="101"/>
      <c r="HP79" s="97"/>
      <c r="HQ79" s="97"/>
      <c r="HR79" s="97"/>
      <c r="HS79" s="97"/>
      <c r="HT79" s="97"/>
      <c r="HU79" s="97"/>
      <c r="HV79" s="97"/>
      <c r="HW79" s="97"/>
      <c r="HX79" s="97"/>
      <c r="HY79" s="97"/>
      <c r="HZ79" s="97"/>
      <c r="IA79" s="16"/>
      <c r="IB79" s="97"/>
      <c r="IC79" s="97"/>
      <c r="ID79" s="97"/>
      <c r="IE79" s="97"/>
      <c r="IF79" s="97"/>
      <c r="IG79" s="97"/>
      <c r="IH79" s="97"/>
      <c r="II79" s="97"/>
      <c r="IJ79" s="97"/>
      <c r="IK79" s="97"/>
      <c r="IL79" s="97"/>
      <c r="IM79" s="97"/>
      <c r="IN79" s="97"/>
      <c r="IO79" s="97"/>
    </row>
    <row r="80" spans="2:249" ht="23.25">
      <c r="B80" s="127" t="s">
        <v>80</v>
      </c>
      <c r="C80" s="128">
        <v>537.964382090105</v>
      </c>
      <c r="D80" s="128" t="s">
        <v>4</v>
      </c>
      <c r="E80" s="128">
        <v>867.0740705006632</v>
      </c>
      <c r="F80" s="128" t="s">
        <v>4</v>
      </c>
      <c r="G80" s="128">
        <v>628.3985161686112</v>
      </c>
      <c r="H80" s="128" t="s">
        <v>4</v>
      </c>
      <c r="I80" s="128">
        <v>793.86022206416942</v>
      </c>
      <c r="J80" s="128" t="s">
        <v>4</v>
      </c>
      <c r="K80" s="128">
        <v>1022.5441507792671</v>
      </c>
      <c r="L80" s="128" t="s">
        <v>4</v>
      </c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  <c r="CC80" s="137"/>
      <c r="CD80" s="137"/>
      <c r="CE80" s="137"/>
      <c r="CF80" s="137"/>
      <c r="CG80" s="137"/>
      <c r="CH80" s="137"/>
      <c r="CI80" s="137"/>
      <c r="CJ80" s="137"/>
      <c r="CK80" s="137"/>
      <c r="CL80" s="137"/>
      <c r="CM80" s="137"/>
      <c r="CN80" s="137"/>
      <c r="CO80" s="137"/>
      <c r="CP80" s="137"/>
      <c r="CQ80" s="137"/>
      <c r="CR80" s="137"/>
      <c r="CS80" s="137"/>
      <c r="CT80" s="137"/>
      <c r="CU80" s="137"/>
      <c r="CV80" s="137"/>
      <c r="CW80" s="137"/>
      <c r="CX80" s="137"/>
      <c r="CY80" s="137"/>
      <c r="CZ80" s="137"/>
      <c r="DA80" s="137"/>
      <c r="DB80" s="137"/>
      <c r="DC80" s="137"/>
      <c r="DD80" s="137"/>
      <c r="DE80" s="137"/>
      <c r="DF80" s="137"/>
      <c r="DG80" s="137"/>
      <c r="DH80" s="137"/>
      <c r="DI80" s="137"/>
      <c r="DJ80" s="137"/>
      <c r="DK80" s="137"/>
      <c r="DL80" s="137"/>
      <c r="DM80" s="137"/>
      <c r="DN80" s="137"/>
      <c r="DO80" s="137"/>
      <c r="DP80" s="137"/>
      <c r="DQ80" s="137"/>
      <c r="DR80" s="137"/>
      <c r="DS80" s="137"/>
      <c r="DT80" s="137"/>
      <c r="DU80" s="137"/>
      <c r="DV80" s="137"/>
      <c r="DW80" s="137"/>
      <c r="DX80" s="137"/>
      <c r="DY80" s="137"/>
      <c r="DZ80" s="137"/>
      <c r="EA80" s="137"/>
      <c r="EB80" s="137"/>
      <c r="EC80" s="137"/>
      <c r="ED80" s="137"/>
      <c r="EE80" s="137"/>
      <c r="EF80" s="137"/>
      <c r="EG80" s="137"/>
      <c r="EH80" s="137"/>
      <c r="EI80" s="137"/>
      <c r="EJ80" s="137"/>
      <c r="EK80" s="137"/>
      <c r="EL80" s="137"/>
      <c r="EM80" s="137"/>
      <c r="EN80" s="137"/>
      <c r="EO80" s="137"/>
      <c r="EP80" s="137"/>
      <c r="EQ80" s="137"/>
      <c r="ER80" s="137"/>
      <c r="ES80" s="137"/>
      <c r="ET80" s="137"/>
      <c r="EU80" s="137"/>
      <c r="EV80" s="137"/>
      <c r="EW80" s="137"/>
      <c r="EX80" s="137"/>
      <c r="EY80" s="137"/>
      <c r="EZ80" s="137"/>
      <c r="FA80" s="137"/>
      <c r="FB80" s="137"/>
      <c r="FC80" s="137"/>
      <c r="FD80" s="137"/>
      <c r="FE80" s="137"/>
      <c r="FF80" s="137"/>
      <c r="FG80" s="137"/>
      <c r="FH80" s="137"/>
      <c r="FI80" s="137"/>
      <c r="FJ80" s="137"/>
      <c r="FK80" s="137"/>
      <c r="FL80" s="137"/>
      <c r="FM80" s="137"/>
      <c r="FN80" s="137"/>
      <c r="FO80" s="137"/>
      <c r="FP80" s="137"/>
      <c r="FQ80" s="137"/>
      <c r="FR80" s="137"/>
      <c r="FS80" s="137"/>
      <c r="FT80" s="137"/>
      <c r="FU80" s="137"/>
      <c r="FV80" s="1"/>
      <c r="FW80" s="1"/>
      <c r="FX80" s="1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1"/>
      <c r="GJ80" s="1"/>
      <c r="GK80" s="1"/>
      <c r="GL80" s="1"/>
      <c r="GM80" s="1"/>
      <c r="GN80" s="1"/>
      <c r="GO80" s="1"/>
      <c r="GP80" s="1"/>
      <c r="GR80" s="1"/>
      <c r="GS80" s="87"/>
      <c r="GT80" s="87"/>
      <c r="GU80" s="86"/>
      <c r="GV80" s="93"/>
      <c r="GW80" s="1"/>
      <c r="GX80" s="74"/>
      <c r="GY80" s="74"/>
      <c r="GZ80" s="74"/>
      <c r="HA80" s="74"/>
      <c r="HB80" s="74"/>
      <c r="HC80" s="74"/>
      <c r="HD80" s="74"/>
      <c r="HE80" s="74"/>
      <c r="HF80" s="74"/>
      <c r="HG80" s="74"/>
      <c r="HH80" s="74"/>
      <c r="HI80" s="74"/>
      <c r="HJ80" s="74"/>
      <c r="HK80" s="74"/>
      <c r="HL80" s="20"/>
      <c r="HM80" s="76"/>
      <c r="HN80" s="76"/>
      <c r="HO80" s="76"/>
      <c r="HP80" s="74"/>
      <c r="HQ80" s="74"/>
      <c r="HR80" s="74"/>
      <c r="HS80" s="74"/>
      <c r="HT80" s="74"/>
      <c r="HU80" s="74"/>
      <c r="HV80" s="74"/>
      <c r="HW80" s="74"/>
      <c r="HX80" s="74"/>
      <c r="HY80" s="74"/>
      <c r="HZ80" s="74"/>
      <c r="IA80" s="16"/>
      <c r="IB80" s="74"/>
      <c r="IC80" s="74"/>
      <c r="ID80" s="74"/>
      <c r="IE80" s="74"/>
      <c r="IF80" s="74"/>
      <c r="IG80" s="74"/>
      <c r="IH80" s="74"/>
      <c r="II80" s="74"/>
      <c r="IJ80" s="74"/>
      <c r="IK80" s="74"/>
      <c r="IL80" s="74"/>
      <c r="IM80" s="74"/>
      <c r="IN80" s="74"/>
      <c r="IO80" s="74"/>
    </row>
    <row r="81" spans="2:249" ht="24" thickBot="1">
      <c r="B81" s="126" t="s">
        <v>81</v>
      </c>
      <c r="C81" s="129">
        <v>10.436509012548038</v>
      </c>
      <c r="D81" s="129" t="s">
        <v>193</v>
      </c>
      <c r="E81" s="129">
        <v>16.300992525412468</v>
      </c>
      <c r="F81" s="129" t="s">
        <v>193</v>
      </c>
      <c r="G81" s="129">
        <v>11.562532697502448</v>
      </c>
      <c r="H81" s="129" t="s">
        <v>193</v>
      </c>
      <c r="I81" s="129">
        <v>15.905772174806387</v>
      </c>
      <c r="J81" s="129" t="s">
        <v>193</v>
      </c>
      <c r="K81" s="129">
        <v>18.405794714026808</v>
      </c>
      <c r="L81" s="129" t="s">
        <v>193</v>
      </c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  <c r="CC81" s="137"/>
      <c r="CD81" s="137"/>
      <c r="CE81" s="137"/>
      <c r="CF81" s="137"/>
      <c r="CG81" s="137"/>
      <c r="CH81" s="137"/>
      <c r="CI81" s="137"/>
      <c r="CJ81" s="137"/>
      <c r="CK81" s="137"/>
      <c r="CL81" s="137"/>
      <c r="CM81" s="137"/>
      <c r="CN81" s="137"/>
      <c r="CO81" s="137"/>
      <c r="CP81" s="137"/>
      <c r="CQ81" s="137"/>
      <c r="CR81" s="137"/>
      <c r="CS81" s="137"/>
      <c r="CT81" s="137"/>
      <c r="CU81" s="137"/>
      <c r="CV81" s="137"/>
      <c r="CW81" s="137"/>
      <c r="CX81" s="137"/>
      <c r="CY81" s="137"/>
      <c r="CZ81" s="137"/>
      <c r="DA81" s="137"/>
      <c r="DB81" s="137"/>
      <c r="DC81" s="137"/>
      <c r="DD81" s="137"/>
      <c r="DE81" s="137"/>
      <c r="DF81" s="137"/>
      <c r="DG81" s="137"/>
      <c r="DH81" s="137"/>
      <c r="DI81" s="137"/>
      <c r="DJ81" s="137"/>
      <c r="DK81" s="137"/>
      <c r="DL81" s="137"/>
      <c r="DM81" s="137"/>
      <c r="DN81" s="137"/>
      <c r="DO81" s="137"/>
      <c r="DP81" s="137"/>
      <c r="DQ81" s="137"/>
      <c r="DR81" s="137"/>
      <c r="DS81" s="137"/>
      <c r="DT81" s="137"/>
      <c r="DU81" s="137"/>
      <c r="DV81" s="137"/>
      <c r="DW81" s="137"/>
      <c r="DX81" s="137"/>
      <c r="DY81" s="137"/>
      <c r="DZ81" s="137"/>
      <c r="EA81" s="137"/>
      <c r="EB81" s="137"/>
      <c r="EC81" s="137"/>
      <c r="ED81" s="137"/>
      <c r="EE81" s="137"/>
      <c r="EF81" s="137"/>
      <c r="EG81" s="137"/>
      <c r="EH81" s="137"/>
      <c r="EI81" s="137"/>
      <c r="EJ81" s="137"/>
      <c r="EK81" s="137"/>
      <c r="EL81" s="137"/>
      <c r="EM81" s="137"/>
      <c r="EN81" s="137"/>
      <c r="EO81" s="137"/>
      <c r="EP81" s="137"/>
      <c r="EQ81" s="137"/>
      <c r="ER81" s="137"/>
      <c r="ES81" s="137"/>
      <c r="ET81" s="137"/>
      <c r="EU81" s="137"/>
      <c r="EV81" s="137"/>
      <c r="EW81" s="137"/>
      <c r="EX81" s="137"/>
      <c r="EY81" s="137"/>
      <c r="EZ81" s="137"/>
      <c r="FA81" s="137"/>
      <c r="FB81" s="137"/>
      <c r="FC81" s="137"/>
      <c r="FD81" s="137"/>
      <c r="FE81" s="137"/>
      <c r="FF81" s="137"/>
      <c r="FG81" s="137"/>
      <c r="FH81" s="137"/>
      <c r="FI81" s="137"/>
      <c r="FJ81" s="137"/>
      <c r="FK81" s="137"/>
      <c r="FL81" s="137"/>
      <c r="FM81" s="137"/>
      <c r="FN81" s="137"/>
      <c r="FO81" s="137"/>
      <c r="FP81" s="137"/>
      <c r="FQ81" s="137"/>
      <c r="FR81" s="137"/>
      <c r="FS81" s="137"/>
      <c r="FT81" s="137"/>
      <c r="FU81" s="137"/>
      <c r="FV81" s="1"/>
      <c r="FW81" s="1"/>
      <c r="FX81" s="1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1"/>
      <c r="GJ81" s="1"/>
      <c r="GK81" s="1"/>
      <c r="GL81" s="1"/>
      <c r="GM81" s="1"/>
      <c r="GN81" s="1"/>
      <c r="GO81" s="1"/>
      <c r="GP81" s="1"/>
      <c r="GR81" s="1"/>
      <c r="GS81" s="155"/>
      <c r="GT81" s="155"/>
      <c r="GU81" s="156"/>
      <c r="GV81" s="157"/>
      <c r="GW81" s="1"/>
      <c r="GX81" s="158"/>
      <c r="GY81" s="158"/>
      <c r="GZ81" s="159"/>
      <c r="HA81" s="158"/>
      <c r="HB81" s="158"/>
      <c r="HC81" s="158"/>
      <c r="HD81" s="158"/>
      <c r="HE81" s="158"/>
      <c r="HF81" s="158"/>
      <c r="HG81" s="158"/>
      <c r="HH81" s="158"/>
      <c r="HI81" s="158"/>
      <c r="HJ81" s="158"/>
      <c r="HK81" s="158"/>
      <c r="HL81" s="20"/>
      <c r="HM81" s="159"/>
      <c r="HN81" s="159"/>
      <c r="HO81" s="159"/>
      <c r="HP81" s="158"/>
      <c r="HQ81" s="158"/>
      <c r="HR81" s="158"/>
      <c r="HS81" s="158"/>
      <c r="HT81" s="158"/>
      <c r="HU81" s="158"/>
      <c r="HV81" s="158"/>
      <c r="HW81" s="158"/>
      <c r="HX81" s="158"/>
      <c r="HY81" s="158"/>
      <c r="HZ81" s="158"/>
      <c r="IA81" s="16"/>
      <c r="IB81" s="158"/>
      <c r="IC81" s="158"/>
      <c r="ID81" s="158"/>
      <c r="IE81" s="158"/>
      <c r="IF81" s="158"/>
      <c r="IG81" s="158"/>
      <c r="IH81" s="158"/>
      <c r="II81" s="158"/>
      <c r="IJ81" s="158"/>
      <c r="IK81" s="158"/>
      <c r="IL81" s="158"/>
      <c r="IM81" s="158"/>
      <c r="IN81" s="158"/>
      <c r="IO81" s="158"/>
    </row>
    <row r="82" spans="2:249" ht="15.75" thickTop="1">
      <c r="B82" s="127" t="s">
        <v>82</v>
      </c>
      <c r="C82" s="128">
        <v>500.95243260230581</v>
      </c>
      <c r="D82" s="128" t="s">
        <v>4</v>
      </c>
      <c r="E82" s="128">
        <v>782.44764121979858</v>
      </c>
      <c r="F82" s="128" t="s">
        <v>4</v>
      </c>
      <c r="G82" s="128">
        <v>520.3139713876102</v>
      </c>
      <c r="H82" s="128" t="s">
        <v>4</v>
      </c>
      <c r="I82" s="128">
        <v>723.92995047810973</v>
      </c>
      <c r="J82" s="128" t="s">
        <v>4</v>
      </c>
      <c r="K82" s="128">
        <v>892.68104363030022</v>
      </c>
      <c r="L82" s="128" t="s">
        <v>4</v>
      </c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  <c r="CC82" s="137"/>
      <c r="CD82" s="137"/>
      <c r="CE82" s="137"/>
      <c r="CF82" s="137"/>
      <c r="CG82" s="137"/>
      <c r="CH82" s="137"/>
      <c r="CI82" s="137"/>
      <c r="CJ82" s="137"/>
      <c r="CK82" s="137"/>
      <c r="CL82" s="137"/>
      <c r="CM82" s="137"/>
      <c r="CN82" s="137"/>
      <c r="CO82" s="137"/>
      <c r="CP82" s="137"/>
      <c r="CQ82" s="137"/>
      <c r="CR82" s="137"/>
      <c r="CS82" s="137"/>
      <c r="CT82" s="137"/>
      <c r="CU82" s="137"/>
      <c r="CV82" s="137"/>
      <c r="CW82" s="137"/>
      <c r="CX82" s="137"/>
      <c r="CY82" s="137"/>
      <c r="CZ82" s="137"/>
      <c r="DA82" s="137"/>
      <c r="DB82" s="137"/>
      <c r="DC82" s="137"/>
      <c r="DD82" s="137"/>
      <c r="DE82" s="137"/>
      <c r="DF82" s="137"/>
      <c r="DG82" s="137"/>
      <c r="DH82" s="137"/>
      <c r="DI82" s="137"/>
      <c r="DJ82" s="137"/>
      <c r="DK82" s="137"/>
      <c r="DL82" s="137"/>
      <c r="DM82" s="137"/>
      <c r="DN82" s="137"/>
      <c r="DO82" s="137"/>
      <c r="DP82" s="137"/>
      <c r="DQ82" s="137"/>
      <c r="DR82" s="137"/>
      <c r="DS82" s="137"/>
      <c r="DT82" s="137"/>
      <c r="DU82" s="137"/>
      <c r="DV82" s="137"/>
      <c r="DW82" s="137"/>
      <c r="DX82" s="137"/>
      <c r="DY82" s="137"/>
      <c r="DZ82" s="137"/>
      <c r="EA82" s="137"/>
      <c r="EB82" s="137"/>
      <c r="EC82" s="137"/>
      <c r="ED82" s="137"/>
      <c r="EE82" s="137"/>
      <c r="EF82" s="137"/>
      <c r="EG82" s="137"/>
      <c r="EH82" s="137"/>
      <c r="EI82" s="137"/>
      <c r="EJ82" s="137"/>
      <c r="EK82" s="137"/>
      <c r="EL82" s="137"/>
      <c r="EM82" s="137"/>
      <c r="EN82" s="137"/>
      <c r="EO82" s="137"/>
      <c r="EP82" s="137"/>
      <c r="EQ82" s="137"/>
      <c r="ER82" s="137"/>
      <c r="ES82" s="137"/>
      <c r="ET82" s="137"/>
      <c r="EU82" s="137"/>
      <c r="EV82" s="137"/>
      <c r="EW82" s="137"/>
      <c r="EX82" s="137"/>
      <c r="EY82" s="137"/>
      <c r="EZ82" s="137"/>
      <c r="FA82" s="137"/>
      <c r="FB82" s="137"/>
      <c r="FC82" s="137"/>
      <c r="FD82" s="137"/>
      <c r="FE82" s="137"/>
      <c r="FF82" s="137"/>
      <c r="FG82" s="137"/>
      <c r="FH82" s="137"/>
      <c r="FI82" s="137"/>
      <c r="FJ82" s="137"/>
      <c r="FK82" s="137"/>
      <c r="FL82" s="137"/>
      <c r="FM82" s="137"/>
      <c r="FN82" s="137"/>
      <c r="FO82" s="137"/>
      <c r="FP82" s="137"/>
      <c r="FQ82" s="137"/>
      <c r="FR82" s="137"/>
      <c r="FS82" s="137"/>
      <c r="FT82" s="137"/>
      <c r="FU82" s="137"/>
      <c r="FV82" s="1"/>
      <c r="FW82" s="1"/>
      <c r="FX82" s="1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1"/>
      <c r="GJ82" s="1"/>
      <c r="GK82" s="1"/>
      <c r="GL82" s="1"/>
      <c r="GM82" s="1"/>
      <c r="GN82" s="1"/>
      <c r="GO82" s="1"/>
      <c r="GP82" s="1"/>
      <c r="GR82" s="1"/>
      <c r="GS82" s="7"/>
      <c r="GT82" s="7"/>
      <c r="GU82" s="7"/>
      <c r="GV82" s="9"/>
      <c r="GW82" s="1"/>
      <c r="GX82" s="16"/>
      <c r="GY82" s="16"/>
      <c r="GZ82" s="44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</row>
    <row r="83" spans="2:249">
      <c r="B83" s="126" t="s">
        <v>83</v>
      </c>
      <c r="C83" s="129">
        <v>475.90481097219055</v>
      </c>
      <c r="D83" s="129" t="s">
        <v>4</v>
      </c>
      <c r="E83" s="129">
        <v>758.97421198320455</v>
      </c>
      <c r="F83" s="129" t="s">
        <v>4</v>
      </c>
      <c r="G83" s="129">
        <v>494.29827281822969</v>
      </c>
      <c r="H83" s="129" t="s">
        <v>4</v>
      </c>
      <c r="I83" s="129">
        <v>673.32485394464197</v>
      </c>
      <c r="J83" s="129" t="s">
        <v>4</v>
      </c>
      <c r="K83" s="129">
        <v>803.4129392672703</v>
      </c>
      <c r="L83" s="129" t="s">
        <v>4</v>
      </c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B83" s="137"/>
      <c r="CC83" s="137"/>
      <c r="CD83" s="137"/>
      <c r="CE83" s="137"/>
      <c r="CF83" s="137"/>
      <c r="CG83" s="137"/>
      <c r="CH83" s="137"/>
      <c r="CI83" s="137"/>
      <c r="CJ83" s="137"/>
      <c r="CK83" s="137"/>
      <c r="CL83" s="137"/>
      <c r="CM83" s="137"/>
      <c r="CN83" s="137"/>
      <c r="CO83" s="137"/>
      <c r="CP83" s="137"/>
      <c r="CQ83" s="137"/>
      <c r="CR83" s="137"/>
      <c r="CS83" s="137"/>
      <c r="CT83" s="137"/>
      <c r="CU83" s="137"/>
      <c r="CV83" s="137"/>
      <c r="CW83" s="137"/>
      <c r="CX83" s="137"/>
      <c r="CY83" s="137"/>
      <c r="CZ83" s="137"/>
      <c r="DA83" s="137"/>
      <c r="DB83" s="137"/>
      <c r="DC83" s="137"/>
      <c r="DD83" s="137"/>
      <c r="DE83" s="137"/>
      <c r="DF83" s="137"/>
      <c r="DG83" s="137"/>
      <c r="DH83" s="137"/>
      <c r="DI83" s="137"/>
      <c r="DJ83" s="137"/>
      <c r="DK83" s="137"/>
      <c r="DL83" s="137"/>
      <c r="DM83" s="137"/>
      <c r="DN83" s="137"/>
      <c r="DO83" s="137"/>
      <c r="DP83" s="137"/>
      <c r="DQ83" s="137"/>
      <c r="DR83" s="137"/>
      <c r="DS83" s="137"/>
      <c r="DT83" s="137"/>
      <c r="DU83" s="137"/>
      <c r="DV83" s="137"/>
      <c r="DW83" s="137"/>
      <c r="DX83" s="137"/>
      <c r="DY83" s="137"/>
      <c r="DZ83" s="137"/>
      <c r="EA83" s="137"/>
      <c r="EB83" s="137"/>
      <c r="EC83" s="137"/>
      <c r="ED83" s="137"/>
      <c r="EE83" s="137"/>
      <c r="EF83" s="137"/>
      <c r="EG83" s="137"/>
      <c r="EH83" s="137"/>
      <c r="EI83" s="137"/>
      <c r="EJ83" s="137"/>
      <c r="EK83" s="137"/>
      <c r="EL83" s="137"/>
      <c r="EM83" s="137"/>
      <c r="EN83" s="137"/>
      <c r="EO83" s="137"/>
      <c r="EP83" s="137"/>
      <c r="EQ83" s="137"/>
      <c r="ER83" s="137"/>
      <c r="ES83" s="137"/>
      <c r="ET83" s="137"/>
      <c r="EU83" s="137"/>
      <c r="EV83" s="137"/>
      <c r="EW83" s="137"/>
      <c r="EX83" s="137"/>
      <c r="EY83" s="137"/>
      <c r="EZ83" s="137"/>
      <c r="FA83" s="137"/>
      <c r="FB83" s="137"/>
      <c r="FC83" s="137"/>
      <c r="FD83" s="137"/>
      <c r="FE83" s="137"/>
      <c r="FF83" s="137"/>
      <c r="FG83" s="137"/>
      <c r="FH83" s="137"/>
      <c r="FI83" s="137"/>
      <c r="FJ83" s="137"/>
      <c r="FK83" s="137"/>
      <c r="FL83" s="137"/>
      <c r="FM83" s="137"/>
      <c r="FN83" s="137"/>
      <c r="FO83" s="137"/>
      <c r="FP83" s="137"/>
      <c r="FQ83" s="137"/>
      <c r="FR83" s="137"/>
      <c r="FS83" s="137"/>
      <c r="FT83" s="137"/>
      <c r="FU83" s="137"/>
      <c r="FV83" s="1"/>
      <c r="FW83" s="1"/>
      <c r="FX83" s="1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1"/>
      <c r="GJ83" s="1"/>
      <c r="GK83" s="1"/>
      <c r="GL83" s="1"/>
      <c r="GM83" s="1"/>
      <c r="GN83" s="1"/>
      <c r="GO83" s="1"/>
      <c r="GP83" s="1"/>
      <c r="GR83" s="14"/>
      <c r="GS83" s="14"/>
      <c r="GT83" s="14"/>
      <c r="GU83" s="14"/>
      <c r="GV83" s="65"/>
      <c r="GW83" s="1"/>
      <c r="GX83" s="59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"/>
      <c r="HM83" s="14"/>
      <c r="HN83" s="14"/>
      <c r="HO83" s="14"/>
      <c r="HP83" s="14"/>
      <c r="HQ83" s="14"/>
      <c r="HR83" s="14"/>
      <c r="HS83" s="14"/>
      <c r="HT83" s="14"/>
      <c r="HU83" s="14"/>
      <c r="HV83" s="14"/>
      <c r="HW83" s="14"/>
      <c r="HX83" s="14"/>
      <c r="HY83" s="14"/>
      <c r="HZ83" s="14"/>
      <c r="IA83" s="1"/>
      <c r="IB83" s="14"/>
      <c r="IC83" s="14"/>
      <c r="ID83" s="14"/>
      <c r="IE83" s="14"/>
      <c r="IF83" s="14"/>
      <c r="IG83" s="14"/>
      <c r="IH83" s="14"/>
      <c r="II83" s="14"/>
      <c r="IJ83" s="14"/>
      <c r="IK83" s="14"/>
      <c r="IL83" s="14"/>
      <c r="IM83" s="14"/>
      <c r="IN83" s="14"/>
      <c r="IO83" s="14"/>
    </row>
    <row r="84" spans="2:249" ht="23.25">
      <c r="B84" s="127" t="s">
        <v>84</v>
      </c>
      <c r="C84" s="128">
        <v>8.9470104462771829</v>
      </c>
      <c r="D84" s="128" t="s">
        <v>193</v>
      </c>
      <c r="E84" s="128">
        <v>14.724099712474169</v>
      </c>
      <c r="F84" s="128" t="s">
        <v>193</v>
      </c>
      <c r="G84" s="128">
        <v>9.292807528982717</v>
      </c>
      <c r="H84" s="128" t="s">
        <v>193</v>
      </c>
      <c r="I84" s="128">
        <v>13.774172224948197</v>
      </c>
      <c r="J84" s="128" t="s">
        <v>193</v>
      </c>
      <c r="K84" s="128">
        <v>14.782798082517775</v>
      </c>
      <c r="L84" s="128" t="s">
        <v>193</v>
      </c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  <c r="CC84" s="137"/>
      <c r="CD84" s="137"/>
      <c r="CE84" s="137"/>
      <c r="CF84" s="137"/>
      <c r="CG84" s="137"/>
      <c r="CH84" s="137"/>
      <c r="CI84" s="137"/>
      <c r="CJ84" s="137"/>
      <c r="CK84" s="137"/>
      <c r="CL84" s="137"/>
      <c r="CM84" s="137"/>
      <c r="CN84" s="137"/>
      <c r="CO84" s="137"/>
      <c r="CP84" s="137"/>
      <c r="CQ84" s="137"/>
      <c r="CR84" s="137"/>
      <c r="CS84" s="137"/>
      <c r="CT84" s="137"/>
      <c r="CU84" s="137"/>
      <c r="CV84" s="137"/>
      <c r="CW84" s="137"/>
      <c r="CX84" s="137"/>
      <c r="CY84" s="137"/>
      <c r="CZ84" s="137"/>
      <c r="DA84" s="137"/>
      <c r="DB84" s="137"/>
      <c r="DC84" s="137"/>
      <c r="DD84" s="137"/>
      <c r="DE84" s="137"/>
      <c r="DF84" s="137"/>
      <c r="DG84" s="137"/>
      <c r="DH84" s="137"/>
      <c r="DI84" s="137"/>
      <c r="DJ84" s="137"/>
      <c r="DK84" s="137"/>
      <c r="DL84" s="137"/>
      <c r="DM84" s="137"/>
      <c r="DN84" s="137"/>
      <c r="DO84" s="137"/>
      <c r="DP84" s="137"/>
      <c r="DQ84" s="137"/>
      <c r="DR84" s="137"/>
      <c r="DS84" s="137"/>
      <c r="DT84" s="137"/>
      <c r="DU84" s="137"/>
      <c r="DV84" s="137"/>
      <c r="DW84" s="137"/>
      <c r="DX84" s="137"/>
      <c r="DY84" s="137"/>
      <c r="DZ84" s="137"/>
      <c r="EA84" s="137"/>
      <c r="EB84" s="137"/>
      <c r="EC84" s="137"/>
      <c r="ED84" s="137"/>
      <c r="EE84" s="137"/>
      <c r="EF84" s="137"/>
      <c r="EG84" s="137"/>
      <c r="EH84" s="137"/>
      <c r="EI84" s="137"/>
      <c r="EJ84" s="137"/>
      <c r="EK84" s="137"/>
      <c r="EL84" s="137"/>
      <c r="EM84" s="137"/>
      <c r="EN84" s="137"/>
      <c r="EO84" s="137"/>
      <c r="EP84" s="137"/>
      <c r="EQ84" s="137"/>
      <c r="ER84" s="137"/>
      <c r="ES84" s="137"/>
      <c r="ET84" s="137"/>
      <c r="EU84" s="137"/>
      <c r="EV84" s="137"/>
      <c r="EW84" s="137"/>
      <c r="EX84" s="137"/>
      <c r="EY84" s="137"/>
      <c r="EZ84" s="137"/>
      <c r="FA84" s="137"/>
      <c r="FB84" s="137"/>
      <c r="FC84" s="137"/>
      <c r="FD84" s="137"/>
      <c r="FE84" s="137"/>
      <c r="FF84" s="137"/>
      <c r="FG84" s="137"/>
      <c r="FH84" s="137"/>
      <c r="FI84" s="137"/>
      <c r="FJ84" s="137"/>
      <c r="FK84" s="137"/>
      <c r="FL84" s="137"/>
      <c r="FM84" s="137"/>
      <c r="FN84" s="137"/>
      <c r="FO84" s="137"/>
      <c r="FP84" s="137"/>
      <c r="FQ84" s="137"/>
      <c r="FR84" s="137"/>
      <c r="FS84" s="137"/>
      <c r="FT84" s="137"/>
      <c r="FU84" s="137"/>
      <c r="FV84" s="1"/>
      <c r="FW84" s="1"/>
      <c r="FX84" s="1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1"/>
      <c r="GJ84" s="1"/>
      <c r="GK84" s="1"/>
      <c r="GL84" s="1"/>
      <c r="GM84" s="1"/>
      <c r="GN84" s="1"/>
      <c r="GO84" s="1"/>
      <c r="GP84" s="1"/>
      <c r="GR84" s="1"/>
      <c r="GS84" s="73"/>
      <c r="GT84" s="73"/>
      <c r="GU84" s="73"/>
      <c r="GV84" s="68"/>
      <c r="GW84" s="1"/>
      <c r="GX84" s="57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7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</row>
    <row r="85" spans="2:249">
      <c r="B85" s="126" t="s">
        <v>85</v>
      </c>
      <c r="C85" s="129">
        <v>420.50949097502757</v>
      </c>
      <c r="D85" s="129" t="s">
        <v>4</v>
      </c>
      <c r="E85" s="129">
        <v>677.30858677381184</v>
      </c>
      <c r="F85" s="129" t="s">
        <v>4</v>
      </c>
      <c r="G85" s="129">
        <v>427.469146333205</v>
      </c>
      <c r="H85" s="129" t="s">
        <v>4</v>
      </c>
      <c r="I85" s="129">
        <v>594.9990084600912</v>
      </c>
      <c r="J85" s="129" t="s">
        <v>4</v>
      </c>
      <c r="K85" s="129">
        <v>716.96570700211203</v>
      </c>
      <c r="L85" s="129" t="s">
        <v>4</v>
      </c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  <c r="BV85" s="137"/>
      <c r="BW85" s="137"/>
      <c r="BX85" s="137"/>
      <c r="BY85" s="137"/>
      <c r="BZ85" s="137"/>
      <c r="CA85" s="137"/>
      <c r="CB85" s="137"/>
      <c r="CC85" s="137"/>
      <c r="CD85" s="137"/>
      <c r="CE85" s="137"/>
      <c r="CF85" s="137"/>
      <c r="CG85" s="137"/>
      <c r="CH85" s="137"/>
      <c r="CI85" s="137"/>
      <c r="CJ85" s="137"/>
      <c r="CK85" s="137"/>
      <c r="CL85" s="137"/>
      <c r="CM85" s="137"/>
      <c r="CN85" s="137"/>
      <c r="CO85" s="137"/>
      <c r="CP85" s="137"/>
      <c r="CQ85" s="137"/>
      <c r="CR85" s="137"/>
      <c r="CS85" s="137"/>
      <c r="CT85" s="137"/>
      <c r="CU85" s="137"/>
      <c r="CV85" s="137"/>
      <c r="CW85" s="137"/>
      <c r="CX85" s="137"/>
      <c r="CY85" s="137"/>
      <c r="CZ85" s="137"/>
      <c r="DA85" s="137"/>
      <c r="DB85" s="137"/>
      <c r="DC85" s="137"/>
      <c r="DD85" s="137"/>
      <c r="DE85" s="137"/>
      <c r="DF85" s="137"/>
      <c r="DG85" s="137"/>
      <c r="DH85" s="137"/>
      <c r="DI85" s="137"/>
      <c r="DJ85" s="137"/>
      <c r="DK85" s="137"/>
      <c r="DL85" s="137"/>
      <c r="DM85" s="137"/>
      <c r="DN85" s="137"/>
      <c r="DO85" s="137"/>
      <c r="DP85" s="137"/>
      <c r="DQ85" s="137"/>
      <c r="DR85" s="137"/>
      <c r="DS85" s="137"/>
      <c r="DT85" s="137"/>
      <c r="DU85" s="137"/>
      <c r="DV85" s="137"/>
      <c r="DW85" s="137"/>
      <c r="DX85" s="137"/>
      <c r="DY85" s="137"/>
      <c r="DZ85" s="137"/>
      <c r="EA85" s="137"/>
      <c r="EB85" s="137"/>
      <c r="EC85" s="137"/>
      <c r="ED85" s="137"/>
      <c r="EE85" s="137"/>
      <c r="EF85" s="137"/>
      <c r="EG85" s="137"/>
      <c r="EH85" s="137"/>
      <c r="EI85" s="137"/>
      <c r="EJ85" s="137"/>
      <c r="EK85" s="137"/>
      <c r="EL85" s="137"/>
      <c r="EM85" s="137"/>
      <c r="EN85" s="137"/>
      <c r="EO85" s="137"/>
      <c r="EP85" s="137"/>
      <c r="EQ85" s="137"/>
      <c r="ER85" s="137"/>
      <c r="ES85" s="137"/>
      <c r="ET85" s="137"/>
      <c r="EU85" s="137"/>
      <c r="EV85" s="137"/>
      <c r="EW85" s="137"/>
      <c r="EX85" s="137"/>
      <c r="EY85" s="137"/>
      <c r="EZ85" s="137"/>
      <c r="FA85" s="137"/>
      <c r="FB85" s="137"/>
      <c r="FC85" s="137"/>
      <c r="FD85" s="137"/>
      <c r="FE85" s="137"/>
      <c r="FF85" s="137"/>
      <c r="FG85" s="137"/>
      <c r="FH85" s="137"/>
      <c r="FI85" s="137"/>
      <c r="FJ85" s="137"/>
      <c r="FK85" s="137"/>
      <c r="FL85" s="137"/>
      <c r="FM85" s="137"/>
      <c r="FN85" s="137"/>
      <c r="FO85" s="137"/>
      <c r="FP85" s="137"/>
      <c r="FQ85" s="137"/>
      <c r="FR85" s="137"/>
      <c r="FS85" s="137"/>
      <c r="FT85" s="137"/>
      <c r="FU85" s="137"/>
      <c r="FV85" s="1"/>
      <c r="FW85" s="1"/>
      <c r="FX85" s="1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1"/>
      <c r="GJ85" s="1"/>
      <c r="GK85" s="1"/>
      <c r="GL85" s="1"/>
      <c r="GM85" s="1"/>
      <c r="GN85" s="1"/>
      <c r="GO85" s="1"/>
      <c r="GP85" s="1"/>
      <c r="GR85" s="1"/>
      <c r="GS85" s="73"/>
      <c r="GT85" s="73"/>
      <c r="GU85" s="73"/>
      <c r="GV85" s="68"/>
      <c r="GW85" s="1"/>
      <c r="GX85" s="57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</row>
    <row r="86" spans="2:249" ht="23.25">
      <c r="B86" s="127" t="s">
        <v>86</v>
      </c>
      <c r="C86" s="128">
        <v>7.8214765321355131</v>
      </c>
      <c r="D86" s="128" t="s">
        <v>193</v>
      </c>
      <c r="E86" s="128">
        <v>13.139786583411949</v>
      </c>
      <c r="F86" s="128" t="s">
        <v>193</v>
      </c>
      <c r="G86" s="128">
        <v>7.9509261217976128</v>
      </c>
      <c r="H86" s="128" t="s">
        <v>193</v>
      </c>
      <c r="I86" s="128">
        <v>12.167181359049714</v>
      </c>
      <c r="J86" s="128" t="s">
        <v>193</v>
      </c>
      <c r="K86" s="128">
        <v>13.335562150239284</v>
      </c>
      <c r="L86" s="128" t="s">
        <v>193</v>
      </c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  <c r="BV86" s="137"/>
      <c r="BW86" s="137"/>
      <c r="BX86" s="137"/>
      <c r="BY86" s="137"/>
      <c r="BZ86" s="137"/>
      <c r="CA86" s="137"/>
      <c r="CB86" s="137"/>
      <c r="CC86" s="137"/>
      <c r="CD86" s="137"/>
      <c r="CE86" s="137"/>
      <c r="CF86" s="137"/>
      <c r="CG86" s="137"/>
      <c r="CH86" s="137"/>
      <c r="CI86" s="137"/>
      <c r="CJ86" s="137"/>
      <c r="CK86" s="137"/>
      <c r="CL86" s="137"/>
      <c r="CM86" s="137"/>
      <c r="CN86" s="137"/>
      <c r="CO86" s="137"/>
      <c r="CP86" s="137"/>
      <c r="CQ86" s="137"/>
      <c r="CR86" s="137"/>
      <c r="CS86" s="137"/>
      <c r="CT86" s="137"/>
      <c r="CU86" s="137"/>
      <c r="CV86" s="137"/>
      <c r="CW86" s="137"/>
      <c r="CX86" s="137"/>
      <c r="CY86" s="137"/>
      <c r="CZ86" s="137"/>
      <c r="DA86" s="137"/>
      <c r="DB86" s="137"/>
      <c r="DC86" s="137"/>
      <c r="DD86" s="137"/>
      <c r="DE86" s="137"/>
      <c r="DF86" s="137"/>
      <c r="DG86" s="137"/>
      <c r="DH86" s="137"/>
      <c r="DI86" s="137"/>
      <c r="DJ86" s="137"/>
      <c r="DK86" s="137"/>
      <c r="DL86" s="137"/>
      <c r="DM86" s="137"/>
      <c r="DN86" s="137"/>
      <c r="DO86" s="137"/>
      <c r="DP86" s="137"/>
      <c r="DQ86" s="137"/>
      <c r="DR86" s="137"/>
      <c r="DS86" s="137"/>
      <c r="DT86" s="137"/>
      <c r="DU86" s="137"/>
      <c r="DV86" s="137"/>
      <c r="DW86" s="137"/>
      <c r="DX86" s="137"/>
      <c r="DY86" s="137"/>
      <c r="DZ86" s="137"/>
      <c r="EA86" s="137"/>
      <c r="EB86" s="137"/>
      <c r="EC86" s="137"/>
      <c r="ED86" s="137"/>
      <c r="EE86" s="137"/>
      <c r="EF86" s="137"/>
      <c r="EG86" s="137"/>
      <c r="EH86" s="137"/>
      <c r="EI86" s="137"/>
      <c r="EJ86" s="137"/>
      <c r="EK86" s="137"/>
      <c r="EL86" s="137"/>
      <c r="EM86" s="137"/>
      <c r="EN86" s="137"/>
      <c r="EO86" s="137"/>
      <c r="EP86" s="137"/>
      <c r="EQ86" s="137"/>
      <c r="ER86" s="137"/>
      <c r="ES86" s="137"/>
      <c r="ET86" s="137"/>
      <c r="EU86" s="137"/>
      <c r="EV86" s="137"/>
      <c r="EW86" s="137"/>
      <c r="EX86" s="137"/>
      <c r="EY86" s="137"/>
      <c r="EZ86" s="137"/>
      <c r="FA86" s="137"/>
      <c r="FB86" s="137"/>
      <c r="FC86" s="137"/>
      <c r="FD86" s="137"/>
      <c r="FE86" s="137"/>
      <c r="FF86" s="137"/>
      <c r="FG86" s="137"/>
      <c r="FH86" s="137"/>
      <c r="FI86" s="137"/>
      <c r="FJ86" s="137"/>
      <c r="FK86" s="137"/>
      <c r="FL86" s="137"/>
      <c r="FM86" s="137"/>
      <c r="FN86" s="137"/>
      <c r="FO86" s="137"/>
      <c r="FP86" s="137"/>
      <c r="FQ86" s="137"/>
      <c r="FR86" s="137"/>
      <c r="FS86" s="137"/>
      <c r="FT86" s="137"/>
      <c r="FU86" s="137"/>
      <c r="FV86" s="1"/>
      <c r="FW86" s="1"/>
      <c r="FX86" s="1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1"/>
      <c r="GJ86" s="1"/>
      <c r="GK86" s="1"/>
      <c r="GL86" s="1"/>
      <c r="GM86" s="1"/>
      <c r="GN86" s="1"/>
      <c r="GO86" s="1"/>
      <c r="GP86" s="1"/>
      <c r="GR86" s="1"/>
      <c r="GS86" s="73"/>
      <c r="GT86" s="73"/>
      <c r="GU86" s="73"/>
      <c r="GV86" s="68"/>
      <c r="GW86" s="1"/>
      <c r="GX86" s="58"/>
      <c r="GY86" s="16"/>
      <c r="GZ86" s="2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6"/>
      <c r="HM86" s="27"/>
      <c r="HN86" s="27"/>
      <c r="HO86" s="2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</row>
    <row r="87" spans="2:249">
      <c r="B87" s="126" t="s">
        <v>87</v>
      </c>
      <c r="C87" s="130">
        <v>375.43087354250463</v>
      </c>
      <c r="D87" s="130" t="s">
        <v>4</v>
      </c>
      <c r="E87" s="130">
        <v>637.27964929547954</v>
      </c>
      <c r="F87" s="130" t="s">
        <v>4</v>
      </c>
      <c r="G87" s="130">
        <v>385.61991690718423</v>
      </c>
      <c r="H87" s="130" t="s">
        <v>4</v>
      </c>
      <c r="I87" s="130">
        <f>'Я не сдал тест)'!D89</f>
        <v>503.52316115723715</v>
      </c>
      <c r="J87" s="130" t="s">
        <v>4</v>
      </c>
      <c r="K87" s="130">
        <v>633.43920213636602</v>
      </c>
      <c r="L87" s="130" t="s">
        <v>4</v>
      </c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  <c r="BZ87" s="137"/>
      <c r="CA87" s="137"/>
      <c r="CB87" s="137"/>
      <c r="CC87" s="137"/>
      <c r="CD87" s="137"/>
      <c r="CE87" s="137"/>
      <c r="CF87" s="137"/>
      <c r="CG87" s="137"/>
      <c r="CH87" s="137"/>
      <c r="CI87" s="137"/>
      <c r="CJ87" s="137"/>
      <c r="CK87" s="137"/>
      <c r="CL87" s="137"/>
      <c r="CM87" s="137"/>
      <c r="CN87" s="137"/>
      <c r="CO87" s="137"/>
      <c r="CP87" s="137"/>
      <c r="CQ87" s="137"/>
      <c r="CR87" s="137"/>
      <c r="CS87" s="137"/>
      <c r="CT87" s="137"/>
      <c r="CU87" s="137"/>
      <c r="CV87" s="137"/>
      <c r="CW87" s="137"/>
      <c r="CX87" s="137"/>
      <c r="CY87" s="137"/>
      <c r="CZ87" s="137"/>
      <c r="DA87" s="137"/>
      <c r="DB87" s="137"/>
      <c r="DC87" s="137"/>
      <c r="DD87" s="137"/>
      <c r="DE87" s="137"/>
      <c r="DF87" s="137"/>
      <c r="DG87" s="137"/>
      <c r="DH87" s="137"/>
      <c r="DI87" s="137"/>
      <c r="DJ87" s="137"/>
      <c r="DK87" s="137"/>
      <c r="DL87" s="137"/>
      <c r="DM87" s="137"/>
      <c r="DN87" s="137"/>
      <c r="DO87" s="137"/>
      <c r="DP87" s="137"/>
      <c r="DQ87" s="137"/>
      <c r="DR87" s="137"/>
      <c r="DS87" s="137"/>
      <c r="DT87" s="137"/>
      <c r="DU87" s="137"/>
      <c r="DV87" s="137"/>
      <c r="DW87" s="137"/>
      <c r="DX87" s="137"/>
      <c r="DY87" s="137"/>
      <c r="DZ87" s="137"/>
      <c r="EA87" s="137"/>
      <c r="EB87" s="137"/>
      <c r="EC87" s="137"/>
      <c r="ED87" s="137"/>
      <c r="EE87" s="137"/>
      <c r="EF87" s="137"/>
      <c r="EG87" s="137"/>
      <c r="EH87" s="137"/>
      <c r="EI87" s="137"/>
      <c r="EJ87" s="137"/>
      <c r="EK87" s="137"/>
      <c r="EL87" s="137"/>
      <c r="EM87" s="137"/>
      <c r="EN87" s="137"/>
      <c r="EO87" s="137"/>
      <c r="EP87" s="137"/>
      <c r="EQ87" s="137"/>
      <c r="ER87" s="137"/>
      <c r="ES87" s="137"/>
      <c r="ET87" s="137"/>
      <c r="EU87" s="137"/>
      <c r="EV87" s="137"/>
      <c r="EW87" s="137"/>
      <c r="EX87" s="137"/>
      <c r="EY87" s="137"/>
      <c r="EZ87" s="137"/>
      <c r="FA87" s="137"/>
      <c r="FB87" s="137"/>
      <c r="FC87" s="137"/>
      <c r="FD87" s="137"/>
      <c r="FE87" s="137"/>
      <c r="FF87" s="137"/>
      <c r="FG87" s="137"/>
      <c r="FH87" s="137"/>
      <c r="FI87" s="137"/>
      <c r="FJ87" s="137"/>
      <c r="FK87" s="137"/>
      <c r="FL87" s="137"/>
      <c r="FM87" s="137"/>
      <c r="FN87" s="137"/>
      <c r="FO87" s="137"/>
      <c r="FP87" s="137"/>
      <c r="FQ87" s="137"/>
      <c r="FR87" s="137"/>
      <c r="FS87" s="137"/>
      <c r="FT87" s="137"/>
      <c r="FU87" s="137"/>
      <c r="FV87" s="1"/>
      <c r="FW87" s="1"/>
      <c r="FX87" s="1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1"/>
      <c r="GJ87" s="1"/>
      <c r="GK87" s="1"/>
      <c r="GL87" s="1"/>
      <c r="GM87" s="1"/>
      <c r="GN87" s="1"/>
      <c r="GO87" s="1"/>
      <c r="GP87" s="1"/>
      <c r="GR87" s="1"/>
      <c r="GS87" s="73"/>
      <c r="GT87" s="73"/>
      <c r="GU87" s="73"/>
      <c r="GV87" s="68"/>
      <c r="GW87" s="1"/>
      <c r="GX87" s="58"/>
      <c r="GY87" s="16"/>
      <c r="GZ87" s="2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6"/>
      <c r="HM87" s="27"/>
      <c r="HN87" s="27"/>
      <c r="HO87" s="2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</row>
    <row r="88" spans="2:249" ht="23.25">
      <c r="B88" s="127" t="s">
        <v>88</v>
      </c>
      <c r="C88" s="128">
        <v>6.8328418984735837</v>
      </c>
      <c r="D88" s="128" t="s">
        <v>193</v>
      </c>
      <c r="E88" s="128">
        <v>11.598489617177727</v>
      </c>
      <c r="F88" s="128" t="s">
        <v>193</v>
      </c>
      <c r="G88" s="128">
        <v>7.0954064710921898</v>
      </c>
      <c r="H88" s="128" t="s">
        <v>193</v>
      </c>
      <c r="I88" s="128">
        <f>'Я не сдал тест)'!D90</f>
        <v>10.346930797524612</v>
      </c>
      <c r="J88" s="128" t="s">
        <v>193</v>
      </c>
      <c r="K88" s="128">
        <v>11.401905638454588</v>
      </c>
      <c r="L88" s="128" t="s">
        <v>193</v>
      </c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  <c r="CC88" s="137"/>
      <c r="CD88" s="137"/>
      <c r="CE88" s="137"/>
      <c r="CF88" s="137"/>
      <c r="CG88" s="137"/>
      <c r="CH88" s="137"/>
      <c r="CI88" s="137"/>
      <c r="CJ88" s="137"/>
      <c r="CK88" s="137"/>
      <c r="CL88" s="137"/>
      <c r="CM88" s="137"/>
      <c r="CN88" s="137"/>
      <c r="CO88" s="137"/>
      <c r="CP88" s="137"/>
      <c r="CQ88" s="137"/>
      <c r="CR88" s="137"/>
      <c r="CS88" s="137"/>
      <c r="CT88" s="137"/>
      <c r="CU88" s="137"/>
      <c r="CV88" s="137"/>
      <c r="CW88" s="137"/>
      <c r="CX88" s="137"/>
      <c r="CY88" s="137"/>
      <c r="CZ88" s="137"/>
      <c r="DA88" s="137"/>
      <c r="DB88" s="137"/>
      <c r="DC88" s="137"/>
      <c r="DD88" s="137"/>
      <c r="DE88" s="137"/>
      <c r="DF88" s="137"/>
      <c r="DG88" s="137"/>
      <c r="DH88" s="137"/>
      <c r="DI88" s="137"/>
      <c r="DJ88" s="137"/>
      <c r="DK88" s="137"/>
      <c r="DL88" s="137"/>
      <c r="DM88" s="137"/>
      <c r="DN88" s="137"/>
      <c r="DO88" s="137"/>
      <c r="DP88" s="137"/>
      <c r="DQ88" s="137"/>
      <c r="DR88" s="137"/>
      <c r="DS88" s="137"/>
      <c r="DT88" s="137"/>
      <c r="DU88" s="137"/>
      <c r="DV88" s="137"/>
      <c r="DW88" s="137"/>
      <c r="DX88" s="137"/>
      <c r="DY88" s="137"/>
      <c r="DZ88" s="137"/>
      <c r="EA88" s="137"/>
      <c r="EB88" s="137"/>
      <c r="EC88" s="137"/>
      <c r="ED88" s="137"/>
      <c r="EE88" s="137"/>
      <c r="EF88" s="137"/>
      <c r="EG88" s="137"/>
      <c r="EH88" s="137"/>
      <c r="EI88" s="137"/>
      <c r="EJ88" s="137"/>
      <c r="EK88" s="137"/>
      <c r="EL88" s="137"/>
      <c r="EM88" s="137"/>
      <c r="EN88" s="137"/>
      <c r="EO88" s="137"/>
      <c r="EP88" s="137"/>
      <c r="EQ88" s="137"/>
      <c r="ER88" s="137"/>
      <c r="ES88" s="137"/>
      <c r="ET88" s="137"/>
      <c r="EU88" s="137"/>
      <c r="EV88" s="137"/>
      <c r="EW88" s="137"/>
      <c r="EX88" s="137"/>
      <c r="EY88" s="137"/>
      <c r="EZ88" s="137"/>
      <c r="FA88" s="137"/>
      <c r="FB88" s="137"/>
      <c r="FC88" s="137"/>
      <c r="FD88" s="137"/>
      <c r="FE88" s="137"/>
      <c r="FF88" s="137"/>
      <c r="FG88" s="137"/>
      <c r="FH88" s="137"/>
      <c r="FI88" s="137"/>
      <c r="FJ88" s="137"/>
      <c r="FK88" s="137"/>
      <c r="FL88" s="137"/>
      <c r="FM88" s="137"/>
      <c r="FN88" s="137"/>
      <c r="FO88" s="137"/>
      <c r="FP88" s="137"/>
      <c r="FQ88" s="137"/>
      <c r="FR88" s="137"/>
      <c r="FS88" s="137"/>
      <c r="FT88" s="137"/>
      <c r="FU88" s="137"/>
      <c r="FV88" s="1"/>
      <c r="FW88" s="1"/>
      <c r="FX88" s="1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1"/>
      <c r="GJ88" s="1"/>
      <c r="GK88" s="1"/>
      <c r="GL88" s="1"/>
      <c r="GM88" s="1"/>
      <c r="GN88" s="1"/>
      <c r="GO88" s="1"/>
      <c r="GP88" s="1"/>
      <c r="GR88" s="1"/>
      <c r="GS88" s="73"/>
      <c r="GT88" s="73"/>
      <c r="GU88" s="73"/>
      <c r="GV88" s="68"/>
      <c r="GW88" s="1"/>
      <c r="GX88" s="58"/>
      <c r="GY88" s="16"/>
      <c r="GZ88" s="2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6"/>
      <c r="HM88" s="27"/>
      <c r="HN88" s="27"/>
      <c r="HO88" s="2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</row>
    <row r="89" spans="2:249" ht="23.25">
      <c r="B89" s="126" t="s">
        <v>89</v>
      </c>
      <c r="C89" s="129">
        <v>6.6278566415193758</v>
      </c>
      <c r="D89" s="129" t="s">
        <v>193</v>
      </c>
      <c r="E89" s="129">
        <v>10.438640655459954</v>
      </c>
      <c r="F89" s="129" t="s">
        <v>193</v>
      </c>
      <c r="G89" s="129">
        <v>6.6696820828266583</v>
      </c>
      <c r="H89" s="129" t="s">
        <v>193</v>
      </c>
      <c r="I89" s="129">
        <f>'Я не сдал тест)'!D91</f>
        <v>10.066522873598874</v>
      </c>
      <c r="J89" s="129" t="s">
        <v>193</v>
      </c>
      <c r="K89" s="129">
        <v>10.603772243762768</v>
      </c>
      <c r="L89" s="129" t="s">
        <v>193</v>
      </c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  <c r="CC89" s="137"/>
      <c r="CD89" s="137"/>
      <c r="CE89" s="137"/>
      <c r="CF89" s="137"/>
      <c r="CG89" s="137"/>
      <c r="CH89" s="137"/>
      <c r="CI89" s="137"/>
      <c r="CJ89" s="137"/>
      <c r="CK89" s="137"/>
      <c r="CL89" s="137"/>
      <c r="CM89" s="137"/>
      <c r="CN89" s="137"/>
      <c r="CO89" s="137"/>
      <c r="CP89" s="137"/>
      <c r="CQ89" s="137"/>
      <c r="CR89" s="137"/>
      <c r="CS89" s="137"/>
      <c r="CT89" s="137"/>
      <c r="CU89" s="137"/>
      <c r="CV89" s="137"/>
      <c r="CW89" s="137"/>
      <c r="CX89" s="137"/>
      <c r="CY89" s="137"/>
      <c r="CZ89" s="137"/>
      <c r="DA89" s="137"/>
      <c r="DB89" s="137"/>
      <c r="DC89" s="137"/>
      <c r="DD89" s="137"/>
      <c r="DE89" s="137"/>
      <c r="DF89" s="137"/>
      <c r="DG89" s="137"/>
      <c r="DH89" s="137"/>
      <c r="DI89" s="137"/>
      <c r="DJ89" s="137"/>
      <c r="DK89" s="137"/>
      <c r="DL89" s="137"/>
      <c r="DM89" s="137"/>
      <c r="DN89" s="137"/>
      <c r="DO89" s="137"/>
      <c r="DP89" s="137"/>
      <c r="DQ89" s="137"/>
      <c r="DR89" s="137"/>
      <c r="DS89" s="137"/>
      <c r="DT89" s="137"/>
      <c r="DU89" s="137"/>
      <c r="DV89" s="137"/>
      <c r="DW89" s="137"/>
      <c r="DX89" s="137"/>
      <c r="DY89" s="137"/>
      <c r="DZ89" s="137"/>
      <c r="EA89" s="137"/>
      <c r="EB89" s="137"/>
      <c r="EC89" s="137"/>
      <c r="ED89" s="137"/>
      <c r="EE89" s="137"/>
      <c r="EF89" s="137"/>
      <c r="EG89" s="137"/>
      <c r="EH89" s="137"/>
      <c r="EI89" s="137"/>
      <c r="EJ89" s="137"/>
      <c r="EK89" s="137"/>
      <c r="EL89" s="137"/>
      <c r="EM89" s="137"/>
      <c r="EN89" s="137"/>
      <c r="EO89" s="137"/>
      <c r="EP89" s="137"/>
      <c r="EQ89" s="137"/>
      <c r="ER89" s="137"/>
      <c r="ES89" s="137"/>
      <c r="ET89" s="137"/>
      <c r="EU89" s="137"/>
      <c r="EV89" s="137"/>
      <c r="EW89" s="137"/>
      <c r="EX89" s="137"/>
      <c r="EY89" s="137"/>
      <c r="EZ89" s="137"/>
      <c r="FA89" s="137"/>
      <c r="FB89" s="137"/>
      <c r="FC89" s="137"/>
      <c r="FD89" s="137"/>
      <c r="FE89" s="137"/>
      <c r="FF89" s="137"/>
      <c r="FG89" s="137"/>
      <c r="FH89" s="137"/>
      <c r="FI89" s="137"/>
      <c r="FJ89" s="137"/>
      <c r="FK89" s="137"/>
      <c r="FL89" s="137"/>
      <c r="FM89" s="137"/>
      <c r="FN89" s="137"/>
      <c r="FO89" s="137"/>
      <c r="FP89" s="137"/>
      <c r="FQ89" s="137"/>
      <c r="FR89" s="137"/>
      <c r="FS89" s="137"/>
      <c r="FT89" s="137"/>
      <c r="FU89" s="137"/>
      <c r="FV89" s="1"/>
      <c r="FW89" s="1"/>
      <c r="FX89" s="1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1"/>
      <c r="GJ89" s="1"/>
      <c r="GK89" s="1"/>
      <c r="GL89" s="1"/>
      <c r="GM89" s="1"/>
      <c r="GN89" s="1"/>
      <c r="GO89" s="1"/>
      <c r="GP89" s="1"/>
      <c r="GR89" s="1"/>
      <c r="GS89" s="73"/>
      <c r="GT89" s="73"/>
      <c r="GU89" s="73"/>
      <c r="GV89" s="68"/>
      <c r="GW89" s="1"/>
      <c r="GX89" s="58"/>
      <c r="GY89" s="16"/>
      <c r="GZ89" s="2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6"/>
      <c r="HM89" s="27"/>
      <c r="HN89" s="27"/>
      <c r="HO89" s="2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6"/>
      <c r="IB89" s="16"/>
      <c r="IC89" s="16"/>
      <c r="ID89" s="16"/>
      <c r="IE89" s="16"/>
      <c r="IF89" s="16"/>
      <c r="IG89" s="16"/>
      <c r="IH89" s="16"/>
      <c r="II89" s="16"/>
      <c r="IJ89" s="16"/>
      <c r="IK89" s="16"/>
      <c r="IL89" s="16"/>
      <c r="IM89" s="16"/>
      <c r="IN89" s="16"/>
      <c r="IO89" s="16"/>
    </row>
    <row r="90" spans="2:249" ht="23.25">
      <c r="B90" s="127" t="s">
        <v>90</v>
      </c>
      <c r="C90" s="128">
        <v>6.0313495437826319</v>
      </c>
      <c r="D90" s="128" t="s">
        <v>193</v>
      </c>
      <c r="E90" s="128">
        <v>9.9167086226869561</v>
      </c>
      <c r="F90" s="128" t="s">
        <v>193</v>
      </c>
      <c r="G90" s="128">
        <v>6.136107516200525</v>
      </c>
      <c r="H90" s="128" t="s">
        <v>193</v>
      </c>
      <c r="I90" s="128">
        <v>9.522531501182943</v>
      </c>
      <c r="J90" s="128" t="s">
        <v>193</v>
      </c>
      <c r="K90" s="128">
        <v>9.7554704642617445</v>
      </c>
      <c r="L90" s="128" t="s">
        <v>193</v>
      </c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  <c r="BV90" s="137"/>
      <c r="BW90" s="137"/>
      <c r="BX90" s="137"/>
      <c r="BY90" s="137"/>
      <c r="BZ90" s="137"/>
      <c r="CA90" s="137"/>
      <c r="CB90" s="137"/>
      <c r="CC90" s="137"/>
      <c r="CD90" s="137"/>
      <c r="CE90" s="137"/>
      <c r="CF90" s="137"/>
      <c r="CG90" s="137"/>
      <c r="CH90" s="137"/>
      <c r="CI90" s="137"/>
      <c r="CJ90" s="137"/>
      <c r="CK90" s="137"/>
      <c r="CL90" s="137"/>
      <c r="CM90" s="137"/>
      <c r="CN90" s="137"/>
      <c r="CO90" s="137"/>
      <c r="CP90" s="137"/>
      <c r="CQ90" s="137"/>
      <c r="CR90" s="137"/>
      <c r="CS90" s="137"/>
      <c r="CT90" s="137"/>
      <c r="CU90" s="137"/>
      <c r="CV90" s="137"/>
      <c r="CW90" s="137"/>
      <c r="CX90" s="137"/>
      <c r="CY90" s="137"/>
      <c r="CZ90" s="137"/>
      <c r="DA90" s="137"/>
      <c r="DB90" s="137"/>
      <c r="DC90" s="137"/>
      <c r="DD90" s="137"/>
      <c r="DE90" s="137"/>
      <c r="DF90" s="137"/>
      <c r="DG90" s="137"/>
      <c r="DH90" s="137"/>
      <c r="DI90" s="137"/>
      <c r="DJ90" s="137"/>
      <c r="DK90" s="137"/>
      <c r="DL90" s="137"/>
      <c r="DM90" s="137"/>
      <c r="DN90" s="137"/>
      <c r="DO90" s="137"/>
      <c r="DP90" s="137"/>
      <c r="DQ90" s="137"/>
      <c r="DR90" s="137"/>
      <c r="DS90" s="137"/>
      <c r="DT90" s="137"/>
      <c r="DU90" s="137"/>
      <c r="DV90" s="137"/>
      <c r="DW90" s="137"/>
      <c r="DX90" s="137"/>
      <c r="DY90" s="137"/>
      <c r="DZ90" s="137"/>
      <c r="EA90" s="137"/>
      <c r="EB90" s="137"/>
      <c r="EC90" s="137"/>
      <c r="ED90" s="137"/>
      <c r="EE90" s="137"/>
      <c r="EF90" s="137"/>
      <c r="EG90" s="137"/>
      <c r="EH90" s="137"/>
      <c r="EI90" s="137"/>
      <c r="EJ90" s="137"/>
      <c r="EK90" s="137"/>
      <c r="EL90" s="137"/>
      <c r="EM90" s="137"/>
      <c r="EN90" s="137"/>
      <c r="EO90" s="137"/>
      <c r="EP90" s="137"/>
      <c r="EQ90" s="137"/>
      <c r="ER90" s="137"/>
      <c r="ES90" s="137"/>
      <c r="ET90" s="137"/>
      <c r="EU90" s="137"/>
      <c r="EV90" s="137"/>
      <c r="EW90" s="137"/>
      <c r="EX90" s="137"/>
      <c r="EY90" s="137"/>
      <c r="EZ90" s="137"/>
      <c r="FA90" s="137"/>
      <c r="FB90" s="137"/>
      <c r="FC90" s="137"/>
      <c r="FD90" s="137"/>
      <c r="FE90" s="137"/>
      <c r="FF90" s="137"/>
      <c r="FG90" s="137"/>
      <c r="FH90" s="137"/>
      <c r="FI90" s="137"/>
      <c r="FJ90" s="137"/>
      <c r="FK90" s="137"/>
      <c r="FL90" s="137"/>
      <c r="FM90" s="137"/>
      <c r="FN90" s="137"/>
      <c r="FO90" s="137"/>
      <c r="FP90" s="137"/>
      <c r="FQ90" s="137"/>
      <c r="FR90" s="137"/>
      <c r="FS90" s="137"/>
      <c r="FT90" s="137"/>
      <c r="FU90" s="137"/>
      <c r="FV90" s="1"/>
      <c r="FW90" s="1"/>
      <c r="FX90" s="1"/>
      <c r="FY90" s="2"/>
      <c r="FZ90" s="2"/>
      <c r="GA90" s="2"/>
      <c r="GB90" s="2"/>
      <c r="GC90" s="2"/>
      <c r="GD90" s="2"/>
      <c r="GE90" s="2"/>
      <c r="GF90" s="2"/>
      <c r="GG90" s="2"/>
      <c r="GH90" s="1"/>
      <c r="GI90" s="1"/>
      <c r="GJ90" s="1"/>
      <c r="GK90" s="1"/>
      <c r="GL90" s="1"/>
      <c r="GM90" s="1"/>
      <c r="GN90" s="1"/>
      <c r="GO90" s="1"/>
      <c r="GP90" s="1"/>
      <c r="GR90" s="1"/>
      <c r="GS90" s="73"/>
      <c r="GT90" s="73"/>
      <c r="GU90" s="73"/>
      <c r="GV90" s="68"/>
      <c r="GW90" s="1"/>
      <c r="GX90" s="58"/>
      <c r="GY90" s="16"/>
      <c r="GZ90" s="2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6"/>
      <c r="HM90" s="27"/>
      <c r="HN90" s="27"/>
      <c r="HO90" s="2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</row>
    <row r="91" spans="2:249" ht="23.25">
      <c r="B91" s="126" t="s">
        <v>91</v>
      </c>
      <c r="C91" s="129">
        <v>5.6694685711556732</v>
      </c>
      <c r="D91" s="129" t="s">
        <v>193</v>
      </c>
      <c r="E91" s="129">
        <v>9.619207364006348</v>
      </c>
      <c r="F91" s="129" t="s">
        <v>193</v>
      </c>
      <c r="G91" s="129">
        <v>5.8906632155525038</v>
      </c>
      <c r="H91" s="129" t="s">
        <v>193</v>
      </c>
      <c r="I91" s="129">
        <v>9.0111796111119649</v>
      </c>
      <c r="J91" s="129" t="s">
        <v>193</v>
      </c>
      <c r="K91" s="129">
        <v>9.3652516456912753</v>
      </c>
      <c r="L91" s="129" t="s">
        <v>193</v>
      </c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  <c r="BZ91" s="137"/>
      <c r="CA91" s="137"/>
      <c r="CB91" s="137"/>
      <c r="CC91" s="137"/>
      <c r="CD91" s="137"/>
      <c r="CE91" s="137"/>
      <c r="CF91" s="137"/>
      <c r="CG91" s="137"/>
      <c r="CH91" s="137"/>
      <c r="CI91" s="137"/>
      <c r="CJ91" s="137"/>
      <c r="CK91" s="137"/>
      <c r="CL91" s="137"/>
      <c r="CM91" s="137"/>
      <c r="CN91" s="137"/>
      <c r="CO91" s="137"/>
      <c r="CP91" s="137"/>
      <c r="CQ91" s="137"/>
      <c r="CR91" s="137"/>
      <c r="CS91" s="137"/>
      <c r="CT91" s="137"/>
      <c r="CU91" s="137"/>
      <c r="CV91" s="137"/>
      <c r="CW91" s="137"/>
      <c r="CX91" s="137"/>
      <c r="CY91" s="137"/>
      <c r="CZ91" s="137"/>
      <c r="DA91" s="137"/>
      <c r="DB91" s="137"/>
      <c r="DC91" s="137"/>
      <c r="DD91" s="137"/>
      <c r="DE91" s="137"/>
      <c r="DF91" s="137"/>
      <c r="DG91" s="137"/>
      <c r="DH91" s="137"/>
      <c r="DI91" s="137"/>
      <c r="DJ91" s="137"/>
      <c r="DK91" s="137"/>
      <c r="DL91" s="137"/>
      <c r="DM91" s="137"/>
      <c r="DN91" s="137"/>
      <c r="DO91" s="137"/>
      <c r="DP91" s="137"/>
      <c r="DQ91" s="137"/>
      <c r="DR91" s="137"/>
      <c r="DS91" s="137"/>
      <c r="DT91" s="137"/>
      <c r="DU91" s="137"/>
      <c r="DV91" s="137"/>
      <c r="DW91" s="137"/>
      <c r="DX91" s="137"/>
      <c r="DY91" s="137"/>
      <c r="DZ91" s="137"/>
      <c r="EA91" s="137"/>
      <c r="EB91" s="137"/>
      <c r="EC91" s="137"/>
      <c r="ED91" s="137"/>
      <c r="EE91" s="137"/>
      <c r="EF91" s="137"/>
      <c r="EG91" s="137"/>
      <c r="EH91" s="137"/>
      <c r="EI91" s="137"/>
      <c r="EJ91" s="137"/>
      <c r="EK91" s="137"/>
      <c r="EL91" s="137"/>
      <c r="EM91" s="137"/>
      <c r="EN91" s="137"/>
      <c r="EO91" s="137"/>
      <c r="EP91" s="137"/>
      <c r="EQ91" s="137"/>
      <c r="ER91" s="137"/>
      <c r="ES91" s="137"/>
      <c r="ET91" s="137"/>
      <c r="EU91" s="137"/>
      <c r="EV91" s="137"/>
      <c r="EW91" s="137"/>
      <c r="EX91" s="137"/>
      <c r="EY91" s="137"/>
      <c r="EZ91" s="137"/>
      <c r="FA91" s="137"/>
      <c r="FB91" s="137"/>
      <c r="FC91" s="137"/>
      <c r="FD91" s="137"/>
      <c r="FE91" s="137"/>
      <c r="FF91" s="137"/>
      <c r="FG91" s="137"/>
      <c r="FH91" s="137"/>
      <c r="FI91" s="137"/>
      <c r="FJ91" s="137"/>
      <c r="FK91" s="137"/>
      <c r="FL91" s="137"/>
      <c r="FM91" s="137"/>
      <c r="FN91" s="137"/>
      <c r="FO91" s="137"/>
      <c r="FP91" s="137"/>
      <c r="FQ91" s="137"/>
      <c r="FR91" s="137"/>
      <c r="FS91" s="137"/>
      <c r="FT91" s="137"/>
      <c r="FU91" s="137"/>
      <c r="FV91" s="10"/>
      <c r="FW91" s="10"/>
      <c r="FX91" s="10"/>
      <c r="FY91" s="114"/>
      <c r="FZ91" s="114"/>
      <c r="GA91" s="114"/>
      <c r="GB91" s="114"/>
      <c r="GC91" s="114"/>
      <c r="GD91" s="114"/>
      <c r="GE91" s="114"/>
      <c r="GF91" s="114"/>
      <c r="GG91" s="114"/>
      <c r="GH91" s="10"/>
      <c r="GI91" s="10"/>
      <c r="GJ91" s="10"/>
      <c r="GK91" s="10"/>
      <c r="GL91" s="10"/>
      <c r="GM91" s="10"/>
      <c r="GN91" s="10"/>
      <c r="GO91" s="10"/>
      <c r="GP91" s="10"/>
      <c r="GR91" s="1"/>
      <c r="GS91" s="73"/>
      <c r="GT91" s="73"/>
      <c r="GU91" s="79"/>
      <c r="GV91" s="67"/>
      <c r="GW91" s="1"/>
      <c r="GX91" s="60"/>
      <c r="GY91" s="23"/>
      <c r="GZ91" s="26"/>
      <c r="HA91" s="25"/>
      <c r="HB91" s="25"/>
      <c r="HC91" s="25"/>
      <c r="HD91" s="25"/>
      <c r="HE91" s="25"/>
      <c r="HF91" s="25"/>
      <c r="HG91" s="25"/>
      <c r="HH91" s="25"/>
      <c r="HI91" s="25"/>
      <c r="HJ91" s="25"/>
      <c r="HK91" s="25"/>
      <c r="HL91" s="16"/>
      <c r="HM91" s="26"/>
      <c r="HN91" s="26"/>
      <c r="HO91" s="26"/>
      <c r="HP91" s="25"/>
      <c r="HQ91" s="25"/>
      <c r="HR91" s="25"/>
      <c r="HS91" s="25"/>
      <c r="HT91" s="25"/>
      <c r="HU91" s="25"/>
      <c r="HV91" s="25"/>
      <c r="HW91" s="25"/>
      <c r="HX91" s="25"/>
      <c r="HY91" s="25"/>
      <c r="HZ91" s="25"/>
      <c r="IA91" s="16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</row>
    <row r="92" spans="2:249" ht="23.25">
      <c r="B92" s="127" t="s">
        <v>92</v>
      </c>
      <c r="C92" s="128">
        <v>5.1025217140401056</v>
      </c>
      <c r="D92" s="128" t="s">
        <v>193</v>
      </c>
      <c r="E92" s="128">
        <v>9.1382469958060302</v>
      </c>
      <c r="F92" s="128" t="s">
        <v>193</v>
      </c>
      <c r="G92" s="128">
        <v>5.3015968939972531</v>
      </c>
      <c r="H92" s="128" t="s">
        <v>193</v>
      </c>
      <c r="I92" s="128">
        <v>8.2901734461118881</v>
      </c>
      <c r="J92" s="128" t="s">
        <v>193</v>
      </c>
      <c r="K92" s="128">
        <v>8.6160315140359724</v>
      </c>
      <c r="L92" s="128" t="s">
        <v>193</v>
      </c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  <c r="BV92" s="137"/>
      <c r="BW92" s="137"/>
      <c r="BX92" s="137"/>
      <c r="BY92" s="137"/>
      <c r="BZ92" s="137"/>
      <c r="CA92" s="137"/>
      <c r="CB92" s="137"/>
      <c r="CC92" s="137"/>
      <c r="CD92" s="137"/>
      <c r="CE92" s="137"/>
      <c r="CF92" s="137"/>
      <c r="CG92" s="137"/>
      <c r="CH92" s="137"/>
      <c r="CI92" s="137"/>
      <c r="CJ92" s="137"/>
      <c r="CK92" s="137"/>
      <c r="CL92" s="137"/>
      <c r="CM92" s="137"/>
      <c r="CN92" s="137"/>
      <c r="CO92" s="137"/>
      <c r="CP92" s="137"/>
      <c r="CQ92" s="137"/>
      <c r="CR92" s="137"/>
      <c r="CS92" s="137"/>
      <c r="CT92" s="137"/>
      <c r="CU92" s="137"/>
      <c r="CV92" s="137"/>
      <c r="CW92" s="137"/>
      <c r="CX92" s="137"/>
      <c r="CY92" s="137"/>
      <c r="CZ92" s="137"/>
      <c r="DA92" s="137"/>
      <c r="DB92" s="137"/>
      <c r="DC92" s="137"/>
      <c r="DD92" s="137"/>
      <c r="DE92" s="137"/>
      <c r="DF92" s="137"/>
      <c r="DG92" s="137"/>
      <c r="DH92" s="137"/>
      <c r="DI92" s="137"/>
      <c r="DJ92" s="137"/>
      <c r="DK92" s="137"/>
      <c r="DL92" s="137"/>
      <c r="DM92" s="137"/>
      <c r="DN92" s="137"/>
      <c r="DO92" s="137"/>
      <c r="DP92" s="137"/>
      <c r="DQ92" s="137"/>
      <c r="DR92" s="137"/>
      <c r="DS92" s="137"/>
      <c r="DT92" s="137"/>
      <c r="DU92" s="137"/>
      <c r="DV92" s="137"/>
      <c r="DW92" s="137"/>
      <c r="DX92" s="137"/>
      <c r="DY92" s="137"/>
      <c r="DZ92" s="137"/>
      <c r="EA92" s="137"/>
      <c r="EB92" s="137"/>
      <c r="EC92" s="137"/>
      <c r="ED92" s="137"/>
      <c r="EE92" s="137"/>
      <c r="EF92" s="137"/>
      <c r="EG92" s="137"/>
      <c r="EH92" s="137"/>
      <c r="EI92" s="137"/>
      <c r="EJ92" s="137"/>
      <c r="EK92" s="137"/>
      <c r="EL92" s="137"/>
      <c r="EM92" s="137"/>
      <c r="EN92" s="137"/>
      <c r="EO92" s="137"/>
      <c r="EP92" s="137"/>
      <c r="EQ92" s="137"/>
      <c r="ER92" s="137"/>
      <c r="ES92" s="137"/>
      <c r="ET92" s="137"/>
      <c r="EU92" s="137"/>
      <c r="EV92" s="137"/>
      <c r="EW92" s="137"/>
      <c r="EX92" s="137"/>
      <c r="EY92" s="137"/>
      <c r="EZ92" s="137"/>
      <c r="FA92" s="137"/>
      <c r="FB92" s="137"/>
      <c r="FC92" s="137"/>
      <c r="FD92" s="137"/>
      <c r="FE92" s="137"/>
      <c r="FF92" s="137"/>
      <c r="FG92" s="137"/>
      <c r="FH92" s="137"/>
      <c r="FI92" s="137"/>
      <c r="FJ92" s="137"/>
      <c r="FK92" s="137"/>
      <c r="FL92" s="137"/>
      <c r="FM92" s="137"/>
      <c r="FN92" s="137"/>
      <c r="FO92" s="137"/>
      <c r="FP92" s="137"/>
      <c r="FQ92" s="137"/>
      <c r="FR92" s="137"/>
      <c r="FS92" s="137"/>
      <c r="FT92" s="137"/>
      <c r="FU92" s="137"/>
      <c r="FV92" s="1"/>
      <c r="FW92" s="1"/>
      <c r="FX92" s="1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1"/>
      <c r="GJ92" s="1"/>
      <c r="GK92" s="1"/>
      <c r="GL92" s="1"/>
      <c r="GM92" s="1"/>
      <c r="GN92" s="1"/>
      <c r="GO92" s="1"/>
      <c r="GP92" s="1"/>
      <c r="GR92" s="1"/>
      <c r="GS92" s="73"/>
      <c r="GT92" s="98"/>
      <c r="GU92" s="85"/>
      <c r="GV92" s="68"/>
      <c r="GW92" s="1"/>
      <c r="GX92" s="58"/>
      <c r="GY92" s="16"/>
      <c r="GZ92" s="2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20"/>
      <c r="HM92" s="27"/>
      <c r="HN92" s="27"/>
      <c r="HO92" s="2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</row>
    <row r="93" spans="2:249" ht="23.25">
      <c r="B93" s="126" t="s">
        <v>93</v>
      </c>
      <c r="C93" s="129">
        <v>244.92104227392508</v>
      </c>
      <c r="D93" s="129" t="s">
        <v>4</v>
      </c>
      <c r="E93" s="129">
        <v>411.22111481127132</v>
      </c>
      <c r="F93" s="129" t="s">
        <v>4</v>
      </c>
      <c r="G93" s="129">
        <v>251.82585246486948</v>
      </c>
      <c r="H93" s="129" t="s">
        <v>4</v>
      </c>
      <c r="I93" s="129">
        <v>336.34797852114684</v>
      </c>
      <c r="J93" s="129" t="s">
        <v>4</v>
      </c>
      <c r="K93" s="129">
        <v>417.87752843074469</v>
      </c>
      <c r="L93" s="129" t="s">
        <v>4</v>
      </c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  <c r="BV93" s="137"/>
      <c r="BW93" s="137"/>
      <c r="BX93" s="137"/>
      <c r="BY93" s="137"/>
      <c r="BZ93" s="137"/>
      <c r="CA93" s="137"/>
      <c r="CB93" s="137"/>
      <c r="CC93" s="137"/>
      <c r="CD93" s="137"/>
      <c r="CE93" s="137"/>
      <c r="CF93" s="137"/>
      <c r="CG93" s="137"/>
      <c r="CH93" s="137"/>
      <c r="CI93" s="137"/>
      <c r="CJ93" s="137"/>
      <c r="CK93" s="137"/>
      <c r="CL93" s="137"/>
      <c r="CM93" s="137"/>
      <c r="CN93" s="137"/>
      <c r="CO93" s="137"/>
      <c r="CP93" s="137"/>
      <c r="CQ93" s="137"/>
      <c r="CR93" s="137"/>
      <c r="CS93" s="137"/>
      <c r="CT93" s="137"/>
      <c r="CU93" s="137"/>
      <c r="CV93" s="137"/>
      <c r="CW93" s="137"/>
      <c r="CX93" s="137"/>
      <c r="CY93" s="137"/>
      <c r="CZ93" s="137"/>
      <c r="DA93" s="137"/>
      <c r="DB93" s="137"/>
      <c r="DC93" s="137"/>
      <c r="DD93" s="137"/>
      <c r="DE93" s="137"/>
      <c r="DF93" s="137"/>
      <c r="DG93" s="137"/>
      <c r="DH93" s="137"/>
      <c r="DI93" s="137"/>
      <c r="DJ93" s="137"/>
      <c r="DK93" s="137"/>
      <c r="DL93" s="137"/>
      <c r="DM93" s="137"/>
      <c r="DN93" s="137"/>
      <c r="DO93" s="137"/>
      <c r="DP93" s="137"/>
      <c r="DQ93" s="137"/>
      <c r="DR93" s="137"/>
      <c r="DS93" s="137"/>
      <c r="DT93" s="137"/>
      <c r="DU93" s="137"/>
      <c r="DV93" s="137"/>
      <c r="DW93" s="137"/>
      <c r="DX93" s="137"/>
      <c r="DY93" s="137"/>
      <c r="DZ93" s="137"/>
      <c r="EA93" s="137"/>
      <c r="EB93" s="137"/>
      <c r="EC93" s="137"/>
      <c r="ED93" s="137"/>
      <c r="EE93" s="137"/>
      <c r="EF93" s="137"/>
      <c r="EG93" s="137"/>
      <c r="EH93" s="137"/>
      <c r="EI93" s="137"/>
      <c r="EJ93" s="137"/>
      <c r="EK93" s="137"/>
      <c r="EL93" s="137"/>
      <c r="EM93" s="137"/>
      <c r="EN93" s="137"/>
      <c r="EO93" s="137"/>
      <c r="EP93" s="137"/>
      <c r="EQ93" s="137"/>
      <c r="ER93" s="137"/>
      <c r="ES93" s="137"/>
      <c r="ET93" s="137"/>
      <c r="EU93" s="137"/>
      <c r="EV93" s="137"/>
      <c r="EW93" s="137"/>
      <c r="EX93" s="137"/>
      <c r="EY93" s="137"/>
      <c r="EZ93" s="137"/>
      <c r="FA93" s="137"/>
      <c r="FB93" s="137"/>
      <c r="FC93" s="137"/>
      <c r="FD93" s="137"/>
      <c r="FE93" s="137"/>
      <c r="FF93" s="137"/>
      <c r="FG93" s="137"/>
      <c r="FH93" s="137"/>
      <c r="FI93" s="137"/>
      <c r="FJ93" s="137"/>
      <c r="FK93" s="137"/>
      <c r="FL93" s="137"/>
      <c r="FM93" s="137"/>
      <c r="FN93" s="137"/>
      <c r="FO93" s="137"/>
      <c r="FP93" s="137"/>
      <c r="FQ93" s="137"/>
      <c r="FR93" s="137"/>
      <c r="FS93" s="137"/>
      <c r="FT93" s="137"/>
      <c r="FU93" s="137"/>
      <c r="FV93" s="1"/>
      <c r="FW93" s="1"/>
      <c r="FX93" s="1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1"/>
      <c r="GJ93" s="1"/>
      <c r="GK93" s="1"/>
      <c r="GL93" s="1"/>
      <c r="GM93" s="1"/>
      <c r="GN93" s="1"/>
      <c r="GO93" s="1"/>
      <c r="GP93" s="1"/>
      <c r="GR93" s="1"/>
      <c r="GS93" s="73"/>
      <c r="GT93" s="73"/>
      <c r="GU93" s="73"/>
      <c r="GV93" s="68"/>
      <c r="GW93" s="1"/>
      <c r="GX93" s="58"/>
      <c r="GY93" s="16"/>
      <c r="GZ93" s="27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27"/>
      <c r="HN93" s="27"/>
      <c r="HO93" s="2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</row>
    <row r="94" spans="2:249">
      <c r="B94" s="127" t="s">
        <v>94</v>
      </c>
      <c r="C94" s="128">
        <v>225.32735889201106</v>
      </c>
      <c r="D94" s="128" t="s">
        <v>4</v>
      </c>
      <c r="E94" s="128">
        <v>394.77227021882049</v>
      </c>
      <c r="F94" s="128" t="s">
        <v>4</v>
      </c>
      <c r="G94" s="128">
        <v>236.71630131697734</v>
      </c>
      <c r="H94" s="128" t="s">
        <v>4</v>
      </c>
      <c r="I94" s="128">
        <v>316.22709980987804</v>
      </c>
      <c r="J94" s="128" t="s">
        <v>4</v>
      </c>
      <c r="K94" s="128">
        <v>405.34120257782234</v>
      </c>
      <c r="L94" s="128" t="s">
        <v>4</v>
      </c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  <c r="CC94" s="137"/>
      <c r="CD94" s="137"/>
      <c r="CE94" s="137"/>
      <c r="CF94" s="137"/>
      <c r="CG94" s="137"/>
      <c r="CH94" s="137"/>
      <c r="CI94" s="137"/>
      <c r="CJ94" s="137"/>
      <c r="CK94" s="137"/>
      <c r="CL94" s="137"/>
      <c r="CM94" s="137"/>
      <c r="CN94" s="137"/>
      <c r="CO94" s="137"/>
      <c r="CP94" s="137"/>
      <c r="CQ94" s="137"/>
      <c r="CR94" s="137"/>
      <c r="CS94" s="137"/>
      <c r="CT94" s="137"/>
      <c r="CU94" s="137"/>
      <c r="CV94" s="137"/>
      <c r="CW94" s="137"/>
      <c r="CX94" s="137"/>
      <c r="CY94" s="137"/>
      <c r="CZ94" s="137"/>
      <c r="DA94" s="137"/>
      <c r="DB94" s="137"/>
      <c r="DC94" s="137"/>
      <c r="DD94" s="137"/>
      <c r="DE94" s="137"/>
      <c r="DF94" s="137"/>
      <c r="DG94" s="137"/>
      <c r="DH94" s="137"/>
      <c r="DI94" s="137"/>
      <c r="DJ94" s="137"/>
      <c r="DK94" s="137"/>
      <c r="DL94" s="137"/>
      <c r="DM94" s="137"/>
      <c r="DN94" s="137"/>
      <c r="DO94" s="137"/>
      <c r="DP94" s="137"/>
      <c r="DQ94" s="137"/>
      <c r="DR94" s="137"/>
      <c r="DS94" s="137"/>
      <c r="DT94" s="137"/>
      <c r="DU94" s="137"/>
      <c r="DV94" s="137"/>
      <c r="DW94" s="137"/>
      <c r="DX94" s="137"/>
      <c r="DY94" s="137"/>
      <c r="DZ94" s="137"/>
      <c r="EA94" s="137"/>
      <c r="EB94" s="137"/>
      <c r="EC94" s="137"/>
      <c r="ED94" s="137"/>
      <c r="EE94" s="137"/>
      <c r="EF94" s="137"/>
      <c r="EG94" s="137"/>
      <c r="EH94" s="137"/>
      <c r="EI94" s="137"/>
      <c r="EJ94" s="137"/>
      <c r="EK94" s="137"/>
      <c r="EL94" s="137"/>
      <c r="EM94" s="137"/>
      <c r="EN94" s="137"/>
      <c r="EO94" s="137"/>
      <c r="EP94" s="137"/>
      <c r="EQ94" s="137"/>
      <c r="ER94" s="137"/>
      <c r="ES94" s="137"/>
      <c r="ET94" s="137"/>
      <c r="EU94" s="137"/>
      <c r="EV94" s="137"/>
      <c r="EW94" s="137"/>
      <c r="EX94" s="137"/>
      <c r="EY94" s="137"/>
      <c r="EZ94" s="137"/>
      <c r="FA94" s="137"/>
      <c r="FB94" s="137"/>
      <c r="FC94" s="137"/>
      <c r="FD94" s="137"/>
      <c r="FE94" s="137"/>
      <c r="FF94" s="137"/>
      <c r="FG94" s="137"/>
      <c r="FH94" s="137"/>
      <c r="FI94" s="137"/>
      <c r="FJ94" s="137"/>
      <c r="FK94" s="137"/>
      <c r="FL94" s="137"/>
      <c r="FM94" s="137"/>
      <c r="FN94" s="137"/>
      <c r="FO94" s="137"/>
      <c r="FP94" s="137"/>
      <c r="FQ94" s="137"/>
      <c r="FR94" s="137"/>
      <c r="FS94" s="137"/>
      <c r="FT94" s="137"/>
      <c r="FU94" s="137"/>
      <c r="FV94" s="1"/>
      <c r="FW94" s="1"/>
      <c r="FX94" s="1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1"/>
      <c r="GJ94" s="1"/>
      <c r="GK94" s="1"/>
      <c r="GL94" s="1"/>
      <c r="GM94" s="1"/>
      <c r="GN94" s="1"/>
      <c r="GO94" s="1"/>
      <c r="GP94" s="1"/>
      <c r="GR94" s="16"/>
      <c r="GS94" s="73"/>
      <c r="GT94" s="73"/>
      <c r="GU94" s="73"/>
      <c r="GV94" s="68"/>
      <c r="GW94" s="1"/>
      <c r="GX94" s="58"/>
      <c r="GY94" s="16"/>
      <c r="GZ94" s="27"/>
      <c r="HA94" s="52"/>
      <c r="HB94" s="52"/>
      <c r="HC94" s="52"/>
      <c r="HD94" s="52"/>
      <c r="HE94" s="52"/>
      <c r="HF94" s="52"/>
      <c r="HG94" s="52"/>
      <c r="HH94" s="52"/>
      <c r="HI94" s="52"/>
      <c r="HJ94" s="52"/>
      <c r="HK94" s="52"/>
      <c r="HL94" s="16"/>
      <c r="HM94" s="27"/>
      <c r="HN94" s="27"/>
      <c r="HO94" s="27"/>
      <c r="HP94" s="52"/>
      <c r="HQ94" s="52"/>
      <c r="HR94" s="52"/>
      <c r="HS94" s="52"/>
      <c r="HT94" s="52"/>
      <c r="HU94" s="52"/>
      <c r="HV94" s="52"/>
      <c r="HW94" s="52"/>
      <c r="HX94" s="52"/>
      <c r="HY94" s="52"/>
      <c r="HZ94" s="52"/>
      <c r="IA94" s="16"/>
      <c r="IB94" s="16"/>
      <c r="IC94" s="16"/>
      <c r="ID94" s="16"/>
      <c r="IE94" s="16"/>
      <c r="IF94" s="16"/>
      <c r="IG94" s="16"/>
      <c r="IH94" s="16"/>
      <c r="II94" s="16"/>
      <c r="IJ94" s="16"/>
      <c r="IK94" s="16"/>
      <c r="IL94" s="16"/>
      <c r="IM94" s="16"/>
      <c r="IN94" s="16"/>
      <c r="IO94" s="16"/>
    </row>
    <row r="95" spans="2:249">
      <c r="B95" s="126" t="s">
        <v>95</v>
      </c>
      <c r="C95" s="131">
        <v>214.06099094741049</v>
      </c>
      <c r="D95" s="131" t="s">
        <v>4</v>
      </c>
      <c r="E95" s="131">
        <v>363.19048860131488</v>
      </c>
      <c r="F95" s="131" t="s">
        <v>4</v>
      </c>
      <c r="G95" s="131">
        <v>227.24764926429825</v>
      </c>
      <c r="H95" s="131" t="s">
        <v>4</v>
      </c>
      <c r="I95" s="131">
        <v>284.70438982889021</v>
      </c>
      <c r="J95" s="131" t="s">
        <v>4</v>
      </c>
      <c r="K95" s="131">
        <v>376.96731839737475</v>
      </c>
      <c r="L95" s="131" t="s">
        <v>4</v>
      </c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  <c r="CC95" s="137"/>
      <c r="CD95" s="137"/>
      <c r="CE95" s="137"/>
      <c r="CF95" s="137"/>
      <c r="CG95" s="137"/>
      <c r="CH95" s="137"/>
      <c r="CI95" s="137"/>
      <c r="CJ95" s="137"/>
      <c r="CK95" s="137"/>
      <c r="CL95" s="137"/>
      <c r="CM95" s="137"/>
      <c r="CN95" s="137"/>
      <c r="CO95" s="137"/>
      <c r="CP95" s="137"/>
      <c r="CQ95" s="137"/>
      <c r="CR95" s="137"/>
      <c r="CS95" s="137"/>
      <c r="CT95" s="137"/>
      <c r="CU95" s="137"/>
      <c r="CV95" s="137"/>
      <c r="CW95" s="137"/>
      <c r="CX95" s="137"/>
      <c r="CY95" s="137"/>
      <c r="CZ95" s="137"/>
      <c r="DA95" s="137"/>
      <c r="DB95" s="137"/>
      <c r="DC95" s="137"/>
      <c r="DD95" s="137"/>
      <c r="DE95" s="137"/>
      <c r="DF95" s="137"/>
      <c r="DG95" s="137"/>
      <c r="DH95" s="137"/>
      <c r="DI95" s="137"/>
      <c r="DJ95" s="137"/>
      <c r="DK95" s="137"/>
      <c r="DL95" s="137"/>
      <c r="DM95" s="137"/>
      <c r="DN95" s="137"/>
      <c r="DO95" s="137"/>
      <c r="DP95" s="137"/>
      <c r="DQ95" s="137"/>
      <c r="DR95" s="137"/>
      <c r="DS95" s="137"/>
      <c r="DT95" s="137"/>
      <c r="DU95" s="137"/>
      <c r="DV95" s="137"/>
      <c r="DW95" s="137"/>
      <c r="DX95" s="137"/>
      <c r="DY95" s="137"/>
      <c r="DZ95" s="137"/>
      <c r="EA95" s="137"/>
      <c r="EB95" s="137"/>
      <c r="EC95" s="137"/>
      <c r="ED95" s="137"/>
      <c r="EE95" s="137"/>
      <c r="EF95" s="137"/>
      <c r="EG95" s="137"/>
      <c r="EH95" s="137"/>
      <c r="EI95" s="137"/>
      <c r="EJ95" s="137"/>
      <c r="EK95" s="137"/>
      <c r="EL95" s="137"/>
      <c r="EM95" s="137"/>
      <c r="EN95" s="137"/>
      <c r="EO95" s="137"/>
      <c r="EP95" s="137"/>
      <c r="EQ95" s="137"/>
      <c r="ER95" s="137"/>
      <c r="ES95" s="137"/>
      <c r="ET95" s="137"/>
      <c r="EU95" s="137"/>
      <c r="EV95" s="137"/>
      <c r="EW95" s="137"/>
      <c r="EX95" s="137"/>
      <c r="EY95" s="137"/>
      <c r="EZ95" s="137"/>
      <c r="FA95" s="137"/>
      <c r="FB95" s="137"/>
      <c r="FC95" s="137"/>
      <c r="FD95" s="137"/>
      <c r="FE95" s="137"/>
      <c r="FF95" s="137"/>
      <c r="FG95" s="137"/>
      <c r="FH95" s="137"/>
      <c r="FI95" s="137"/>
      <c r="FJ95" s="137"/>
      <c r="FK95" s="137"/>
      <c r="FL95" s="137"/>
      <c r="FM95" s="137"/>
      <c r="FN95" s="137"/>
      <c r="FO95" s="137"/>
      <c r="FP95" s="137"/>
      <c r="FQ95" s="137"/>
      <c r="FR95" s="137"/>
      <c r="FS95" s="137"/>
      <c r="FT95" s="137"/>
      <c r="FU95" s="137"/>
      <c r="FV95" s="1"/>
      <c r="FW95" s="1"/>
      <c r="FX95" s="1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1"/>
      <c r="GJ95" s="1"/>
      <c r="GK95" s="1"/>
      <c r="GL95" s="1"/>
      <c r="GM95" s="1"/>
      <c r="GN95" s="1"/>
      <c r="GO95" s="1"/>
      <c r="GP95" s="1"/>
      <c r="GR95" s="16"/>
      <c r="GS95" s="73"/>
      <c r="GT95" s="73"/>
      <c r="GU95" s="73"/>
      <c r="GV95" s="68"/>
      <c r="GW95" s="1"/>
      <c r="GX95" s="58"/>
      <c r="GY95" s="16"/>
      <c r="GZ95" s="2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6"/>
      <c r="HM95" s="27"/>
      <c r="HN95" s="27"/>
      <c r="HO95" s="2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</row>
    <row r="96" spans="2:249" ht="23.25">
      <c r="B96" s="127" t="s">
        <v>96</v>
      </c>
      <c r="C96" s="128">
        <v>4.0243466298113164</v>
      </c>
      <c r="D96" s="128" t="s">
        <v>193</v>
      </c>
      <c r="E96" s="128">
        <v>6.9006192834249829</v>
      </c>
      <c r="F96" s="128" t="s">
        <v>193</v>
      </c>
      <c r="G96" s="128">
        <v>4.2722558061688067</v>
      </c>
      <c r="H96" s="128" t="s">
        <v>193</v>
      </c>
      <c r="I96" s="128">
        <v>6.5038651626804693</v>
      </c>
      <c r="J96" s="128" t="s">
        <v>193</v>
      </c>
      <c r="K96" s="128">
        <v>7.3131659769090707</v>
      </c>
      <c r="L96" s="128" t="s">
        <v>193</v>
      </c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  <c r="BV96" s="137"/>
      <c r="BW96" s="137"/>
      <c r="BX96" s="137"/>
      <c r="BY96" s="137"/>
      <c r="BZ96" s="137"/>
      <c r="CA96" s="137"/>
      <c r="CB96" s="137"/>
      <c r="CC96" s="137"/>
      <c r="CD96" s="137"/>
      <c r="CE96" s="137"/>
      <c r="CF96" s="137"/>
      <c r="CG96" s="137"/>
      <c r="CH96" s="137"/>
      <c r="CI96" s="137"/>
      <c r="CJ96" s="137"/>
      <c r="CK96" s="137"/>
      <c r="CL96" s="137"/>
      <c r="CM96" s="137"/>
      <c r="CN96" s="137"/>
      <c r="CO96" s="137"/>
      <c r="CP96" s="137"/>
      <c r="CQ96" s="137"/>
      <c r="CR96" s="137"/>
      <c r="CS96" s="137"/>
      <c r="CT96" s="137"/>
      <c r="CU96" s="137"/>
      <c r="CV96" s="137"/>
      <c r="CW96" s="137"/>
      <c r="CX96" s="137"/>
      <c r="CY96" s="137"/>
      <c r="CZ96" s="137"/>
      <c r="DA96" s="137"/>
      <c r="DB96" s="137"/>
      <c r="DC96" s="137"/>
      <c r="DD96" s="137"/>
      <c r="DE96" s="137"/>
      <c r="DF96" s="137"/>
      <c r="DG96" s="137"/>
      <c r="DH96" s="137"/>
      <c r="DI96" s="137"/>
      <c r="DJ96" s="137"/>
      <c r="DK96" s="137"/>
      <c r="DL96" s="137"/>
      <c r="DM96" s="137"/>
      <c r="DN96" s="137"/>
      <c r="DO96" s="137"/>
      <c r="DP96" s="137"/>
      <c r="DQ96" s="137"/>
      <c r="DR96" s="137"/>
      <c r="DS96" s="137"/>
      <c r="DT96" s="137"/>
      <c r="DU96" s="137"/>
      <c r="DV96" s="137"/>
      <c r="DW96" s="137"/>
      <c r="DX96" s="137"/>
      <c r="DY96" s="137"/>
      <c r="DZ96" s="137"/>
      <c r="EA96" s="137"/>
      <c r="EB96" s="137"/>
      <c r="EC96" s="137"/>
      <c r="ED96" s="137"/>
      <c r="EE96" s="137"/>
      <c r="EF96" s="137"/>
      <c r="EG96" s="137"/>
      <c r="EH96" s="137"/>
      <c r="EI96" s="137"/>
      <c r="EJ96" s="137"/>
      <c r="EK96" s="137"/>
      <c r="EL96" s="137"/>
      <c r="EM96" s="137"/>
      <c r="EN96" s="137"/>
      <c r="EO96" s="137"/>
      <c r="EP96" s="137"/>
      <c r="EQ96" s="137"/>
      <c r="ER96" s="137"/>
      <c r="ES96" s="137"/>
      <c r="ET96" s="137"/>
      <c r="EU96" s="137"/>
      <c r="EV96" s="137"/>
      <c r="EW96" s="137"/>
      <c r="EX96" s="137"/>
      <c r="EY96" s="137"/>
      <c r="EZ96" s="137"/>
      <c r="FA96" s="137"/>
      <c r="FB96" s="137"/>
      <c r="FC96" s="137"/>
      <c r="FD96" s="137"/>
      <c r="FE96" s="137"/>
      <c r="FF96" s="137"/>
      <c r="FG96" s="137"/>
      <c r="FH96" s="137"/>
      <c r="FI96" s="137"/>
      <c r="FJ96" s="137"/>
      <c r="FK96" s="137"/>
      <c r="FL96" s="137"/>
      <c r="FM96" s="137"/>
      <c r="FN96" s="137"/>
      <c r="FO96" s="137"/>
      <c r="FP96" s="137"/>
      <c r="FQ96" s="137"/>
      <c r="FR96" s="137"/>
      <c r="FS96" s="137"/>
      <c r="FT96" s="137"/>
      <c r="FU96" s="137"/>
      <c r="FV96" s="1"/>
      <c r="FW96" s="1"/>
      <c r="FX96" s="1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1"/>
      <c r="GJ96" s="1"/>
      <c r="GK96" s="1"/>
      <c r="GL96" s="1"/>
      <c r="GM96" s="1"/>
      <c r="GN96" s="1"/>
      <c r="GO96" s="1"/>
      <c r="GP96" s="1"/>
      <c r="GR96" s="16"/>
      <c r="GS96" s="73"/>
      <c r="GT96" s="73"/>
      <c r="GU96" s="73"/>
      <c r="GV96" s="68"/>
      <c r="GW96" s="1"/>
      <c r="GX96" s="58"/>
      <c r="GY96" s="16"/>
      <c r="GZ96" s="2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6"/>
      <c r="HM96" s="27"/>
      <c r="HN96" s="27"/>
      <c r="HO96" s="2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</row>
    <row r="97" spans="2:249" ht="23.25">
      <c r="B97" s="126" t="s">
        <v>97</v>
      </c>
      <c r="C97" s="129">
        <v>3.823129298320751</v>
      </c>
      <c r="D97" s="129" t="s">
        <v>193</v>
      </c>
      <c r="E97" s="129">
        <v>6.2105573550824849</v>
      </c>
      <c r="F97" s="129" t="s">
        <v>193</v>
      </c>
      <c r="G97" s="129">
        <v>4.0586430158603664</v>
      </c>
      <c r="H97" s="129" t="s">
        <v>193</v>
      </c>
      <c r="I97" s="129">
        <v>6.0085172980392274</v>
      </c>
      <c r="J97" s="129" t="s">
        <v>193</v>
      </c>
      <c r="K97" s="129">
        <v>7.0206393378327077</v>
      </c>
      <c r="L97" s="129" t="s">
        <v>193</v>
      </c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  <c r="CC97" s="137"/>
      <c r="CD97" s="137"/>
      <c r="CE97" s="137"/>
      <c r="CF97" s="137"/>
      <c r="CG97" s="137"/>
      <c r="CH97" s="137"/>
      <c r="CI97" s="137"/>
      <c r="CJ97" s="137"/>
      <c r="CK97" s="137"/>
      <c r="CL97" s="137"/>
      <c r="CM97" s="137"/>
      <c r="CN97" s="137"/>
      <c r="CO97" s="137"/>
      <c r="CP97" s="137"/>
      <c r="CQ97" s="137"/>
      <c r="CR97" s="137"/>
      <c r="CS97" s="137"/>
      <c r="CT97" s="137"/>
      <c r="CU97" s="137"/>
      <c r="CV97" s="137"/>
      <c r="CW97" s="137"/>
      <c r="CX97" s="137"/>
      <c r="CY97" s="137"/>
      <c r="CZ97" s="137"/>
      <c r="DA97" s="137"/>
      <c r="DB97" s="137"/>
      <c r="DC97" s="137"/>
      <c r="DD97" s="137"/>
      <c r="DE97" s="137"/>
      <c r="DF97" s="137"/>
      <c r="DG97" s="137"/>
      <c r="DH97" s="137"/>
      <c r="DI97" s="137"/>
      <c r="DJ97" s="137"/>
      <c r="DK97" s="137"/>
      <c r="DL97" s="137"/>
      <c r="DM97" s="137"/>
      <c r="DN97" s="137"/>
      <c r="DO97" s="137"/>
      <c r="DP97" s="137"/>
      <c r="DQ97" s="137"/>
      <c r="DR97" s="137"/>
      <c r="DS97" s="137"/>
      <c r="DT97" s="137"/>
      <c r="DU97" s="137"/>
      <c r="DV97" s="137"/>
      <c r="DW97" s="137"/>
      <c r="DX97" s="137"/>
      <c r="DY97" s="137"/>
      <c r="DZ97" s="137"/>
      <c r="EA97" s="137"/>
      <c r="EB97" s="137"/>
      <c r="EC97" s="137"/>
      <c r="ED97" s="137"/>
      <c r="EE97" s="137"/>
      <c r="EF97" s="137"/>
      <c r="EG97" s="137"/>
      <c r="EH97" s="137"/>
      <c r="EI97" s="137"/>
      <c r="EJ97" s="137"/>
      <c r="EK97" s="137"/>
      <c r="EL97" s="137"/>
      <c r="EM97" s="137"/>
      <c r="EN97" s="137"/>
      <c r="EO97" s="137"/>
      <c r="EP97" s="137"/>
      <c r="EQ97" s="137"/>
      <c r="ER97" s="137"/>
      <c r="ES97" s="137"/>
      <c r="ET97" s="137"/>
      <c r="EU97" s="137"/>
      <c r="EV97" s="137"/>
      <c r="EW97" s="137"/>
      <c r="EX97" s="137"/>
      <c r="EY97" s="137"/>
      <c r="EZ97" s="137"/>
      <c r="FA97" s="137"/>
      <c r="FB97" s="137"/>
      <c r="FC97" s="137"/>
      <c r="FD97" s="137"/>
      <c r="FE97" s="137"/>
      <c r="FF97" s="137"/>
      <c r="FG97" s="137"/>
      <c r="FH97" s="137"/>
      <c r="FI97" s="137"/>
      <c r="FJ97" s="137"/>
      <c r="FK97" s="137"/>
      <c r="FL97" s="137"/>
      <c r="FM97" s="137"/>
      <c r="FN97" s="137"/>
      <c r="FO97" s="137"/>
      <c r="FP97" s="137"/>
      <c r="FQ97" s="137"/>
      <c r="FR97" s="137"/>
      <c r="FS97" s="137"/>
      <c r="FT97" s="137"/>
      <c r="FU97" s="137"/>
      <c r="FV97" s="1"/>
      <c r="FW97" s="1"/>
      <c r="FX97" s="1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1"/>
      <c r="GJ97" s="1"/>
      <c r="GK97" s="1"/>
      <c r="GL97" s="1"/>
      <c r="GM97" s="1"/>
      <c r="GN97" s="1"/>
      <c r="GO97" s="1"/>
      <c r="GP97" s="1"/>
      <c r="GR97" s="16"/>
      <c r="GS97" s="73"/>
      <c r="GT97" s="73"/>
      <c r="GU97" s="73"/>
      <c r="GV97" s="68"/>
      <c r="GW97" s="1"/>
      <c r="GX97" s="58"/>
      <c r="GY97" s="16"/>
      <c r="GZ97" s="2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6"/>
      <c r="HM97" s="27"/>
      <c r="HN97" s="27"/>
      <c r="HO97" s="2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</row>
    <row r="98" spans="2:249" ht="23.25">
      <c r="B98" s="127" t="s">
        <v>98</v>
      </c>
      <c r="C98" s="128">
        <v>3.6319728334047134</v>
      </c>
      <c r="D98" s="128" t="s">
        <v>193</v>
      </c>
      <c r="E98" s="128">
        <v>5.7137127666758865</v>
      </c>
      <c r="F98" s="128" t="s">
        <v>193</v>
      </c>
      <c r="G98" s="128">
        <v>3.9368837253845559</v>
      </c>
      <c r="H98" s="128" t="s">
        <v>193</v>
      </c>
      <c r="I98" s="128">
        <v>5.5076655682353044</v>
      </c>
      <c r="J98" s="128" t="s">
        <v>193</v>
      </c>
      <c r="K98" s="128">
        <v>6.8100201576977257</v>
      </c>
      <c r="L98" s="128" t="s">
        <v>193</v>
      </c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  <c r="CC98" s="137"/>
      <c r="CD98" s="137"/>
      <c r="CE98" s="137"/>
      <c r="CF98" s="137"/>
      <c r="CG98" s="137"/>
      <c r="CH98" s="137"/>
      <c r="CI98" s="137"/>
      <c r="CJ98" s="137"/>
      <c r="CK98" s="137"/>
      <c r="CL98" s="137"/>
      <c r="CM98" s="137"/>
      <c r="CN98" s="137"/>
      <c r="CO98" s="137"/>
      <c r="CP98" s="137"/>
      <c r="CQ98" s="137"/>
      <c r="CR98" s="137"/>
      <c r="CS98" s="137"/>
      <c r="CT98" s="137"/>
      <c r="CU98" s="137"/>
      <c r="CV98" s="137"/>
      <c r="CW98" s="137"/>
      <c r="CX98" s="137"/>
      <c r="CY98" s="137"/>
      <c r="CZ98" s="137"/>
      <c r="DA98" s="137"/>
      <c r="DB98" s="137"/>
      <c r="DC98" s="137"/>
      <c r="DD98" s="137"/>
      <c r="DE98" s="137"/>
      <c r="DF98" s="137"/>
      <c r="DG98" s="137"/>
      <c r="DH98" s="137"/>
      <c r="DI98" s="137"/>
      <c r="DJ98" s="137"/>
      <c r="DK98" s="137"/>
      <c r="DL98" s="137"/>
      <c r="DM98" s="137"/>
      <c r="DN98" s="137"/>
      <c r="DO98" s="137"/>
      <c r="DP98" s="137"/>
      <c r="DQ98" s="137"/>
      <c r="DR98" s="137"/>
      <c r="DS98" s="137"/>
      <c r="DT98" s="137"/>
      <c r="DU98" s="137"/>
      <c r="DV98" s="137"/>
      <c r="DW98" s="137"/>
      <c r="DX98" s="137"/>
      <c r="DY98" s="137"/>
      <c r="DZ98" s="137"/>
      <c r="EA98" s="137"/>
      <c r="EB98" s="137"/>
      <c r="EC98" s="137"/>
      <c r="ED98" s="137"/>
      <c r="EE98" s="137"/>
      <c r="EF98" s="137"/>
      <c r="EG98" s="137"/>
      <c r="EH98" s="137"/>
      <c r="EI98" s="137"/>
      <c r="EJ98" s="137"/>
      <c r="EK98" s="137"/>
      <c r="EL98" s="137"/>
      <c r="EM98" s="137"/>
      <c r="EN98" s="137"/>
      <c r="EO98" s="137"/>
      <c r="EP98" s="137"/>
      <c r="EQ98" s="137"/>
      <c r="ER98" s="137"/>
      <c r="ES98" s="137"/>
      <c r="ET98" s="137"/>
      <c r="EU98" s="137"/>
      <c r="EV98" s="137"/>
      <c r="EW98" s="137"/>
      <c r="EX98" s="137"/>
      <c r="EY98" s="137"/>
      <c r="EZ98" s="137"/>
      <c r="FA98" s="137"/>
      <c r="FB98" s="137"/>
      <c r="FC98" s="137"/>
      <c r="FD98" s="137"/>
      <c r="FE98" s="137"/>
      <c r="FF98" s="137"/>
      <c r="FG98" s="137"/>
      <c r="FH98" s="137"/>
      <c r="FI98" s="137"/>
      <c r="FJ98" s="137"/>
      <c r="FK98" s="137"/>
      <c r="FL98" s="137"/>
      <c r="FM98" s="137"/>
      <c r="FN98" s="137"/>
      <c r="FO98" s="137"/>
      <c r="FP98" s="137"/>
      <c r="FQ98" s="137"/>
      <c r="FR98" s="137"/>
      <c r="FS98" s="137"/>
      <c r="FT98" s="137"/>
      <c r="FU98" s="137"/>
      <c r="FV98" s="1"/>
      <c r="FW98" s="1"/>
      <c r="FX98" s="1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1"/>
      <c r="GJ98" s="1"/>
      <c r="GK98" s="1"/>
      <c r="GL98" s="1"/>
      <c r="GM98" s="1"/>
      <c r="GN98" s="1"/>
      <c r="GO98" s="1"/>
      <c r="GP98" s="1"/>
      <c r="GR98" s="16"/>
      <c r="GS98" s="73"/>
      <c r="GT98" s="73"/>
      <c r="GU98" s="73"/>
      <c r="GV98" s="68"/>
      <c r="GW98" s="1"/>
      <c r="GX98" s="58"/>
      <c r="GY98" s="16"/>
      <c r="GZ98" s="2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6"/>
      <c r="HM98" s="27"/>
      <c r="HN98" s="27"/>
      <c r="HO98" s="2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</row>
    <row r="99" spans="2:249">
      <c r="B99" s="126" t="s">
        <v>99</v>
      </c>
      <c r="C99" s="129">
        <v>168.88673675331916</v>
      </c>
      <c r="D99" s="129" t="s">
        <v>4</v>
      </c>
      <c r="E99" s="129">
        <v>265.68764365042875</v>
      </c>
      <c r="F99" s="129" t="s">
        <v>4</v>
      </c>
      <c r="G99" s="129">
        <v>179.12820950499727</v>
      </c>
      <c r="H99" s="129" t="s">
        <v>4</v>
      </c>
      <c r="I99" s="129">
        <v>212.8602817070593</v>
      </c>
      <c r="J99" s="129" t="s">
        <v>4</v>
      </c>
      <c r="K99" s="129">
        <v>320.07094741179316</v>
      </c>
      <c r="L99" s="129" t="s">
        <v>4</v>
      </c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  <c r="CC99" s="137"/>
      <c r="CD99" s="137"/>
      <c r="CE99" s="137"/>
      <c r="CF99" s="137"/>
      <c r="CG99" s="137"/>
      <c r="CH99" s="137"/>
      <c r="CI99" s="137"/>
      <c r="CJ99" s="137"/>
      <c r="CK99" s="137"/>
      <c r="CL99" s="137"/>
      <c r="CM99" s="137"/>
      <c r="CN99" s="137"/>
      <c r="CO99" s="137"/>
      <c r="CP99" s="137"/>
      <c r="CQ99" s="137"/>
      <c r="CR99" s="137"/>
      <c r="CS99" s="137"/>
      <c r="CT99" s="137"/>
      <c r="CU99" s="137"/>
      <c r="CV99" s="137"/>
      <c r="CW99" s="137"/>
      <c r="CX99" s="137"/>
      <c r="CY99" s="137"/>
      <c r="CZ99" s="137"/>
      <c r="DA99" s="137"/>
      <c r="DB99" s="137"/>
      <c r="DC99" s="137"/>
      <c r="DD99" s="137"/>
      <c r="DE99" s="137"/>
      <c r="DF99" s="137"/>
      <c r="DG99" s="137"/>
      <c r="DH99" s="137"/>
      <c r="DI99" s="137"/>
      <c r="DJ99" s="137"/>
      <c r="DK99" s="137"/>
      <c r="DL99" s="137"/>
      <c r="DM99" s="137"/>
      <c r="DN99" s="137"/>
      <c r="DO99" s="137"/>
      <c r="DP99" s="137"/>
      <c r="DQ99" s="137"/>
      <c r="DR99" s="137"/>
      <c r="DS99" s="137"/>
      <c r="DT99" s="137"/>
      <c r="DU99" s="137"/>
      <c r="DV99" s="137"/>
      <c r="DW99" s="137"/>
      <c r="DX99" s="137"/>
      <c r="DY99" s="137"/>
      <c r="DZ99" s="137"/>
      <c r="EA99" s="137"/>
      <c r="EB99" s="137"/>
      <c r="EC99" s="137"/>
      <c r="ED99" s="137"/>
      <c r="EE99" s="137"/>
      <c r="EF99" s="137"/>
      <c r="EG99" s="137"/>
      <c r="EH99" s="137"/>
      <c r="EI99" s="137"/>
      <c r="EJ99" s="137"/>
      <c r="EK99" s="137"/>
      <c r="EL99" s="137"/>
      <c r="EM99" s="137"/>
      <c r="EN99" s="137"/>
      <c r="EO99" s="137"/>
      <c r="EP99" s="137"/>
      <c r="EQ99" s="137"/>
      <c r="ER99" s="137"/>
      <c r="ES99" s="137"/>
      <c r="ET99" s="137"/>
      <c r="EU99" s="137"/>
      <c r="EV99" s="137"/>
      <c r="EW99" s="137"/>
      <c r="EX99" s="137"/>
      <c r="EY99" s="137"/>
      <c r="EZ99" s="137"/>
      <c r="FA99" s="137"/>
      <c r="FB99" s="137"/>
      <c r="FC99" s="137"/>
      <c r="FD99" s="137"/>
      <c r="FE99" s="137"/>
      <c r="FF99" s="137"/>
      <c r="FG99" s="137"/>
      <c r="FH99" s="137"/>
      <c r="FI99" s="137"/>
      <c r="FJ99" s="137"/>
      <c r="FK99" s="137"/>
      <c r="FL99" s="137"/>
      <c r="FM99" s="137"/>
      <c r="FN99" s="137"/>
      <c r="FO99" s="137"/>
      <c r="FP99" s="137"/>
      <c r="FQ99" s="137"/>
      <c r="FR99" s="137"/>
      <c r="FS99" s="137"/>
      <c r="FT99" s="137"/>
      <c r="FU99" s="137"/>
      <c r="FV99" s="1"/>
      <c r="FW99" s="1"/>
      <c r="FX99" s="1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1"/>
      <c r="GJ99" s="1"/>
      <c r="GK99" s="1"/>
      <c r="GL99" s="1"/>
      <c r="GM99" s="1"/>
      <c r="GN99" s="1"/>
      <c r="GO99" s="1"/>
      <c r="GP99" s="1"/>
      <c r="GR99" s="16"/>
      <c r="GS99" s="73"/>
      <c r="GT99" s="73"/>
      <c r="GU99" s="73"/>
      <c r="GV99" s="68"/>
      <c r="GW99" s="1"/>
      <c r="GX99" s="58"/>
      <c r="GY99" s="16"/>
      <c r="GZ99" s="2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6"/>
      <c r="HM99" s="27"/>
      <c r="HN99" s="27"/>
      <c r="HO99" s="2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</row>
    <row r="100" spans="2:249" ht="23.25">
      <c r="B100" s="127" t="s">
        <v>100</v>
      </c>
      <c r="C100" s="128">
        <v>3.1412933036117363</v>
      </c>
      <c r="D100" s="128" t="s">
        <v>193</v>
      </c>
      <c r="E100" s="128">
        <v>5.1543402868183179</v>
      </c>
      <c r="F100" s="128" t="s">
        <v>193</v>
      </c>
      <c r="G100" s="128">
        <v>3.2243077710899506</v>
      </c>
      <c r="H100" s="128" t="s">
        <v>193</v>
      </c>
      <c r="I100" s="128">
        <v>4.8134850707270678</v>
      </c>
      <c r="J100" s="128" t="s">
        <v>193</v>
      </c>
      <c r="K100" s="128">
        <v>6.2093763797887869</v>
      </c>
      <c r="L100" s="128" t="s">
        <v>193</v>
      </c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  <c r="CC100" s="137"/>
      <c r="CD100" s="137"/>
      <c r="CE100" s="137"/>
      <c r="CF100" s="137"/>
      <c r="CG100" s="137"/>
      <c r="CH100" s="137"/>
      <c r="CI100" s="137"/>
      <c r="CJ100" s="137"/>
      <c r="CK100" s="137"/>
      <c r="CL100" s="137"/>
      <c r="CM100" s="137"/>
      <c r="CN100" s="137"/>
      <c r="CO100" s="137"/>
      <c r="CP100" s="137"/>
      <c r="CQ100" s="137"/>
      <c r="CR100" s="137"/>
      <c r="CS100" s="137"/>
      <c r="CT100" s="137"/>
      <c r="CU100" s="137"/>
      <c r="CV100" s="137"/>
      <c r="CW100" s="137"/>
      <c r="CX100" s="137"/>
      <c r="CY100" s="137"/>
      <c r="CZ100" s="137"/>
      <c r="DA100" s="137"/>
      <c r="DB100" s="137"/>
      <c r="DC100" s="137"/>
      <c r="DD100" s="137"/>
      <c r="DE100" s="137"/>
      <c r="DF100" s="137"/>
      <c r="DG100" s="137"/>
      <c r="DH100" s="137"/>
      <c r="DI100" s="137"/>
      <c r="DJ100" s="137"/>
      <c r="DK100" s="137"/>
      <c r="DL100" s="137"/>
      <c r="DM100" s="137"/>
      <c r="DN100" s="137"/>
      <c r="DO100" s="137"/>
      <c r="DP100" s="137"/>
      <c r="DQ100" s="137"/>
      <c r="DR100" s="137"/>
      <c r="DS100" s="137"/>
      <c r="DT100" s="137"/>
      <c r="DU100" s="137"/>
      <c r="DV100" s="137"/>
      <c r="DW100" s="137"/>
      <c r="DX100" s="137"/>
      <c r="DY100" s="137"/>
      <c r="DZ100" s="137"/>
      <c r="EA100" s="137"/>
      <c r="EB100" s="137"/>
      <c r="EC100" s="137"/>
      <c r="ED100" s="137"/>
      <c r="EE100" s="137"/>
      <c r="EF100" s="137"/>
      <c r="EG100" s="137"/>
      <c r="EH100" s="137"/>
      <c r="EI100" s="137"/>
      <c r="EJ100" s="137"/>
      <c r="EK100" s="137"/>
      <c r="EL100" s="137"/>
      <c r="EM100" s="137"/>
      <c r="EN100" s="137"/>
      <c r="EO100" s="137"/>
      <c r="EP100" s="137"/>
      <c r="EQ100" s="137"/>
      <c r="ER100" s="137"/>
      <c r="ES100" s="137"/>
      <c r="ET100" s="137"/>
      <c r="EU100" s="137"/>
      <c r="EV100" s="137"/>
      <c r="EW100" s="137"/>
      <c r="EX100" s="137"/>
      <c r="EY100" s="137"/>
      <c r="EZ100" s="137"/>
      <c r="FA100" s="137"/>
      <c r="FB100" s="137"/>
      <c r="FC100" s="137"/>
      <c r="FD100" s="137"/>
      <c r="FE100" s="137"/>
      <c r="FF100" s="137"/>
      <c r="FG100" s="137"/>
      <c r="FH100" s="137"/>
      <c r="FI100" s="137"/>
      <c r="FJ100" s="137"/>
      <c r="FK100" s="137"/>
      <c r="FL100" s="137"/>
      <c r="FM100" s="137"/>
      <c r="FN100" s="137"/>
      <c r="FO100" s="137"/>
      <c r="FP100" s="137"/>
      <c r="FQ100" s="137"/>
      <c r="FR100" s="137"/>
      <c r="FS100" s="137"/>
      <c r="FT100" s="137"/>
      <c r="FU100" s="137"/>
      <c r="FV100" s="1"/>
      <c r="FW100" s="1"/>
      <c r="FX100" s="1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1"/>
      <c r="GJ100" s="1"/>
      <c r="GK100" s="1"/>
      <c r="GL100" s="1"/>
      <c r="GM100" s="1"/>
      <c r="GN100" s="1"/>
      <c r="GO100" s="1"/>
      <c r="GP100" s="1"/>
      <c r="GR100" s="16"/>
      <c r="GS100" s="73"/>
      <c r="GT100" s="73"/>
      <c r="GU100" s="73"/>
      <c r="GV100" s="68"/>
      <c r="GW100" s="1"/>
      <c r="GX100" s="58"/>
      <c r="GY100" s="16"/>
      <c r="GZ100" s="27"/>
      <c r="HA100" s="52"/>
      <c r="HB100" s="52"/>
      <c r="HC100" s="52"/>
      <c r="HD100" s="52"/>
      <c r="HE100" s="52"/>
      <c r="HF100" s="52"/>
      <c r="HG100" s="52"/>
      <c r="HH100" s="52"/>
      <c r="HI100" s="52"/>
      <c r="HJ100" s="52"/>
      <c r="HK100" s="52"/>
      <c r="HL100" s="16"/>
      <c r="HM100" s="27"/>
      <c r="HN100" s="27"/>
      <c r="HO100" s="27"/>
      <c r="HP100" s="17"/>
      <c r="HQ100" s="17"/>
      <c r="HR100" s="17"/>
      <c r="HS100" s="17"/>
      <c r="HT100" s="17"/>
      <c r="HU100" s="17"/>
      <c r="HV100" s="17"/>
      <c r="HW100" s="17"/>
      <c r="HX100" s="17"/>
      <c r="HY100" s="17"/>
      <c r="HZ100" s="17"/>
      <c r="IA100" s="16"/>
      <c r="IB100" s="17"/>
      <c r="IC100" s="17"/>
      <c r="ID100" s="17"/>
      <c r="IE100" s="17"/>
      <c r="IF100" s="17"/>
      <c r="IG100" s="17"/>
      <c r="IH100" s="17"/>
      <c r="II100" s="17"/>
      <c r="IJ100" s="17"/>
      <c r="IK100" s="17"/>
      <c r="IL100" s="17"/>
      <c r="IM100" s="17"/>
      <c r="IN100" s="17"/>
      <c r="IO100" s="17"/>
    </row>
    <row r="101" spans="2:249" ht="23.25">
      <c r="B101" s="126" t="s">
        <v>101</v>
      </c>
      <c r="C101" s="129">
        <v>2.9528157053950319</v>
      </c>
      <c r="D101" s="129" t="s">
        <v>193</v>
      </c>
      <c r="E101" s="129">
        <v>4.6904496610046698</v>
      </c>
      <c r="F101" s="129" t="s">
        <v>193</v>
      </c>
      <c r="G101" s="129">
        <v>3.095335460246353</v>
      </c>
      <c r="H101" s="129" t="s">
        <v>193</v>
      </c>
      <c r="I101" s="129">
        <v>4.6228108171907145</v>
      </c>
      <c r="J101" s="129" t="s">
        <v>193</v>
      </c>
      <c r="K101" s="129">
        <v>5.8989075607993469</v>
      </c>
      <c r="L101" s="129" t="s">
        <v>193</v>
      </c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  <c r="CC101" s="137"/>
      <c r="CD101" s="137"/>
      <c r="CE101" s="137"/>
      <c r="CF101" s="137"/>
      <c r="CG101" s="137"/>
      <c r="CH101" s="137"/>
      <c r="CI101" s="137"/>
      <c r="CJ101" s="137"/>
      <c r="CK101" s="137"/>
      <c r="CL101" s="137"/>
      <c r="CM101" s="137"/>
      <c r="CN101" s="137"/>
      <c r="CO101" s="137"/>
      <c r="CP101" s="137"/>
      <c r="CQ101" s="137"/>
      <c r="CR101" s="137"/>
      <c r="CS101" s="137"/>
      <c r="CT101" s="137"/>
      <c r="CU101" s="137"/>
      <c r="CV101" s="137"/>
      <c r="CW101" s="137"/>
      <c r="CX101" s="137"/>
      <c r="CY101" s="137"/>
      <c r="CZ101" s="137"/>
      <c r="DA101" s="137"/>
      <c r="DB101" s="137"/>
      <c r="DC101" s="137"/>
      <c r="DD101" s="137"/>
      <c r="DE101" s="137"/>
      <c r="DF101" s="137"/>
      <c r="DG101" s="137"/>
      <c r="DH101" s="137"/>
      <c r="DI101" s="137"/>
      <c r="DJ101" s="137"/>
      <c r="DK101" s="137"/>
      <c r="DL101" s="137"/>
      <c r="DM101" s="137"/>
      <c r="DN101" s="137"/>
      <c r="DO101" s="137"/>
      <c r="DP101" s="137"/>
      <c r="DQ101" s="137"/>
      <c r="DR101" s="137"/>
      <c r="DS101" s="137"/>
      <c r="DT101" s="137"/>
      <c r="DU101" s="137"/>
      <c r="DV101" s="137"/>
      <c r="DW101" s="137"/>
      <c r="DX101" s="137"/>
      <c r="DY101" s="137"/>
      <c r="DZ101" s="137"/>
      <c r="EA101" s="137"/>
      <c r="EB101" s="137"/>
      <c r="EC101" s="137"/>
      <c r="ED101" s="137"/>
      <c r="EE101" s="137"/>
      <c r="EF101" s="137"/>
      <c r="EG101" s="137"/>
      <c r="EH101" s="137"/>
      <c r="EI101" s="137"/>
      <c r="EJ101" s="137"/>
      <c r="EK101" s="137"/>
      <c r="EL101" s="137"/>
      <c r="EM101" s="137"/>
      <c r="EN101" s="137"/>
      <c r="EO101" s="137"/>
      <c r="EP101" s="137"/>
      <c r="EQ101" s="137"/>
      <c r="ER101" s="137"/>
      <c r="ES101" s="137"/>
      <c r="ET101" s="137"/>
      <c r="EU101" s="137"/>
      <c r="EV101" s="137"/>
      <c r="EW101" s="137"/>
      <c r="EX101" s="137"/>
      <c r="EY101" s="137"/>
      <c r="EZ101" s="137"/>
      <c r="FA101" s="137"/>
      <c r="FB101" s="137"/>
      <c r="FC101" s="137"/>
      <c r="FD101" s="137"/>
      <c r="FE101" s="137"/>
      <c r="FF101" s="137"/>
      <c r="FG101" s="137"/>
      <c r="FH101" s="137"/>
      <c r="FI101" s="137"/>
      <c r="FJ101" s="137"/>
      <c r="FK101" s="137"/>
      <c r="FL101" s="137"/>
      <c r="FM101" s="137"/>
      <c r="FN101" s="137"/>
      <c r="FO101" s="137"/>
      <c r="FP101" s="137"/>
      <c r="FQ101" s="137"/>
      <c r="FR101" s="137"/>
      <c r="FS101" s="137"/>
      <c r="FT101" s="137"/>
      <c r="FU101" s="137"/>
      <c r="FV101" s="1"/>
      <c r="FW101" s="1"/>
      <c r="FX101" s="1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1"/>
      <c r="GJ101" s="1"/>
      <c r="GK101" s="1"/>
      <c r="GL101" s="1"/>
      <c r="GM101" s="1"/>
      <c r="GN101" s="1"/>
      <c r="GO101" s="1"/>
      <c r="GP101" s="1"/>
      <c r="GR101" s="16"/>
      <c r="GS101" s="73"/>
      <c r="GT101" s="73"/>
      <c r="GU101" s="73"/>
      <c r="GV101" s="68"/>
      <c r="GW101" s="1"/>
      <c r="GX101" s="58"/>
      <c r="GY101" s="16"/>
      <c r="GZ101" s="27"/>
      <c r="HA101" s="17"/>
      <c r="HB101" s="17"/>
      <c r="HC101" s="17"/>
      <c r="HD101" s="17"/>
      <c r="HE101" s="17"/>
      <c r="HF101" s="17"/>
      <c r="HG101" s="17"/>
      <c r="HH101" s="17"/>
      <c r="HI101" s="17"/>
      <c r="HJ101" s="17"/>
      <c r="HK101" s="17"/>
      <c r="HL101" s="16"/>
      <c r="HM101" s="27"/>
      <c r="HN101" s="27"/>
      <c r="HO101" s="27"/>
      <c r="HP101" s="17"/>
      <c r="HQ101" s="17"/>
      <c r="HR101" s="17"/>
      <c r="HS101" s="17"/>
      <c r="HT101" s="17"/>
      <c r="HU101" s="17"/>
      <c r="HV101" s="17"/>
      <c r="HW101" s="17"/>
      <c r="HX101" s="17"/>
      <c r="HY101" s="17"/>
      <c r="HZ101" s="17"/>
      <c r="IA101" s="16"/>
      <c r="IB101" s="16"/>
      <c r="IC101" s="16"/>
      <c r="ID101" s="16"/>
      <c r="IE101" s="16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</row>
    <row r="102" spans="2:249">
      <c r="B102" s="127" t="s">
        <v>102</v>
      </c>
      <c r="C102" s="128">
        <v>138.78233815356651</v>
      </c>
      <c r="D102" s="128" t="s">
        <v>4</v>
      </c>
      <c r="E102" s="128">
        <v>220.45113406721947</v>
      </c>
      <c r="F102" s="128" t="s">
        <v>4</v>
      </c>
      <c r="G102" s="128">
        <v>142.38543117133224</v>
      </c>
      <c r="H102" s="128" t="s">
        <v>4</v>
      </c>
      <c r="I102" s="128">
        <v>176.70632463374963</v>
      </c>
      <c r="J102" s="128" t="s">
        <v>4</v>
      </c>
      <c r="K102" s="128">
        <v>280.19810913796897</v>
      </c>
      <c r="L102" s="128" t="s">
        <v>4</v>
      </c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  <c r="CC102" s="137"/>
      <c r="CD102" s="137"/>
      <c r="CE102" s="137"/>
      <c r="CF102" s="137"/>
      <c r="CG102" s="137"/>
      <c r="CH102" s="137"/>
      <c r="CI102" s="137"/>
      <c r="CJ102" s="137"/>
      <c r="CK102" s="137"/>
      <c r="CL102" s="137"/>
      <c r="CM102" s="137"/>
      <c r="CN102" s="137"/>
      <c r="CO102" s="137"/>
      <c r="CP102" s="137"/>
      <c r="CQ102" s="137"/>
      <c r="CR102" s="137"/>
      <c r="CS102" s="137"/>
      <c r="CT102" s="137"/>
      <c r="CU102" s="137"/>
      <c r="CV102" s="137"/>
      <c r="CW102" s="137"/>
      <c r="CX102" s="137"/>
      <c r="CY102" s="137"/>
      <c r="CZ102" s="137"/>
      <c r="DA102" s="137"/>
      <c r="DB102" s="137"/>
      <c r="DC102" s="137"/>
      <c r="DD102" s="137"/>
      <c r="DE102" s="137"/>
      <c r="DF102" s="137"/>
      <c r="DG102" s="137"/>
      <c r="DH102" s="137"/>
      <c r="DI102" s="137"/>
      <c r="DJ102" s="137"/>
      <c r="DK102" s="137"/>
      <c r="DL102" s="137"/>
      <c r="DM102" s="137"/>
      <c r="DN102" s="137"/>
      <c r="DO102" s="137"/>
      <c r="DP102" s="137"/>
      <c r="DQ102" s="137"/>
      <c r="DR102" s="137"/>
      <c r="DS102" s="137"/>
      <c r="DT102" s="137"/>
      <c r="DU102" s="137"/>
      <c r="DV102" s="137"/>
      <c r="DW102" s="137"/>
      <c r="DX102" s="137"/>
      <c r="DY102" s="137"/>
      <c r="DZ102" s="137"/>
      <c r="EA102" s="137"/>
      <c r="EB102" s="137"/>
      <c r="EC102" s="137"/>
      <c r="ED102" s="137"/>
      <c r="EE102" s="137"/>
      <c r="EF102" s="137"/>
      <c r="EG102" s="137"/>
      <c r="EH102" s="137"/>
      <c r="EI102" s="137"/>
      <c r="EJ102" s="137"/>
      <c r="EK102" s="137"/>
      <c r="EL102" s="137"/>
      <c r="EM102" s="137"/>
      <c r="EN102" s="137"/>
      <c r="EO102" s="137"/>
      <c r="EP102" s="137"/>
      <c r="EQ102" s="137"/>
      <c r="ER102" s="137"/>
      <c r="ES102" s="137"/>
      <c r="ET102" s="137"/>
      <c r="EU102" s="137"/>
      <c r="EV102" s="137"/>
      <c r="EW102" s="137"/>
      <c r="EX102" s="137"/>
      <c r="EY102" s="137"/>
      <c r="EZ102" s="137"/>
      <c r="FA102" s="137"/>
      <c r="FB102" s="137"/>
      <c r="FC102" s="137"/>
      <c r="FD102" s="137"/>
      <c r="FE102" s="137"/>
      <c r="FF102" s="137"/>
      <c r="FG102" s="137"/>
      <c r="FH102" s="137"/>
      <c r="FI102" s="137"/>
      <c r="FJ102" s="137"/>
      <c r="FK102" s="137"/>
      <c r="FL102" s="137"/>
      <c r="FM102" s="137"/>
      <c r="FN102" s="137"/>
      <c r="FO102" s="137"/>
      <c r="FP102" s="137"/>
      <c r="FQ102" s="137"/>
      <c r="FR102" s="137"/>
      <c r="FS102" s="137"/>
      <c r="FT102" s="137"/>
      <c r="FU102" s="137"/>
      <c r="FV102" s="1"/>
      <c r="FW102" s="1"/>
      <c r="FX102" s="1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1"/>
      <c r="GJ102" s="1"/>
      <c r="GK102" s="1"/>
      <c r="GL102" s="1"/>
      <c r="GM102" s="1"/>
      <c r="GN102" s="1"/>
      <c r="GO102" s="1"/>
      <c r="GP102" s="1"/>
      <c r="GR102" s="16"/>
      <c r="GS102" s="73"/>
      <c r="GT102" s="73"/>
      <c r="GU102" s="79"/>
      <c r="GV102" s="67"/>
      <c r="GW102" s="1"/>
      <c r="GX102" s="60"/>
      <c r="GY102" s="23"/>
      <c r="GZ102" s="26"/>
      <c r="HA102" s="25"/>
      <c r="HB102" s="25"/>
      <c r="HC102" s="25"/>
      <c r="HD102" s="25"/>
      <c r="HE102" s="25"/>
      <c r="HF102" s="25"/>
      <c r="HG102" s="25"/>
      <c r="HH102" s="25"/>
      <c r="HI102" s="25"/>
      <c r="HJ102" s="25"/>
      <c r="HK102" s="25"/>
      <c r="HL102" s="16"/>
      <c r="HM102" s="26"/>
      <c r="HN102" s="26"/>
      <c r="HO102" s="26"/>
      <c r="HP102" s="25"/>
      <c r="HQ102" s="25"/>
      <c r="HR102" s="25"/>
      <c r="HS102" s="25"/>
      <c r="HT102" s="25"/>
      <c r="HU102" s="25"/>
      <c r="HV102" s="25"/>
      <c r="HW102" s="25"/>
      <c r="HX102" s="25"/>
      <c r="HY102" s="25"/>
      <c r="HZ102" s="25"/>
      <c r="IA102" s="16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</row>
    <row r="103" spans="2:249" ht="23.25">
      <c r="B103" s="126" t="s">
        <v>103</v>
      </c>
      <c r="C103" s="129">
        <v>2.5535950220256241</v>
      </c>
      <c r="D103" s="129" t="s">
        <v>193</v>
      </c>
      <c r="E103" s="129">
        <v>4.2326617740906132</v>
      </c>
      <c r="F103" s="129" t="s">
        <v>193</v>
      </c>
      <c r="G103" s="129">
        <v>2.5914148473182466</v>
      </c>
      <c r="H103" s="129" t="s">
        <v>193</v>
      </c>
      <c r="I103" s="129">
        <v>4.3032789031144931</v>
      </c>
      <c r="J103" s="129" t="s">
        <v>193</v>
      </c>
      <c r="K103" s="129">
        <v>5.0435659644834416</v>
      </c>
      <c r="L103" s="129" t="s">
        <v>193</v>
      </c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  <c r="BZ103" s="137"/>
      <c r="CA103" s="137"/>
      <c r="CB103" s="137"/>
      <c r="CC103" s="137"/>
      <c r="CD103" s="137"/>
      <c r="CE103" s="137"/>
      <c r="CF103" s="137"/>
      <c r="CG103" s="137"/>
      <c r="CH103" s="137"/>
      <c r="CI103" s="137"/>
      <c r="CJ103" s="137"/>
      <c r="CK103" s="137"/>
      <c r="CL103" s="137"/>
      <c r="CM103" s="137"/>
      <c r="CN103" s="137"/>
      <c r="CO103" s="137"/>
      <c r="CP103" s="137"/>
      <c r="CQ103" s="137"/>
      <c r="CR103" s="137"/>
      <c r="CS103" s="137"/>
      <c r="CT103" s="137"/>
      <c r="CU103" s="137"/>
      <c r="CV103" s="137"/>
      <c r="CW103" s="137"/>
      <c r="CX103" s="137"/>
      <c r="CY103" s="137"/>
      <c r="CZ103" s="137"/>
      <c r="DA103" s="137"/>
      <c r="DB103" s="137"/>
      <c r="DC103" s="137"/>
      <c r="DD103" s="137"/>
      <c r="DE103" s="137"/>
      <c r="DF103" s="137"/>
      <c r="DG103" s="137"/>
      <c r="DH103" s="137"/>
      <c r="DI103" s="137"/>
      <c r="DJ103" s="137"/>
      <c r="DK103" s="137"/>
      <c r="DL103" s="137"/>
      <c r="DM103" s="137"/>
      <c r="DN103" s="137"/>
      <c r="DO103" s="137"/>
      <c r="DP103" s="137"/>
      <c r="DQ103" s="137"/>
      <c r="DR103" s="137"/>
      <c r="DS103" s="137"/>
      <c r="DT103" s="137"/>
      <c r="DU103" s="137"/>
      <c r="DV103" s="137"/>
      <c r="DW103" s="137"/>
      <c r="DX103" s="137"/>
      <c r="DY103" s="137"/>
      <c r="DZ103" s="137"/>
      <c r="EA103" s="137"/>
      <c r="EB103" s="137"/>
      <c r="EC103" s="137"/>
      <c r="ED103" s="137"/>
      <c r="EE103" s="137"/>
      <c r="EF103" s="137"/>
      <c r="EG103" s="137"/>
      <c r="EH103" s="137"/>
      <c r="EI103" s="137"/>
      <c r="EJ103" s="137"/>
      <c r="EK103" s="137"/>
      <c r="EL103" s="137"/>
      <c r="EM103" s="137"/>
      <c r="EN103" s="137"/>
      <c r="EO103" s="137"/>
      <c r="EP103" s="137"/>
      <c r="EQ103" s="137"/>
      <c r="ER103" s="137"/>
      <c r="ES103" s="137"/>
      <c r="ET103" s="137"/>
      <c r="EU103" s="137"/>
      <c r="EV103" s="137"/>
      <c r="EW103" s="137"/>
      <c r="EX103" s="137"/>
      <c r="EY103" s="137"/>
      <c r="EZ103" s="137"/>
      <c r="FA103" s="137"/>
      <c r="FB103" s="137"/>
      <c r="FC103" s="137"/>
      <c r="FD103" s="137"/>
      <c r="FE103" s="137"/>
      <c r="FF103" s="137"/>
      <c r="FG103" s="137"/>
      <c r="FH103" s="137"/>
      <c r="FI103" s="137"/>
      <c r="FJ103" s="137"/>
      <c r="FK103" s="137"/>
      <c r="FL103" s="137"/>
      <c r="FM103" s="137"/>
      <c r="FN103" s="137"/>
      <c r="FO103" s="137"/>
      <c r="FP103" s="137"/>
      <c r="FQ103" s="137"/>
      <c r="FR103" s="137"/>
      <c r="FS103" s="137"/>
      <c r="FT103" s="137"/>
      <c r="FU103" s="137"/>
      <c r="FV103" s="1"/>
      <c r="FW103" s="1"/>
      <c r="FX103" s="1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1"/>
      <c r="GJ103" s="1"/>
      <c r="GK103" s="1"/>
      <c r="GL103" s="1"/>
      <c r="GM103" s="1"/>
      <c r="GN103" s="1"/>
      <c r="GO103" s="1"/>
      <c r="GP103" s="1"/>
      <c r="GR103" s="16"/>
      <c r="GS103" s="73"/>
      <c r="GT103" s="98"/>
      <c r="GU103" s="79"/>
      <c r="GV103" s="67"/>
      <c r="GW103" s="1"/>
      <c r="GX103" s="60"/>
      <c r="GY103" s="23"/>
      <c r="GZ103" s="26"/>
      <c r="HA103" s="25"/>
      <c r="HB103" s="25"/>
      <c r="HC103" s="25"/>
      <c r="HD103" s="25"/>
      <c r="HE103" s="25"/>
      <c r="HF103" s="25"/>
      <c r="HG103" s="25"/>
      <c r="HH103" s="25"/>
      <c r="HI103" s="25"/>
      <c r="HJ103" s="25"/>
      <c r="HK103" s="25"/>
      <c r="HL103" s="16"/>
      <c r="HM103" s="26"/>
      <c r="HN103" s="26"/>
      <c r="HO103" s="26"/>
      <c r="HP103" s="25"/>
      <c r="HQ103" s="25"/>
      <c r="HR103" s="25"/>
      <c r="HS103" s="25"/>
      <c r="HT103" s="25"/>
      <c r="HU103" s="25"/>
      <c r="HV103" s="25"/>
      <c r="HW103" s="25"/>
      <c r="HX103" s="25"/>
      <c r="HY103" s="25"/>
      <c r="HZ103" s="25"/>
      <c r="IA103" s="16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</row>
    <row r="104" spans="2:249" ht="24" thickBot="1">
      <c r="B104" s="127" t="s">
        <v>104</v>
      </c>
      <c r="C104" s="128">
        <v>2.4003793207040864</v>
      </c>
      <c r="D104" s="128" t="s">
        <v>193</v>
      </c>
      <c r="E104" s="128">
        <v>4.1056819208678954</v>
      </c>
      <c r="F104" s="128" t="s">
        <v>193</v>
      </c>
      <c r="G104" s="128">
        <v>2.4618441049523345</v>
      </c>
      <c r="H104" s="128" t="s">
        <v>193</v>
      </c>
      <c r="I104" s="128">
        <v>4.1381149579587682</v>
      </c>
      <c r="J104" s="128" t="s">
        <v>193</v>
      </c>
      <c r="K104" s="128">
        <v>4.8922589855489376</v>
      </c>
      <c r="L104" s="128" t="s">
        <v>193</v>
      </c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  <c r="CC104" s="137"/>
      <c r="CD104" s="137"/>
      <c r="CE104" s="137"/>
      <c r="CF104" s="137"/>
      <c r="CG104" s="137"/>
      <c r="CH104" s="137"/>
      <c r="CI104" s="137"/>
      <c r="CJ104" s="137"/>
      <c r="CK104" s="137"/>
      <c r="CL104" s="137"/>
      <c r="CM104" s="137"/>
      <c r="CN104" s="137"/>
      <c r="CO104" s="137"/>
      <c r="CP104" s="137"/>
      <c r="CQ104" s="137"/>
      <c r="CR104" s="137"/>
      <c r="CS104" s="137"/>
      <c r="CT104" s="137"/>
      <c r="CU104" s="137"/>
      <c r="CV104" s="137"/>
      <c r="CW104" s="137"/>
      <c r="CX104" s="137"/>
      <c r="CY104" s="137"/>
      <c r="CZ104" s="137"/>
      <c r="DA104" s="137"/>
      <c r="DB104" s="137"/>
      <c r="DC104" s="137"/>
      <c r="DD104" s="137"/>
      <c r="DE104" s="137"/>
      <c r="DF104" s="137"/>
      <c r="DG104" s="137"/>
      <c r="DH104" s="137"/>
      <c r="DI104" s="137"/>
      <c r="DJ104" s="137"/>
      <c r="DK104" s="137"/>
      <c r="DL104" s="137"/>
      <c r="DM104" s="137"/>
      <c r="DN104" s="137"/>
      <c r="DO104" s="137"/>
      <c r="DP104" s="137"/>
      <c r="DQ104" s="137"/>
      <c r="DR104" s="137"/>
      <c r="DS104" s="137"/>
      <c r="DT104" s="137"/>
      <c r="DU104" s="137"/>
      <c r="DV104" s="137"/>
      <c r="DW104" s="137"/>
      <c r="DX104" s="137"/>
      <c r="DY104" s="137"/>
      <c r="DZ104" s="137"/>
      <c r="EA104" s="137"/>
      <c r="EB104" s="137"/>
      <c r="EC104" s="137"/>
      <c r="ED104" s="137"/>
      <c r="EE104" s="137"/>
      <c r="EF104" s="137"/>
      <c r="EG104" s="137"/>
      <c r="EH104" s="137"/>
      <c r="EI104" s="137"/>
      <c r="EJ104" s="137"/>
      <c r="EK104" s="137"/>
      <c r="EL104" s="137"/>
      <c r="EM104" s="137"/>
      <c r="EN104" s="137"/>
      <c r="EO104" s="137"/>
      <c r="EP104" s="137"/>
      <c r="EQ104" s="137"/>
      <c r="ER104" s="137"/>
      <c r="ES104" s="137"/>
      <c r="ET104" s="137"/>
      <c r="EU104" s="137"/>
      <c r="EV104" s="137"/>
      <c r="EW104" s="137"/>
      <c r="EX104" s="137"/>
      <c r="EY104" s="137"/>
      <c r="EZ104" s="137"/>
      <c r="FA104" s="137"/>
      <c r="FB104" s="137"/>
      <c r="FC104" s="137"/>
      <c r="FD104" s="137"/>
      <c r="FE104" s="137"/>
      <c r="FF104" s="137"/>
      <c r="FG104" s="137"/>
      <c r="FH104" s="137"/>
      <c r="FI104" s="137"/>
      <c r="FJ104" s="137"/>
      <c r="FK104" s="137"/>
      <c r="FL104" s="137"/>
      <c r="FM104" s="137"/>
      <c r="FN104" s="137"/>
      <c r="FO104" s="137"/>
      <c r="FP104" s="137"/>
      <c r="FQ104" s="137"/>
      <c r="FR104" s="137"/>
      <c r="FS104" s="137"/>
      <c r="FT104" s="137"/>
      <c r="FU104" s="137"/>
      <c r="FV104" s="1"/>
      <c r="FW104" s="1"/>
      <c r="FX104" s="1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1"/>
      <c r="GJ104" s="1"/>
      <c r="GK104" s="1"/>
      <c r="GL104" s="1"/>
      <c r="GM104" s="1"/>
      <c r="GN104" s="1"/>
      <c r="GO104" s="1"/>
      <c r="GP104" s="1"/>
      <c r="GR104" s="16"/>
      <c r="GS104" s="96"/>
      <c r="GT104" s="96"/>
      <c r="GU104" s="160"/>
      <c r="GV104" s="71"/>
      <c r="GW104" s="1"/>
      <c r="GX104" s="161"/>
      <c r="GY104" s="37"/>
      <c r="GZ104" s="4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16"/>
      <c r="HM104" s="48"/>
      <c r="HN104" s="48"/>
      <c r="HO104" s="48"/>
      <c r="HP104" s="38"/>
      <c r="HQ104" s="38"/>
      <c r="HR104" s="38"/>
      <c r="HS104" s="38"/>
      <c r="HT104" s="38"/>
      <c r="HU104" s="38"/>
      <c r="HV104" s="38"/>
      <c r="HW104" s="38"/>
      <c r="HX104" s="38"/>
      <c r="HY104" s="38"/>
      <c r="HZ104" s="38"/>
      <c r="IA104" s="16"/>
      <c r="IB104" s="37"/>
      <c r="IC104" s="37"/>
      <c r="ID104" s="37"/>
      <c r="IE104" s="37"/>
      <c r="IF104" s="37"/>
      <c r="IG104" s="37"/>
      <c r="IH104" s="37"/>
      <c r="II104" s="37"/>
      <c r="IJ104" s="37"/>
      <c r="IK104" s="37"/>
      <c r="IL104" s="37"/>
      <c r="IM104" s="37"/>
      <c r="IN104" s="37"/>
      <c r="IO104" s="37"/>
    </row>
    <row r="105" spans="2:249" ht="24" thickTop="1">
      <c r="B105" s="126" t="s">
        <v>105</v>
      </c>
      <c r="C105" s="129">
        <v>2.2803603546688818</v>
      </c>
      <c r="D105" s="129" t="s">
        <v>193</v>
      </c>
      <c r="E105" s="129">
        <v>3.6951137287811053</v>
      </c>
      <c r="F105" s="129" t="s">
        <v>193</v>
      </c>
      <c r="G105" s="129">
        <v>2.2402781355066246</v>
      </c>
      <c r="H105" s="129" t="s">
        <v>193</v>
      </c>
      <c r="I105" s="129">
        <v>3.9812092100608303</v>
      </c>
      <c r="J105" s="129" t="s">
        <v>193</v>
      </c>
      <c r="K105" s="129">
        <v>4.4519556768495336</v>
      </c>
      <c r="L105" s="129" t="s">
        <v>193</v>
      </c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  <c r="CC105" s="137"/>
      <c r="CD105" s="137"/>
      <c r="CE105" s="137"/>
      <c r="CF105" s="137"/>
      <c r="CG105" s="137"/>
      <c r="CH105" s="137"/>
      <c r="CI105" s="137"/>
      <c r="CJ105" s="137"/>
      <c r="CK105" s="137"/>
      <c r="CL105" s="137"/>
      <c r="CM105" s="137"/>
      <c r="CN105" s="137"/>
      <c r="CO105" s="137"/>
      <c r="CP105" s="137"/>
      <c r="CQ105" s="137"/>
      <c r="CR105" s="137"/>
      <c r="CS105" s="137"/>
      <c r="CT105" s="137"/>
      <c r="CU105" s="137"/>
      <c r="CV105" s="137"/>
      <c r="CW105" s="137"/>
      <c r="CX105" s="137"/>
      <c r="CY105" s="137"/>
      <c r="CZ105" s="137"/>
      <c r="DA105" s="137"/>
      <c r="DB105" s="137"/>
      <c r="DC105" s="137"/>
      <c r="DD105" s="137"/>
      <c r="DE105" s="137"/>
      <c r="DF105" s="137"/>
      <c r="DG105" s="137"/>
      <c r="DH105" s="137"/>
      <c r="DI105" s="137"/>
      <c r="DJ105" s="137"/>
      <c r="DK105" s="137"/>
      <c r="DL105" s="137"/>
      <c r="DM105" s="137"/>
      <c r="DN105" s="137"/>
      <c r="DO105" s="137"/>
      <c r="DP105" s="137"/>
      <c r="DQ105" s="137"/>
      <c r="DR105" s="137"/>
      <c r="DS105" s="137"/>
      <c r="DT105" s="137"/>
      <c r="DU105" s="137"/>
      <c r="DV105" s="137"/>
      <c r="DW105" s="137"/>
      <c r="DX105" s="137"/>
      <c r="DY105" s="137"/>
      <c r="DZ105" s="137"/>
      <c r="EA105" s="137"/>
      <c r="EB105" s="137"/>
      <c r="EC105" s="137"/>
      <c r="ED105" s="137"/>
      <c r="EE105" s="137"/>
      <c r="EF105" s="137"/>
      <c r="EG105" s="137"/>
      <c r="EH105" s="137"/>
      <c r="EI105" s="137"/>
      <c r="EJ105" s="137"/>
      <c r="EK105" s="137"/>
      <c r="EL105" s="137"/>
      <c r="EM105" s="137"/>
      <c r="EN105" s="137"/>
      <c r="EO105" s="137"/>
      <c r="EP105" s="137"/>
      <c r="EQ105" s="137"/>
      <c r="ER105" s="137"/>
      <c r="ES105" s="137"/>
      <c r="ET105" s="137"/>
      <c r="EU105" s="137"/>
      <c r="EV105" s="137"/>
      <c r="EW105" s="137"/>
      <c r="EX105" s="137"/>
      <c r="EY105" s="137"/>
      <c r="EZ105" s="137"/>
      <c r="FA105" s="137"/>
      <c r="FB105" s="137"/>
      <c r="FC105" s="137"/>
      <c r="FD105" s="137"/>
      <c r="FE105" s="137"/>
      <c r="FF105" s="137"/>
      <c r="FG105" s="137"/>
      <c r="FH105" s="137"/>
      <c r="FI105" s="137"/>
      <c r="FJ105" s="137"/>
      <c r="FK105" s="137"/>
      <c r="FL105" s="137"/>
      <c r="FM105" s="137"/>
      <c r="FN105" s="137"/>
      <c r="FO105" s="137"/>
      <c r="FP105" s="137"/>
      <c r="FQ105" s="137"/>
      <c r="FR105" s="137"/>
      <c r="FS105" s="137"/>
      <c r="FT105" s="137"/>
      <c r="FU105" s="137"/>
      <c r="FV105" s="1"/>
      <c r="FW105" s="1"/>
      <c r="FX105" s="1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1"/>
      <c r="GJ105" s="1"/>
      <c r="GK105" s="1"/>
      <c r="GL105" s="1"/>
      <c r="GM105" s="1"/>
      <c r="GN105" s="1"/>
      <c r="GO105" s="1"/>
      <c r="GP105" s="1"/>
      <c r="GR105" s="16"/>
      <c r="GS105" s="73"/>
      <c r="GT105" s="73"/>
      <c r="GU105" s="73"/>
      <c r="GV105" s="68"/>
      <c r="GW105" s="1"/>
      <c r="GX105" s="61"/>
      <c r="GY105" s="16"/>
      <c r="GZ105" s="4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27"/>
      <c r="HN105" s="27"/>
      <c r="HO105" s="27"/>
      <c r="HP105" s="17"/>
      <c r="HQ105" s="17"/>
      <c r="HR105" s="17"/>
      <c r="HS105" s="17"/>
      <c r="HT105" s="17"/>
      <c r="HU105" s="17"/>
      <c r="HV105" s="17"/>
      <c r="HW105" s="17"/>
      <c r="HX105" s="17"/>
      <c r="HY105" s="17"/>
      <c r="HZ105" s="17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</row>
    <row r="106" spans="2:249" ht="23.25">
      <c r="B106" s="127" t="s">
        <v>106</v>
      </c>
      <c r="C106" s="133">
        <v>2.12073512984206</v>
      </c>
      <c r="D106" s="133" t="s">
        <v>193</v>
      </c>
      <c r="E106" s="133">
        <v>3.325602355902995</v>
      </c>
      <c r="F106" s="133" t="s">
        <v>193</v>
      </c>
      <c r="G106" s="133">
        <v>2.1058614473762272</v>
      </c>
      <c r="H106" s="133" t="s">
        <v>193</v>
      </c>
      <c r="I106" s="133">
        <v>3.8023366574571802</v>
      </c>
      <c r="J106" s="133" t="s">
        <v>193</v>
      </c>
      <c r="K106" s="133">
        <v>4.140318779470066</v>
      </c>
      <c r="L106" s="133" t="s">
        <v>193</v>
      </c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  <c r="CC106" s="137"/>
      <c r="CD106" s="137"/>
      <c r="CE106" s="137"/>
      <c r="CF106" s="137"/>
      <c r="CG106" s="137"/>
      <c r="CH106" s="137"/>
      <c r="CI106" s="137"/>
      <c r="CJ106" s="137"/>
      <c r="CK106" s="137"/>
      <c r="CL106" s="137"/>
      <c r="CM106" s="137"/>
      <c r="CN106" s="137"/>
      <c r="CO106" s="137"/>
      <c r="CP106" s="137"/>
      <c r="CQ106" s="137"/>
      <c r="CR106" s="137"/>
      <c r="CS106" s="137"/>
      <c r="CT106" s="137"/>
      <c r="CU106" s="137"/>
      <c r="CV106" s="137"/>
      <c r="CW106" s="137"/>
      <c r="CX106" s="137"/>
      <c r="CY106" s="137"/>
      <c r="CZ106" s="137"/>
      <c r="DA106" s="137"/>
      <c r="DB106" s="137"/>
      <c r="DC106" s="137"/>
      <c r="DD106" s="137"/>
      <c r="DE106" s="137"/>
      <c r="DF106" s="137"/>
      <c r="DG106" s="137"/>
      <c r="DH106" s="137"/>
      <c r="DI106" s="137"/>
      <c r="DJ106" s="137"/>
      <c r="DK106" s="137"/>
      <c r="DL106" s="137"/>
      <c r="DM106" s="137"/>
      <c r="DN106" s="137"/>
      <c r="DO106" s="137"/>
      <c r="DP106" s="137"/>
      <c r="DQ106" s="137"/>
      <c r="DR106" s="137"/>
      <c r="DS106" s="137"/>
      <c r="DT106" s="137"/>
      <c r="DU106" s="137"/>
      <c r="DV106" s="137"/>
      <c r="DW106" s="137"/>
      <c r="DX106" s="137"/>
      <c r="DY106" s="137"/>
      <c r="DZ106" s="137"/>
      <c r="EA106" s="137"/>
      <c r="EB106" s="137"/>
      <c r="EC106" s="137"/>
      <c r="ED106" s="137"/>
      <c r="EE106" s="137"/>
      <c r="EF106" s="137"/>
      <c r="EG106" s="137"/>
      <c r="EH106" s="137"/>
      <c r="EI106" s="137"/>
      <c r="EJ106" s="137"/>
      <c r="EK106" s="137"/>
      <c r="EL106" s="137"/>
      <c r="EM106" s="137"/>
      <c r="EN106" s="137"/>
      <c r="EO106" s="137"/>
      <c r="EP106" s="137"/>
      <c r="EQ106" s="137"/>
      <c r="ER106" s="137"/>
      <c r="ES106" s="137"/>
      <c r="ET106" s="137"/>
      <c r="EU106" s="137"/>
      <c r="EV106" s="137"/>
      <c r="EW106" s="137"/>
      <c r="EX106" s="137"/>
      <c r="EY106" s="137"/>
      <c r="EZ106" s="137"/>
      <c r="FA106" s="137"/>
      <c r="FB106" s="137"/>
      <c r="FC106" s="137"/>
      <c r="FD106" s="137"/>
      <c r="FE106" s="137"/>
      <c r="FF106" s="137"/>
      <c r="FG106" s="137"/>
      <c r="FH106" s="137"/>
      <c r="FI106" s="137"/>
      <c r="FJ106" s="137"/>
      <c r="FK106" s="137"/>
      <c r="FL106" s="137"/>
      <c r="FM106" s="137"/>
      <c r="FN106" s="137"/>
      <c r="FO106" s="137"/>
      <c r="FP106" s="137"/>
      <c r="FQ106" s="137"/>
      <c r="FR106" s="137"/>
      <c r="FS106" s="137"/>
      <c r="FT106" s="137"/>
      <c r="FU106" s="137"/>
      <c r="FV106" s="1"/>
      <c r="FW106" s="1"/>
      <c r="FX106" s="1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1"/>
      <c r="GJ106" s="1"/>
      <c r="GK106" s="1"/>
      <c r="GL106" s="1"/>
      <c r="GM106" s="1"/>
      <c r="GN106" s="1"/>
      <c r="GO106" s="1"/>
      <c r="GP106" s="1"/>
      <c r="GR106" s="16"/>
      <c r="GS106" s="73"/>
      <c r="GT106" s="73"/>
      <c r="GU106" s="73"/>
      <c r="GV106" s="68"/>
      <c r="GW106" s="1"/>
      <c r="GX106" s="57"/>
      <c r="GY106" s="16"/>
      <c r="GZ106" s="44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27"/>
      <c r="HN106" s="27"/>
      <c r="HO106" s="27"/>
      <c r="HP106" s="17"/>
      <c r="HQ106" s="17"/>
      <c r="HR106" s="17"/>
      <c r="HS106" s="17"/>
      <c r="HT106" s="17"/>
      <c r="HU106" s="17"/>
      <c r="HV106" s="17"/>
      <c r="HW106" s="17"/>
      <c r="HX106" s="17"/>
      <c r="HY106" s="17"/>
      <c r="HZ106" s="17"/>
      <c r="IA106" s="16"/>
      <c r="IB106" s="16"/>
      <c r="IC106" s="16"/>
      <c r="ID106" s="16"/>
      <c r="IE106" s="16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</row>
    <row r="107" spans="2:249">
      <c r="B107" s="126" t="s">
        <v>107</v>
      </c>
      <c r="C107" s="129">
        <v>97.553815972734768</v>
      </c>
      <c r="D107" s="129" t="s">
        <v>4</v>
      </c>
      <c r="E107" s="129">
        <v>154.64050954948928</v>
      </c>
      <c r="F107" s="129" t="s">
        <v>4</v>
      </c>
      <c r="G107" s="129">
        <v>95.81669585561832</v>
      </c>
      <c r="H107" s="129" t="s">
        <v>4</v>
      </c>
      <c r="I107" s="129">
        <v>136.91332788667327</v>
      </c>
      <c r="J107" s="129" t="s">
        <v>4</v>
      </c>
      <c r="K107" s="129">
        <v>192.52482324535805</v>
      </c>
      <c r="L107" s="129" t="s">
        <v>4</v>
      </c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7"/>
      <c r="BW107" s="137"/>
      <c r="BX107" s="137"/>
      <c r="BY107" s="137"/>
      <c r="BZ107" s="137"/>
      <c r="CA107" s="137"/>
      <c r="CB107" s="137"/>
      <c r="CC107" s="137"/>
      <c r="CD107" s="137"/>
      <c r="CE107" s="137"/>
      <c r="CF107" s="137"/>
      <c r="CG107" s="137"/>
      <c r="CH107" s="137"/>
      <c r="CI107" s="137"/>
      <c r="CJ107" s="137"/>
      <c r="CK107" s="137"/>
      <c r="CL107" s="137"/>
      <c r="CM107" s="137"/>
      <c r="CN107" s="137"/>
      <c r="CO107" s="137"/>
      <c r="CP107" s="137"/>
      <c r="CQ107" s="137"/>
      <c r="CR107" s="137"/>
      <c r="CS107" s="137"/>
      <c r="CT107" s="137"/>
      <c r="CU107" s="137"/>
      <c r="CV107" s="137"/>
      <c r="CW107" s="137"/>
      <c r="CX107" s="137"/>
      <c r="CY107" s="137"/>
      <c r="CZ107" s="137"/>
      <c r="DA107" s="137"/>
      <c r="DB107" s="137"/>
      <c r="DC107" s="137"/>
      <c r="DD107" s="137"/>
      <c r="DE107" s="137"/>
      <c r="DF107" s="137"/>
      <c r="DG107" s="137"/>
      <c r="DH107" s="137"/>
      <c r="DI107" s="137"/>
      <c r="DJ107" s="137"/>
      <c r="DK107" s="137"/>
      <c r="DL107" s="137"/>
      <c r="DM107" s="137"/>
      <c r="DN107" s="137"/>
      <c r="DO107" s="137"/>
      <c r="DP107" s="137"/>
      <c r="DQ107" s="137"/>
      <c r="DR107" s="137"/>
      <c r="DS107" s="137"/>
      <c r="DT107" s="137"/>
      <c r="DU107" s="137"/>
      <c r="DV107" s="137"/>
      <c r="DW107" s="137"/>
      <c r="DX107" s="137"/>
      <c r="DY107" s="137"/>
      <c r="DZ107" s="137"/>
      <c r="EA107" s="137"/>
      <c r="EB107" s="137"/>
      <c r="EC107" s="137"/>
      <c r="ED107" s="137"/>
      <c r="EE107" s="137"/>
      <c r="EF107" s="137"/>
      <c r="EG107" s="137"/>
      <c r="EH107" s="137"/>
      <c r="EI107" s="137"/>
      <c r="EJ107" s="137"/>
      <c r="EK107" s="137"/>
      <c r="EL107" s="137"/>
      <c r="EM107" s="137"/>
      <c r="EN107" s="137"/>
      <c r="EO107" s="137"/>
      <c r="EP107" s="137"/>
      <c r="EQ107" s="137"/>
      <c r="ER107" s="137"/>
      <c r="ES107" s="137"/>
      <c r="ET107" s="137"/>
      <c r="EU107" s="137"/>
      <c r="EV107" s="137"/>
      <c r="EW107" s="137"/>
      <c r="EX107" s="137"/>
      <c r="EY107" s="137"/>
      <c r="EZ107" s="137"/>
      <c r="FA107" s="137"/>
      <c r="FB107" s="137"/>
      <c r="FC107" s="137"/>
      <c r="FD107" s="137"/>
      <c r="FE107" s="137"/>
      <c r="FF107" s="137"/>
      <c r="FG107" s="137"/>
      <c r="FH107" s="137"/>
      <c r="FI107" s="137"/>
      <c r="FJ107" s="137"/>
      <c r="FK107" s="137"/>
      <c r="FL107" s="137"/>
      <c r="FM107" s="137"/>
      <c r="FN107" s="137"/>
      <c r="FO107" s="137"/>
      <c r="FP107" s="137"/>
      <c r="FQ107" s="137"/>
      <c r="FR107" s="137"/>
      <c r="FS107" s="137"/>
      <c r="FT107" s="137"/>
      <c r="FU107" s="137"/>
      <c r="FV107" s="1"/>
      <c r="FW107" s="1"/>
      <c r="FX107" s="1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1"/>
      <c r="GJ107" s="1"/>
      <c r="GK107" s="1"/>
      <c r="GL107" s="1"/>
      <c r="GM107" s="1"/>
      <c r="GN107" s="1"/>
      <c r="GO107" s="1"/>
      <c r="GP107" s="1"/>
      <c r="GR107" s="16"/>
      <c r="GS107" s="73"/>
      <c r="GT107" s="73"/>
      <c r="GU107" s="73"/>
      <c r="GV107" s="68"/>
      <c r="GW107" s="1"/>
      <c r="GX107" s="58"/>
      <c r="GY107" s="16"/>
      <c r="GZ107" s="27"/>
      <c r="HA107" s="17"/>
      <c r="HB107" s="17"/>
      <c r="HC107" s="17"/>
      <c r="HD107" s="17"/>
      <c r="HE107" s="17"/>
      <c r="HF107" s="17"/>
      <c r="HG107" s="17"/>
      <c r="HH107" s="17"/>
      <c r="HI107" s="17"/>
      <c r="HJ107" s="17"/>
      <c r="HK107" s="17"/>
      <c r="HL107" s="16"/>
      <c r="HM107" s="27"/>
      <c r="HN107" s="27"/>
      <c r="HO107" s="27"/>
      <c r="HP107" s="17"/>
      <c r="HQ107" s="17"/>
      <c r="HR107" s="17"/>
      <c r="HS107" s="17"/>
      <c r="HT107" s="17"/>
      <c r="HU107" s="17"/>
      <c r="HV107" s="17"/>
      <c r="HW107" s="17"/>
      <c r="HX107" s="17"/>
      <c r="HY107" s="17"/>
      <c r="HZ107" s="17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</row>
    <row r="108" spans="2:249">
      <c r="B108" s="127" t="s">
        <v>108</v>
      </c>
      <c r="C108" s="128">
        <v>88.773972535188648</v>
      </c>
      <c r="D108" s="128" t="s">
        <v>4</v>
      </c>
      <c r="E108" s="128">
        <v>142.26926878553013</v>
      </c>
      <c r="F108" s="128" t="s">
        <v>4</v>
      </c>
      <c r="G108" s="128">
        <v>92.942194979949761</v>
      </c>
      <c r="H108" s="128" t="s">
        <v>4</v>
      </c>
      <c r="I108" s="128">
        <v>128.75852821347289</v>
      </c>
      <c r="J108" s="128" t="s">
        <v>4</v>
      </c>
      <c r="K108" s="128">
        <v>179.04808561818299</v>
      </c>
      <c r="L108" s="128" t="s">
        <v>4</v>
      </c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  <c r="CC108" s="137"/>
      <c r="CD108" s="137"/>
      <c r="CE108" s="137"/>
      <c r="CF108" s="137"/>
      <c r="CG108" s="137"/>
      <c r="CH108" s="137"/>
      <c r="CI108" s="137"/>
      <c r="CJ108" s="137"/>
      <c r="CK108" s="137"/>
      <c r="CL108" s="137"/>
      <c r="CM108" s="137"/>
      <c r="CN108" s="137"/>
      <c r="CO108" s="137"/>
      <c r="CP108" s="137"/>
      <c r="CQ108" s="137"/>
      <c r="CR108" s="137"/>
      <c r="CS108" s="137"/>
      <c r="CT108" s="137"/>
      <c r="CU108" s="137"/>
      <c r="CV108" s="137"/>
      <c r="CW108" s="137"/>
      <c r="CX108" s="137"/>
      <c r="CY108" s="137"/>
      <c r="CZ108" s="137"/>
      <c r="DA108" s="137"/>
      <c r="DB108" s="137"/>
      <c r="DC108" s="137"/>
      <c r="DD108" s="137"/>
      <c r="DE108" s="137"/>
      <c r="DF108" s="137"/>
      <c r="DG108" s="137"/>
      <c r="DH108" s="137"/>
      <c r="DI108" s="137"/>
      <c r="DJ108" s="137"/>
      <c r="DK108" s="137"/>
      <c r="DL108" s="137"/>
      <c r="DM108" s="137"/>
      <c r="DN108" s="137"/>
      <c r="DO108" s="137"/>
      <c r="DP108" s="137"/>
      <c r="DQ108" s="137"/>
      <c r="DR108" s="137"/>
      <c r="DS108" s="137"/>
      <c r="DT108" s="137"/>
      <c r="DU108" s="137"/>
      <c r="DV108" s="137"/>
      <c r="DW108" s="137"/>
      <c r="DX108" s="137"/>
      <c r="DY108" s="137"/>
      <c r="DZ108" s="137"/>
      <c r="EA108" s="137"/>
      <c r="EB108" s="137"/>
      <c r="EC108" s="137"/>
      <c r="ED108" s="137"/>
      <c r="EE108" s="137"/>
      <c r="EF108" s="137"/>
      <c r="EG108" s="137"/>
      <c r="EH108" s="137"/>
      <c r="EI108" s="137"/>
      <c r="EJ108" s="137"/>
      <c r="EK108" s="137"/>
      <c r="EL108" s="137"/>
      <c r="EM108" s="137"/>
      <c r="EN108" s="137"/>
      <c r="EO108" s="137"/>
      <c r="EP108" s="137"/>
      <c r="EQ108" s="137"/>
      <c r="ER108" s="137"/>
      <c r="ES108" s="137"/>
      <c r="ET108" s="137"/>
      <c r="EU108" s="137"/>
      <c r="EV108" s="137"/>
      <c r="EW108" s="137"/>
      <c r="EX108" s="137"/>
      <c r="EY108" s="137"/>
      <c r="EZ108" s="137"/>
      <c r="FA108" s="137"/>
      <c r="FB108" s="137"/>
      <c r="FC108" s="137"/>
      <c r="FD108" s="137"/>
      <c r="FE108" s="137"/>
      <c r="FF108" s="137"/>
      <c r="FG108" s="137"/>
      <c r="FH108" s="137"/>
      <c r="FI108" s="137"/>
      <c r="FJ108" s="137"/>
      <c r="FK108" s="137"/>
      <c r="FL108" s="137"/>
      <c r="FM108" s="137"/>
      <c r="FN108" s="137"/>
      <c r="FO108" s="137"/>
      <c r="FP108" s="137"/>
      <c r="FQ108" s="137"/>
      <c r="FR108" s="137"/>
      <c r="FS108" s="137"/>
      <c r="FT108" s="137"/>
      <c r="FU108" s="137"/>
      <c r="FV108" s="1"/>
      <c r="FW108" s="1"/>
      <c r="FX108" s="1"/>
      <c r="FY108" s="2"/>
      <c r="FZ108" s="2"/>
      <c r="GA108" s="2"/>
      <c r="GB108" s="2"/>
      <c r="GC108" s="2"/>
      <c r="GD108" s="2"/>
      <c r="GE108" s="2"/>
      <c r="GF108" s="2"/>
      <c r="GG108" s="2"/>
      <c r="GH108" s="1"/>
      <c r="GI108" s="1"/>
      <c r="GJ108" s="1"/>
      <c r="GK108" s="1"/>
      <c r="GL108" s="1"/>
      <c r="GM108" s="1"/>
      <c r="GN108" s="1"/>
      <c r="GO108" s="1"/>
      <c r="GP108" s="1"/>
      <c r="GR108" s="16"/>
      <c r="GS108" s="73"/>
      <c r="GT108" s="73"/>
      <c r="GU108" s="79"/>
      <c r="GV108" s="67"/>
      <c r="GW108" s="1"/>
      <c r="GX108" s="60"/>
      <c r="GY108" s="23"/>
      <c r="GZ108" s="26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16"/>
      <c r="HM108" s="26"/>
      <c r="HN108" s="26"/>
      <c r="HO108" s="26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16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</row>
    <row r="109" spans="2:249" ht="23.25">
      <c r="B109" s="126" t="s">
        <v>109</v>
      </c>
      <c r="C109" s="129">
        <v>1.7222150671826599</v>
      </c>
      <c r="D109" s="129" t="s">
        <v>193</v>
      </c>
      <c r="E109" s="129">
        <v>2.7315699606821782</v>
      </c>
      <c r="F109" s="129" t="s">
        <v>193</v>
      </c>
      <c r="G109" s="129">
        <v>1.7101363876310756</v>
      </c>
      <c r="H109" s="129" t="s">
        <v>193</v>
      </c>
      <c r="I109" s="129">
        <v>3.350756919127901</v>
      </c>
      <c r="J109" s="129" t="s">
        <v>193</v>
      </c>
      <c r="K109" s="129">
        <v>3.47353286099275</v>
      </c>
      <c r="L109" s="129" t="s">
        <v>193</v>
      </c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  <c r="CC109" s="137"/>
      <c r="CD109" s="137"/>
      <c r="CE109" s="137"/>
      <c r="CF109" s="137"/>
      <c r="CG109" s="137"/>
      <c r="CH109" s="137"/>
      <c r="CI109" s="137"/>
      <c r="CJ109" s="137"/>
      <c r="CK109" s="137"/>
      <c r="CL109" s="137"/>
      <c r="CM109" s="137"/>
      <c r="CN109" s="137"/>
      <c r="CO109" s="137"/>
      <c r="CP109" s="137"/>
      <c r="CQ109" s="137"/>
      <c r="CR109" s="137"/>
      <c r="CS109" s="137"/>
      <c r="CT109" s="137"/>
      <c r="CU109" s="137"/>
      <c r="CV109" s="137"/>
      <c r="CW109" s="137"/>
      <c r="CX109" s="137"/>
      <c r="CY109" s="137"/>
      <c r="CZ109" s="137"/>
      <c r="DA109" s="137"/>
      <c r="DB109" s="137"/>
      <c r="DC109" s="137"/>
      <c r="DD109" s="137"/>
      <c r="DE109" s="137"/>
      <c r="DF109" s="137"/>
      <c r="DG109" s="137"/>
      <c r="DH109" s="137"/>
      <c r="DI109" s="137"/>
      <c r="DJ109" s="137"/>
      <c r="DK109" s="137"/>
      <c r="DL109" s="137"/>
      <c r="DM109" s="137"/>
      <c r="DN109" s="137"/>
      <c r="DO109" s="137"/>
      <c r="DP109" s="137"/>
      <c r="DQ109" s="137"/>
      <c r="DR109" s="137"/>
      <c r="DS109" s="137"/>
      <c r="DT109" s="137"/>
      <c r="DU109" s="137"/>
      <c r="DV109" s="137"/>
      <c r="DW109" s="137"/>
      <c r="DX109" s="137"/>
      <c r="DY109" s="137"/>
      <c r="DZ109" s="137"/>
      <c r="EA109" s="137"/>
      <c r="EB109" s="137"/>
      <c r="EC109" s="137"/>
      <c r="ED109" s="137"/>
      <c r="EE109" s="137"/>
      <c r="EF109" s="137"/>
      <c r="EG109" s="137"/>
      <c r="EH109" s="137"/>
      <c r="EI109" s="137"/>
      <c r="EJ109" s="137"/>
      <c r="EK109" s="137"/>
      <c r="EL109" s="137"/>
      <c r="EM109" s="137"/>
      <c r="EN109" s="137"/>
      <c r="EO109" s="137"/>
      <c r="EP109" s="137"/>
      <c r="EQ109" s="137"/>
      <c r="ER109" s="137"/>
      <c r="ES109" s="137"/>
      <c r="ET109" s="137"/>
      <c r="EU109" s="137"/>
      <c r="EV109" s="137"/>
      <c r="EW109" s="137"/>
      <c r="EX109" s="137"/>
      <c r="EY109" s="137"/>
      <c r="EZ109" s="137"/>
      <c r="FA109" s="137"/>
      <c r="FB109" s="137"/>
      <c r="FC109" s="137"/>
      <c r="FD109" s="137"/>
      <c r="FE109" s="137"/>
      <c r="FF109" s="137"/>
      <c r="FG109" s="137"/>
      <c r="FH109" s="137"/>
      <c r="FI109" s="137"/>
      <c r="FJ109" s="137"/>
      <c r="FK109" s="137"/>
      <c r="FL109" s="137"/>
      <c r="FM109" s="137"/>
      <c r="FN109" s="137"/>
      <c r="FO109" s="137"/>
      <c r="FP109" s="137"/>
      <c r="FQ109" s="137"/>
      <c r="FR109" s="137"/>
      <c r="FS109" s="137"/>
      <c r="FT109" s="137"/>
      <c r="FU109" s="137"/>
      <c r="FV109" s="10"/>
      <c r="FW109" s="10"/>
      <c r="FX109" s="10"/>
      <c r="FY109" s="114"/>
      <c r="FZ109" s="114"/>
      <c r="GA109" s="114"/>
      <c r="GB109" s="114"/>
      <c r="GC109" s="114"/>
      <c r="GD109" s="114"/>
      <c r="GE109" s="114"/>
      <c r="GF109" s="114"/>
      <c r="GG109" s="114"/>
      <c r="GH109" s="10"/>
      <c r="GI109" s="10"/>
      <c r="GJ109" s="10"/>
      <c r="GK109" s="10"/>
      <c r="GL109" s="10"/>
      <c r="GM109" s="10"/>
      <c r="GN109" s="10"/>
      <c r="GO109" s="10"/>
      <c r="GP109" s="10"/>
      <c r="GR109" s="16"/>
      <c r="GS109" s="73"/>
      <c r="GT109" s="98"/>
      <c r="GU109" s="85"/>
      <c r="GV109" s="68"/>
      <c r="GW109" s="1"/>
      <c r="GX109" s="58"/>
      <c r="GY109" s="16"/>
      <c r="GZ109" s="27"/>
      <c r="HA109" s="17"/>
      <c r="HB109" s="17"/>
      <c r="HC109" s="17"/>
      <c r="HD109" s="17"/>
      <c r="HE109" s="17"/>
      <c r="HF109" s="17"/>
      <c r="HG109" s="17"/>
      <c r="HH109" s="17"/>
      <c r="HI109" s="17"/>
      <c r="HJ109" s="17"/>
      <c r="HK109" s="17"/>
      <c r="HL109" s="16"/>
      <c r="HM109" s="27"/>
      <c r="HN109" s="27"/>
      <c r="HO109" s="27"/>
      <c r="HP109" s="17"/>
      <c r="HQ109" s="17"/>
      <c r="HR109" s="17"/>
      <c r="HS109" s="17"/>
      <c r="HT109" s="17"/>
      <c r="HU109" s="17"/>
      <c r="HV109" s="17"/>
      <c r="HW109" s="17"/>
      <c r="HX109" s="17"/>
      <c r="HY109" s="17"/>
      <c r="HZ109" s="17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</row>
    <row r="110" spans="2:249" ht="23.25">
      <c r="B110" s="127" t="s">
        <v>110</v>
      </c>
      <c r="C110" s="128">
        <v>1.67054861516718</v>
      </c>
      <c r="D110" s="128" t="s">
        <v>193</v>
      </c>
      <c r="E110" s="128">
        <v>2.5676757630412474</v>
      </c>
      <c r="F110" s="128" t="s">
        <v>193</v>
      </c>
      <c r="G110" s="128">
        <v>1.6417309321258327</v>
      </c>
      <c r="H110" s="128" t="s">
        <v>193</v>
      </c>
      <c r="I110" s="128">
        <v>3.1156812272151106</v>
      </c>
      <c r="J110" s="128" t="s">
        <v>193</v>
      </c>
      <c r="K110" s="128">
        <v>3.1956502321133304</v>
      </c>
      <c r="L110" s="128" t="s">
        <v>193</v>
      </c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  <c r="CC110" s="137"/>
      <c r="CD110" s="137"/>
      <c r="CE110" s="137"/>
      <c r="CF110" s="137"/>
      <c r="CG110" s="137"/>
      <c r="CH110" s="137"/>
      <c r="CI110" s="137"/>
      <c r="CJ110" s="137"/>
      <c r="CK110" s="137"/>
      <c r="CL110" s="137"/>
      <c r="CM110" s="137"/>
      <c r="CN110" s="137"/>
      <c r="CO110" s="137"/>
      <c r="CP110" s="137"/>
      <c r="CQ110" s="137"/>
      <c r="CR110" s="137"/>
      <c r="CS110" s="137"/>
      <c r="CT110" s="137"/>
      <c r="CU110" s="137"/>
      <c r="CV110" s="137"/>
      <c r="CW110" s="137"/>
      <c r="CX110" s="137"/>
      <c r="CY110" s="137"/>
      <c r="CZ110" s="137"/>
      <c r="DA110" s="137"/>
      <c r="DB110" s="137"/>
      <c r="DC110" s="137"/>
      <c r="DD110" s="137"/>
      <c r="DE110" s="137"/>
      <c r="DF110" s="137"/>
      <c r="DG110" s="137"/>
      <c r="DH110" s="137"/>
      <c r="DI110" s="137"/>
      <c r="DJ110" s="137"/>
      <c r="DK110" s="137"/>
      <c r="DL110" s="137"/>
      <c r="DM110" s="137"/>
      <c r="DN110" s="137"/>
      <c r="DO110" s="137"/>
      <c r="DP110" s="137"/>
      <c r="DQ110" s="137"/>
      <c r="DR110" s="137"/>
      <c r="DS110" s="137"/>
      <c r="DT110" s="137"/>
      <c r="DU110" s="137"/>
      <c r="DV110" s="137"/>
      <c r="DW110" s="137"/>
      <c r="DX110" s="137"/>
      <c r="DY110" s="137"/>
      <c r="DZ110" s="137"/>
      <c r="EA110" s="137"/>
      <c r="EB110" s="137"/>
      <c r="EC110" s="137"/>
      <c r="ED110" s="137"/>
      <c r="EE110" s="137"/>
      <c r="EF110" s="137"/>
      <c r="EG110" s="137"/>
      <c r="EH110" s="137"/>
      <c r="EI110" s="137"/>
      <c r="EJ110" s="137"/>
      <c r="EK110" s="137"/>
      <c r="EL110" s="137"/>
      <c r="EM110" s="137"/>
      <c r="EN110" s="137"/>
      <c r="EO110" s="137"/>
      <c r="EP110" s="137"/>
      <c r="EQ110" s="137"/>
      <c r="ER110" s="137"/>
      <c r="ES110" s="137"/>
      <c r="ET110" s="137"/>
      <c r="EU110" s="137"/>
      <c r="EV110" s="137"/>
      <c r="EW110" s="137"/>
      <c r="EX110" s="137"/>
      <c r="EY110" s="137"/>
      <c r="EZ110" s="137"/>
      <c r="FA110" s="137"/>
      <c r="FB110" s="137"/>
      <c r="FC110" s="137"/>
      <c r="FD110" s="137"/>
      <c r="FE110" s="137"/>
      <c r="FF110" s="137"/>
      <c r="FG110" s="137"/>
      <c r="FH110" s="137"/>
      <c r="FI110" s="137"/>
      <c r="FJ110" s="137"/>
      <c r="FK110" s="137"/>
      <c r="FL110" s="137"/>
      <c r="FM110" s="137"/>
      <c r="FN110" s="137"/>
      <c r="FO110" s="137"/>
      <c r="FP110" s="137"/>
      <c r="FQ110" s="137"/>
      <c r="FR110" s="137"/>
      <c r="FS110" s="137"/>
      <c r="FT110" s="137"/>
      <c r="FU110" s="137"/>
      <c r="FV110" s="1"/>
      <c r="FW110" s="1"/>
      <c r="FX110" s="1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1"/>
      <c r="GJ110" s="1"/>
      <c r="GK110" s="1"/>
      <c r="GL110" s="1"/>
      <c r="GM110" s="1"/>
      <c r="GN110" s="1"/>
      <c r="GO110" s="1"/>
      <c r="GP110" s="1"/>
      <c r="GR110" s="16"/>
      <c r="GS110" s="73"/>
      <c r="GT110" s="73"/>
      <c r="GU110" s="73"/>
      <c r="GV110" s="68"/>
      <c r="GW110" s="1"/>
      <c r="GX110" s="57"/>
      <c r="GY110" s="16"/>
      <c r="GZ110" s="44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27"/>
      <c r="HN110" s="27"/>
      <c r="HO110" s="27"/>
      <c r="HP110" s="17"/>
      <c r="HQ110" s="17"/>
      <c r="HR110" s="17"/>
      <c r="HS110" s="17"/>
      <c r="HT110" s="17"/>
      <c r="HU110" s="17"/>
      <c r="HV110" s="17"/>
      <c r="HW110" s="17"/>
      <c r="HX110" s="17"/>
      <c r="HY110" s="17"/>
      <c r="HZ110" s="17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</row>
    <row r="111" spans="2:249" ht="34.5">
      <c r="B111" s="126" t="s">
        <v>111</v>
      </c>
      <c r="C111" s="129">
        <v>1.5369047259538056</v>
      </c>
      <c r="D111" s="129" t="s">
        <v>193</v>
      </c>
      <c r="E111" s="129">
        <v>2.3365849443675355</v>
      </c>
      <c r="F111" s="129" t="s">
        <v>193</v>
      </c>
      <c r="G111" s="129">
        <v>1.559644385519541</v>
      </c>
      <c r="H111" s="129" t="s">
        <v>193</v>
      </c>
      <c r="I111" s="129">
        <v>2.9887403535822039</v>
      </c>
      <c r="J111" s="129" t="s">
        <v>193</v>
      </c>
      <c r="K111" s="129">
        <v>2.8760852089019973</v>
      </c>
      <c r="L111" s="129" t="s">
        <v>193</v>
      </c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  <c r="CC111" s="137"/>
      <c r="CD111" s="137"/>
      <c r="CE111" s="137"/>
      <c r="CF111" s="137"/>
      <c r="CG111" s="137"/>
      <c r="CH111" s="137"/>
      <c r="CI111" s="137"/>
      <c r="CJ111" s="137"/>
      <c r="CK111" s="137"/>
      <c r="CL111" s="137"/>
      <c r="CM111" s="137"/>
      <c r="CN111" s="137"/>
      <c r="CO111" s="137"/>
      <c r="CP111" s="137"/>
      <c r="CQ111" s="137"/>
      <c r="CR111" s="137"/>
      <c r="CS111" s="137"/>
      <c r="CT111" s="137"/>
      <c r="CU111" s="137"/>
      <c r="CV111" s="137"/>
      <c r="CW111" s="137"/>
      <c r="CX111" s="137"/>
      <c r="CY111" s="137"/>
      <c r="CZ111" s="137"/>
      <c r="DA111" s="137"/>
      <c r="DB111" s="137"/>
      <c r="DC111" s="137"/>
      <c r="DD111" s="137"/>
      <c r="DE111" s="137"/>
      <c r="DF111" s="137"/>
      <c r="DG111" s="137"/>
      <c r="DH111" s="137"/>
      <c r="DI111" s="137"/>
      <c r="DJ111" s="137"/>
      <c r="DK111" s="137"/>
      <c r="DL111" s="137"/>
      <c r="DM111" s="137"/>
      <c r="DN111" s="137"/>
      <c r="DO111" s="137"/>
      <c r="DP111" s="137"/>
      <c r="DQ111" s="137"/>
      <c r="DR111" s="137"/>
      <c r="DS111" s="137"/>
      <c r="DT111" s="137"/>
      <c r="DU111" s="137"/>
      <c r="DV111" s="137"/>
      <c r="DW111" s="137"/>
      <c r="DX111" s="137"/>
      <c r="DY111" s="137"/>
      <c r="DZ111" s="137"/>
      <c r="EA111" s="137"/>
      <c r="EB111" s="137"/>
      <c r="EC111" s="137"/>
      <c r="ED111" s="137"/>
      <c r="EE111" s="137"/>
      <c r="EF111" s="137"/>
      <c r="EG111" s="137"/>
      <c r="EH111" s="137"/>
      <c r="EI111" s="137"/>
      <c r="EJ111" s="137"/>
      <c r="EK111" s="137"/>
      <c r="EL111" s="137"/>
      <c r="EM111" s="137"/>
      <c r="EN111" s="137"/>
      <c r="EO111" s="137"/>
      <c r="EP111" s="137"/>
      <c r="EQ111" s="137"/>
      <c r="ER111" s="137"/>
      <c r="ES111" s="137"/>
      <c r="ET111" s="137"/>
      <c r="EU111" s="137"/>
      <c r="EV111" s="137"/>
      <c r="EW111" s="137"/>
      <c r="EX111" s="137"/>
      <c r="EY111" s="137"/>
      <c r="EZ111" s="137"/>
      <c r="FA111" s="137"/>
      <c r="FB111" s="137"/>
      <c r="FC111" s="137"/>
      <c r="FD111" s="137"/>
      <c r="FE111" s="137"/>
      <c r="FF111" s="137"/>
      <c r="FG111" s="137"/>
      <c r="FH111" s="137"/>
      <c r="FI111" s="137"/>
      <c r="FJ111" s="137"/>
      <c r="FK111" s="137"/>
      <c r="FL111" s="137"/>
      <c r="FM111" s="137"/>
      <c r="FN111" s="137"/>
      <c r="FO111" s="137"/>
      <c r="FP111" s="137"/>
      <c r="FQ111" s="137"/>
      <c r="FR111" s="137"/>
      <c r="FS111" s="137"/>
      <c r="FT111" s="137"/>
      <c r="FU111" s="137"/>
      <c r="FV111" s="1"/>
      <c r="FW111" s="1"/>
      <c r="FX111" s="1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1"/>
      <c r="GJ111" s="1"/>
      <c r="GK111" s="1"/>
      <c r="GL111" s="1"/>
      <c r="GM111" s="1"/>
      <c r="GN111" s="1"/>
      <c r="GO111" s="1"/>
      <c r="GP111" s="1"/>
      <c r="GR111" s="16"/>
      <c r="GS111" s="73"/>
      <c r="GT111" s="73"/>
      <c r="GU111" s="73"/>
      <c r="GV111" s="68"/>
      <c r="GW111" s="1"/>
      <c r="GX111" s="58"/>
      <c r="GY111" s="16"/>
      <c r="GZ111" s="27"/>
      <c r="HA111" s="17"/>
      <c r="HB111" s="17"/>
      <c r="HC111" s="17"/>
      <c r="HD111" s="17"/>
      <c r="HE111" s="17"/>
      <c r="HF111" s="17"/>
      <c r="HG111" s="17"/>
      <c r="HH111" s="17"/>
      <c r="HI111" s="17"/>
      <c r="HJ111" s="17"/>
      <c r="HK111" s="17"/>
      <c r="HL111" s="16"/>
      <c r="HM111" s="27"/>
      <c r="HN111" s="27"/>
      <c r="HO111" s="27"/>
      <c r="HP111" s="17"/>
      <c r="HQ111" s="17"/>
      <c r="HR111" s="17"/>
      <c r="HS111" s="17"/>
      <c r="HT111" s="17"/>
      <c r="HU111" s="17"/>
      <c r="HV111" s="17"/>
      <c r="HW111" s="17"/>
      <c r="HX111" s="17"/>
      <c r="HY111" s="17"/>
      <c r="HZ111" s="17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</row>
    <row r="112" spans="2:249" ht="23.25">
      <c r="B112" s="127" t="s">
        <v>112</v>
      </c>
      <c r="C112" s="128">
        <v>1.4754285369156532</v>
      </c>
      <c r="D112" s="128" t="s">
        <v>193</v>
      </c>
      <c r="E112" s="128">
        <v>2.1963898477054831</v>
      </c>
      <c r="F112" s="128" t="s">
        <v>193</v>
      </c>
      <c r="G112" s="128">
        <v>1.5128550539539547</v>
      </c>
      <c r="H112" s="128" t="s">
        <v>193</v>
      </c>
      <c r="I112" s="128">
        <v>2.8893033359030937</v>
      </c>
      <c r="J112" s="128" t="s">
        <v>193</v>
      </c>
      <c r="K112" s="128">
        <v>2.7610418005459172</v>
      </c>
      <c r="L112" s="128" t="s">
        <v>193</v>
      </c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B112" s="137"/>
      <c r="CC112" s="137"/>
      <c r="CD112" s="137"/>
      <c r="CE112" s="137"/>
      <c r="CF112" s="137"/>
      <c r="CG112" s="137"/>
      <c r="CH112" s="137"/>
      <c r="CI112" s="137"/>
      <c r="CJ112" s="137"/>
      <c r="CK112" s="137"/>
      <c r="CL112" s="137"/>
      <c r="CM112" s="137"/>
      <c r="CN112" s="137"/>
      <c r="CO112" s="137"/>
      <c r="CP112" s="137"/>
      <c r="CQ112" s="137"/>
      <c r="CR112" s="137"/>
      <c r="CS112" s="137"/>
      <c r="CT112" s="137"/>
      <c r="CU112" s="137"/>
      <c r="CV112" s="137"/>
      <c r="CW112" s="137"/>
      <c r="CX112" s="137"/>
      <c r="CY112" s="137"/>
      <c r="CZ112" s="137"/>
      <c r="DA112" s="137"/>
      <c r="DB112" s="137"/>
      <c r="DC112" s="137"/>
      <c r="DD112" s="137"/>
      <c r="DE112" s="137"/>
      <c r="DF112" s="137"/>
      <c r="DG112" s="137"/>
      <c r="DH112" s="137"/>
      <c r="DI112" s="137"/>
      <c r="DJ112" s="137"/>
      <c r="DK112" s="137"/>
      <c r="DL112" s="137"/>
      <c r="DM112" s="137"/>
      <c r="DN112" s="137"/>
      <c r="DO112" s="137"/>
      <c r="DP112" s="137"/>
      <c r="DQ112" s="137"/>
      <c r="DR112" s="137"/>
      <c r="DS112" s="137"/>
      <c r="DT112" s="137"/>
      <c r="DU112" s="137"/>
      <c r="DV112" s="137"/>
      <c r="DW112" s="137"/>
      <c r="DX112" s="137"/>
      <c r="DY112" s="137"/>
      <c r="DZ112" s="137"/>
      <c r="EA112" s="137"/>
      <c r="EB112" s="137"/>
      <c r="EC112" s="137"/>
      <c r="ED112" s="137"/>
      <c r="EE112" s="137"/>
      <c r="EF112" s="137"/>
      <c r="EG112" s="137"/>
      <c r="EH112" s="137"/>
      <c r="EI112" s="137"/>
      <c r="EJ112" s="137"/>
      <c r="EK112" s="137"/>
      <c r="EL112" s="137"/>
      <c r="EM112" s="137"/>
      <c r="EN112" s="137"/>
      <c r="EO112" s="137"/>
      <c r="EP112" s="137"/>
      <c r="EQ112" s="137"/>
      <c r="ER112" s="137"/>
      <c r="ES112" s="137"/>
      <c r="ET112" s="137"/>
      <c r="EU112" s="137"/>
      <c r="EV112" s="137"/>
      <c r="EW112" s="137"/>
      <c r="EX112" s="137"/>
      <c r="EY112" s="137"/>
      <c r="EZ112" s="137"/>
      <c r="FA112" s="137"/>
      <c r="FB112" s="137"/>
      <c r="FC112" s="137"/>
      <c r="FD112" s="137"/>
      <c r="FE112" s="137"/>
      <c r="FF112" s="137"/>
      <c r="FG112" s="137"/>
      <c r="FH112" s="137"/>
      <c r="FI112" s="137"/>
      <c r="FJ112" s="137"/>
      <c r="FK112" s="137"/>
      <c r="FL112" s="137"/>
      <c r="FM112" s="137"/>
      <c r="FN112" s="137"/>
      <c r="FO112" s="137"/>
      <c r="FP112" s="137"/>
      <c r="FQ112" s="137"/>
      <c r="FR112" s="137"/>
      <c r="FS112" s="137"/>
      <c r="FT112" s="137"/>
      <c r="FU112" s="137"/>
      <c r="FV112" s="1"/>
      <c r="FW112" s="1"/>
      <c r="FX112" s="1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1"/>
      <c r="GJ112" s="1"/>
      <c r="GK112" s="1"/>
      <c r="GL112" s="1"/>
      <c r="GM112" s="1"/>
      <c r="GN112" s="1"/>
      <c r="GO112" s="1"/>
      <c r="GP112" s="1"/>
      <c r="GR112" s="16"/>
      <c r="GS112" s="73"/>
      <c r="GT112" s="73"/>
      <c r="GU112" s="73"/>
      <c r="GV112" s="68"/>
      <c r="GW112" s="1"/>
      <c r="GX112" s="58"/>
      <c r="GY112" s="16"/>
      <c r="GZ112" s="2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6"/>
      <c r="HM112" s="27"/>
      <c r="HN112" s="27"/>
      <c r="HO112" s="2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</row>
    <row r="113" spans="2:249">
      <c r="B113" s="126" t="s">
        <v>113</v>
      </c>
      <c r="C113" s="129">
        <v>71.558284040409177</v>
      </c>
      <c r="D113" s="129" t="s">
        <v>4</v>
      </c>
      <c r="E113" s="129">
        <v>101.0339329944522</v>
      </c>
      <c r="F113" s="129" t="s">
        <v>4</v>
      </c>
      <c r="G113" s="129">
        <v>73.373470116766796</v>
      </c>
      <c r="H113" s="129" t="s">
        <v>4</v>
      </c>
      <c r="I113" s="129">
        <v>86.963301783590765</v>
      </c>
      <c r="J113" s="129" t="s">
        <v>4</v>
      </c>
      <c r="K113" s="129">
        <v>125.62740192483923</v>
      </c>
      <c r="L113" s="129" t="s">
        <v>4</v>
      </c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BY113" s="137"/>
      <c r="BZ113" s="137"/>
      <c r="CA113" s="137"/>
      <c r="CB113" s="137"/>
      <c r="CC113" s="137"/>
      <c r="CD113" s="137"/>
      <c r="CE113" s="137"/>
      <c r="CF113" s="137"/>
      <c r="CG113" s="137"/>
      <c r="CH113" s="137"/>
      <c r="CI113" s="137"/>
      <c r="CJ113" s="137"/>
      <c r="CK113" s="137"/>
      <c r="CL113" s="137"/>
      <c r="CM113" s="137"/>
      <c r="CN113" s="137"/>
      <c r="CO113" s="137"/>
      <c r="CP113" s="137"/>
      <c r="CQ113" s="137"/>
      <c r="CR113" s="137"/>
      <c r="CS113" s="137"/>
      <c r="CT113" s="137"/>
      <c r="CU113" s="137"/>
      <c r="CV113" s="137"/>
      <c r="CW113" s="137"/>
      <c r="CX113" s="137"/>
      <c r="CY113" s="137"/>
      <c r="CZ113" s="137"/>
      <c r="DA113" s="137"/>
      <c r="DB113" s="137"/>
      <c r="DC113" s="137"/>
      <c r="DD113" s="137"/>
      <c r="DE113" s="137"/>
      <c r="DF113" s="137"/>
      <c r="DG113" s="137"/>
      <c r="DH113" s="137"/>
      <c r="DI113" s="137"/>
      <c r="DJ113" s="137"/>
      <c r="DK113" s="137"/>
      <c r="DL113" s="137"/>
      <c r="DM113" s="137"/>
      <c r="DN113" s="137"/>
      <c r="DO113" s="137"/>
      <c r="DP113" s="137"/>
      <c r="DQ113" s="137"/>
      <c r="DR113" s="137"/>
      <c r="DS113" s="137"/>
      <c r="DT113" s="137"/>
      <c r="DU113" s="137"/>
      <c r="DV113" s="137"/>
      <c r="DW113" s="137"/>
      <c r="DX113" s="137"/>
      <c r="DY113" s="137"/>
      <c r="DZ113" s="137"/>
      <c r="EA113" s="137"/>
      <c r="EB113" s="137"/>
      <c r="EC113" s="137"/>
      <c r="ED113" s="137"/>
      <c r="EE113" s="137"/>
      <c r="EF113" s="137"/>
      <c r="EG113" s="137"/>
      <c r="EH113" s="137"/>
      <c r="EI113" s="137"/>
      <c r="EJ113" s="137"/>
      <c r="EK113" s="137"/>
      <c r="EL113" s="137"/>
      <c r="EM113" s="137"/>
      <c r="EN113" s="137"/>
      <c r="EO113" s="137"/>
      <c r="EP113" s="137"/>
      <c r="EQ113" s="137"/>
      <c r="ER113" s="137"/>
      <c r="ES113" s="137"/>
      <c r="ET113" s="137"/>
      <c r="EU113" s="137"/>
      <c r="EV113" s="137"/>
      <c r="EW113" s="137"/>
      <c r="EX113" s="137"/>
      <c r="EY113" s="137"/>
      <c r="EZ113" s="137"/>
      <c r="FA113" s="137"/>
      <c r="FB113" s="137"/>
      <c r="FC113" s="137"/>
      <c r="FD113" s="137"/>
      <c r="FE113" s="137"/>
      <c r="FF113" s="137"/>
      <c r="FG113" s="137"/>
      <c r="FH113" s="137"/>
      <c r="FI113" s="137"/>
      <c r="FJ113" s="137"/>
      <c r="FK113" s="137"/>
      <c r="FL113" s="137"/>
      <c r="FM113" s="137"/>
      <c r="FN113" s="137"/>
      <c r="FO113" s="137"/>
      <c r="FP113" s="137"/>
      <c r="FQ113" s="137"/>
      <c r="FR113" s="137"/>
      <c r="FS113" s="137"/>
      <c r="FT113" s="137"/>
      <c r="FU113" s="137"/>
      <c r="FV113" s="1"/>
      <c r="FW113" s="1"/>
      <c r="FX113" s="1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1"/>
      <c r="GJ113" s="1"/>
      <c r="GK113" s="1"/>
      <c r="GL113" s="1"/>
      <c r="GM113" s="1"/>
      <c r="GN113" s="1"/>
      <c r="GO113" s="1"/>
      <c r="GP113" s="1"/>
      <c r="GR113" s="16"/>
      <c r="GS113" s="73"/>
      <c r="GT113" s="73"/>
      <c r="GU113" s="73"/>
      <c r="GV113" s="68"/>
      <c r="GW113" s="1"/>
      <c r="GX113" s="58"/>
      <c r="GY113" s="16"/>
      <c r="GZ113" s="27"/>
      <c r="HA113" s="17"/>
      <c r="HB113" s="17"/>
      <c r="HC113" s="17"/>
      <c r="HD113" s="17"/>
      <c r="HE113" s="17"/>
      <c r="HF113" s="17"/>
      <c r="HG113" s="17"/>
      <c r="HH113" s="17"/>
      <c r="HI113" s="17"/>
      <c r="HJ113" s="17"/>
      <c r="HK113" s="17"/>
      <c r="HL113" s="16"/>
      <c r="HM113" s="27"/>
      <c r="HN113" s="27"/>
      <c r="HO113" s="27"/>
      <c r="HP113" s="17"/>
      <c r="HQ113" s="17"/>
      <c r="HR113" s="17"/>
      <c r="HS113" s="17"/>
      <c r="HT113" s="17"/>
      <c r="HU113" s="17"/>
      <c r="HV113" s="17"/>
      <c r="HW113" s="17"/>
      <c r="HX113" s="17"/>
      <c r="HY113" s="17"/>
      <c r="HZ113" s="17"/>
      <c r="IA113" s="16"/>
      <c r="IB113" s="16"/>
      <c r="IC113" s="16"/>
      <c r="ID113" s="16"/>
      <c r="IE113" s="16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</row>
    <row r="114" spans="2:249" ht="23.25">
      <c r="B114" s="127" t="s">
        <v>114</v>
      </c>
      <c r="C114" s="133">
        <v>67.980369838388711</v>
      </c>
      <c r="D114" s="133" t="s">
        <v>4</v>
      </c>
      <c r="E114" s="133">
        <v>91.940879024951499</v>
      </c>
      <c r="F114" s="133" t="s">
        <v>4</v>
      </c>
      <c r="G114" s="133">
        <v>68.237327208593129</v>
      </c>
      <c r="H114" s="133" t="s">
        <v>4</v>
      </c>
      <c r="I114" s="133">
        <v>80.086237640903491</v>
      </c>
      <c r="J114" s="133" t="s">
        <v>4</v>
      </c>
      <c r="K114" s="133">
        <v>119.34603182859728</v>
      </c>
      <c r="L114" s="133" t="s">
        <v>4</v>
      </c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7"/>
      <c r="BW114" s="137"/>
      <c r="BX114" s="137"/>
      <c r="BY114" s="137"/>
      <c r="BZ114" s="137"/>
      <c r="CA114" s="137"/>
      <c r="CB114" s="137"/>
      <c r="CC114" s="137"/>
      <c r="CD114" s="137"/>
      <c r="CE114" s="137"/>
      <c r="CF114" s="137"/>
      <c r="CG114" s="137"/>
      <c r="CH114" s="137"/>
      <c r="CI114" s="137"/>
      <c r="CJ114" s="137"/>
      <c r="CK114" s="137"/>
      <c r="CL114" s="137"/>
      <c r="CM114" s="137"/>
      <c r="CN114" s="137"/>
      <c r="CO114" s="137"/>
      <c r="CP114" s="137"/>
      <c r="CQ114" s="137"/>
      <c r="CR114" s="137"/>
      <c r="CS114" s="137"/>
      <c r="CT114" s="137"/>
      <c r="CU114" s="137"/>
      <c r="CV114" s="137"/>
      <c r="CW114" s="137"/>
      <c r="CX114" s="137"/>
      <c r="CY114" s="137"/>
      <c r="CZ114" s="137"/>
      <c r="DA114" s="137"/>
      <c r="DB114" s="137"/>
      <c r="DC114" s="137"/>
      <c r="DD114" s="137"/>
      <c r="DE114" s="137"/>
      <c r="DF114" s="137"/>
      <c r="DG114" s="137"/>
      <c r="DH114" s="137"/>
      <c r="DI114" s="137"/>
      <c r="DJ114" s="137"/>
      <c r="DK114" s="137"/>
      <c r="DL114" s="137"/>
      <c r="DM114" s="137"/>
      <c r="DN114" s="137"/>
      <c r="DO114" s="137"/>
      <c r="DP114" s="137"/>
      <c r="DQ114" s="137"/>
      <c r="DR114" s="137"/>
      <c r="DS114" s="137"/>
      <c r="DT114" s="137"/>
      <c r="DU114" s="137"/>
      <c r="DV114" s="137"/>
      <c r="DW114" s="137"/>
      <c r="DX114" s="137"/>
      <c r="DY114" s="137"/>
      <c r="DZ114" s="137"/>
      <c r="EA114" s="137"/>
      <c r="EB114" s="137"/>
      <c r="EC114" s="137"/>
      <c r="ED114" s="137"/>
      <c r="EE114" s="137"/>
      <c r="EF114" s="137"/>
      <c r="EG114" s="137"/>
      <c r="EH114" s="137"/>
      <c r="EI114" s="137"/>
      <c r="EJ114" s="137"/>
      <c r="EK114" s="137"/>
      <c r="EL114" s="137"/>
      <c r="EM114" s="137"/>
      <c r="EN114" s="137"/>
      <c r="EO114" s="137"/>
      <c r="EP114" s="137"/>
      <c r="EQ114" s="137"/>
      <c r="ER114" s="137"/>
      <c r="ES114" s="137"/>
      <c r="ET114" s="137"/>
      <c r="EU114" s="137"/>
      <c r="EV114" s="137"/>
      <c r="EW114" s="137"/>
      <c r="EX114" s="137"/>
      <c r="EY114" s="137"/>
      <c r="EZ114" s="137"/>
      <c r="FA114" s="137"/>
      <c r="FB114" s="137"/>
      <c r="FC114" s="137"/>
      <c r="FD114" s="137"/>
      <c r="FE114" s="137"/>
      <c r="FF114" s="137"/>
      <c r="FG114" s="137"/>
      <c r="FH114" s="137"/>
      <c r="FI114" s="137"/>
      <c r="FJ114" s="137"/>
      <c r="FK114" s="137"/>
      <c r="FL114" s="137"/>
      <c r="FM114" s="137"/>
      <c r="FN114" s="137"/>
      <c r="FO114" s="137"/>
      <c r="FP114" s="137"/>
      <c r="FQ114" s="137"/>
      <c r="FR114" s="137"/>
      <c r="FS114" s="137"/>
      <c r="FT114" s="137"/>
      <c r="FU114" s="137"/>
      <c r="FV114" s="1"/>
      <c r="FW114" s="1"/>
      <c r="FX114" s="1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1"/>
      <c r="GJ114" s="1"/>
      <c r="GK114" s="1"/>
      <c r="GL114" s="1"/>
      <c r="GM114" s="1"/>
      <c r="GN114" s="1"/>
      <c r="GO114" s="1"/>
      <c r="GP114" s="1"/>
      <c r="GR114" s="16"/>
      <c r="GS114" s="73"/>
      <c r="GT114" s="73"/>
      <c r="GU114" s="83"/>
      <c r="GV114" s="68"/>
      <c r="GW114" s="1"/>
      <c r="GX114" s="58"/>
      <c r="GY114" s="16"/>
      <c r="GZ114" s="27"/>
      <c r="HA114" s="52"/>
      <c r="HB114" s="52"/>
      <c r="HC114" s="52"/>
      <c r="HD114" s="52"/>
      <c r="HE114" s="52"/>
      <c r="HF114" s="52"/>
      <c r="HG114" s="52"/>
      <c r="HH114" s="52"/>
      <c r="HI114" s="52"/>
      <c r="HJ114" s="52"/>
      <c r="HK114" s="52"/>
      <c r="HL114" s="16"/>
      <c r="HM114" s="27"/>
      <c r="HN114" s="27"/>
      <c r="HO114" s="27"/>
      <c r="HP114" s="17"/>
      <c r="HQ114" s="17"/>
      <c r="HR114" s="17"/>
      <c r="HS114" s="17"/>
      <c r="HT114" s="17"/>
      <c r="HU114" s="17"/>
      <c r="HV114" s="17"/>
      <c r="HW114" s="17"/>
      <c r="HX114" s="17"/>
      <c r="HY114" s="17"/>
      <c r="HZ114" s="17"/>
      <c r="IA114" s="16"/>
      <c r="IB114" s="17"/>
      <c r="IC114" s="17"/>
      <c r="ID114" s="17"/>
      <c r="IE114" s="17"/>
      <c r="IF114" s="17"/>
      <c r="IG114" s="17"/>
      <c r="IH114" s="17"/>
      <c r="II114" s="17"/>
      <c r="IJ114" s="17"/>
      <c r="IK114" s="17"/>
      <c r="IL114" s="17"/>
      <c r="IM114" s="17"/>
      <c r="IN114" s="17"/>
      <c r="IO114" s="17"/>
    </row>
    <row r="115" spans="2:249" ht="57">
      <c r="B115" s="126" t="s">
        <v>115</v>
      </c>
      <c r="C115" s="131">
        <v>1.2236466570909967</v>
      </c>
      <c r="D115" s="131" t="s">
        <v>193</v>
      </c>
      <c r="E115" s="131">
        <v>1.6549358224491268</v>
      </c>
      <c r="F115" s="131" t="s">
        <v>193</v>
      </c>
      <c r="G115" s="131">
        <v>1.3101566824049882</v>
      </c>
      <c r="H115" s="131" t="s">
        <v>193</v>
      </c>
      <c r="I115" s="131">
        <v>2.5184557627053472</v>
      </c>
      <c r="J115" s="131" t="s">
        <v>193</v>
      </c>
      <c r="K115" s="131">
        <v>2.2914438111090676</v>
      </c>
      <c r="L115" s="131" t="s">
        <v>193</v>
      </c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  <c r="BY115" s="137"/>
      <c r="BZ115" s="137"/>
      <c r="CA115" s="137"/>
      <c r="CB115" s="137"/>
      <c r="CC115" s="137"/>
      <c r="CD115" s="137"/>
      <c r="CE115" s="137"/>
      <c r="CF115" s="137"/>
      <c r="CG115" s="137"/>
      <c r="CH115" s="137"/>
      <c r="CI115" s="137"/>
      <c r="CJ115" s="137"/>
      <c r="CK115" s="137"/>
      <c r="CL115" s="137"/>
      <c r="CM115" s="137"/>
      <c r="CN115" s="137"/>
      <c r="CO115" s="137"/>
      <c r="CP115" s="137"/>
      <c r="CQ115" s="137"/>
      <c r="CR115" s="137"/>
      <c r="CS115" s="137"/>
      <c r="CT115" s="137"/>
      <c r="CU115" s="137"/>
      <c r="CV115" s="137"/>
      <c r="CW115" s="137"/>
      <c r="CX115" s="137"/>
      <c r="CY115" s="137"/>
      <c r="CZ115" s="137"/>
      <c r="DA115" s="137"/>
      <c r="DB115" s="137"/>
      <c r="DC115" s="137"/>
      <c r="DD115" s="137"/>
      <c r="DE115" s="137"/>
      <c r="DF115" s="137"/>
      <c r="DG115" s="137"/>
      <c r="DH115" s="137"/>
      <c r="DI115" s="137"/>
      <c r="DJ115" s="137"/>
      <c r="DK115" s="137"/>
      <c r="DL115" s="137"/>
      <c r="DM115" s="137"/>
      <c r="DN115" s="137"/>
      <c r="DO115" s="137"/>
      <c r="DP115" s="137"/>
      <c r="DQ115" s="137"/>
      <c r="DR115" s="137"/>
      <c r="DS115" s="137"/>
      <c r="DT115" s="137"/>
      <c r="DU115" s="137"/>
      <c r="DV115" s="137"/>
      <c r="DW115" s="137"/>
      <c r="DX115" s="137"/>
      <c r="DY115" s="137"/>
      <c r="DZ115" s="137"/>
      <c r="EA115" s="137"/>
      <c r="EB115" s="137"/>
      <c r="EC115" s="137"/>
      <c r="ED115" s="137"/>
      <c r="EE115" s="137"/>
      <c r="EF115" s="137"/>
      <c r="EG115" s="137"/>
      <c r="EH115" s="137"/>
      <c r="EI115" s="137"/>
      <c r="EJ115" s="137"/>
      <c r="EK115" s="137"/>
      <c r="EL115" s="137"/>
      <c r="EM115" s="137"/>
      <c r="EN115" s="137"/>
      <c r="EO115" s="137"/>
      <c r="EP115" s="137"/>
      <c r="EQ115" s="137"/>
      <c r="ER115" s="137"/>
      <c r="ES115" s="137"/>
      <c r="ET115" s="137"/>
      <c r="EU115" s="137"/>
      <c r="EV115" s="137"/>
      <c r="EW115" s="137"/>
      <c r="EX115" s="137"/>
      <c r="EY115" s="137"/>
      <c r="EZ115" s="137"/>
      <c r="FA115" s="137"/>
      <c r="FB115" s="137"/>
      <c r="FC115" s="137"/>
      <c r="FD115" s="137"/>
      <c r="FE115" s="137"/>
      <c r="FF115" s="137"/>
      <c r="FG115" s="137"/>
      <c r="FH115" s="137"/>
      <c r="FI115" s="137"/>
      <c r="FJ115" s="137"/>
      <c r="FK115" s="137"/>
      <c r="FL115" s="137"/>
      <c r="FM115" s="137"/>
      <c r="FN115" s="137"/>
      <c r="FO115" s="137"/>
      <c r="FP115" s="137"/>
      <c r="FQ115" s="137"/>
      <c r="FR115" s="137"/>
      <c r="FS115" s="137"/>
      <c r="FT115" s="137"/>
      <c r="FU115" s="137"/>
      <c r="FV115" s="1"/>
      <c r="FW115" s="1"/>
      <c r="FX115" s="1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1"/>
      <c r="GJ115" s="1"/>
      <c r="GK115" s="1"/>
      <c r="GL115" s="1"/>
      <c r="GM115" s="1"/>
      <c r="GN115" s="1"/>
      <c r="GO115" s="1"/>
      <c r="GP115" s="1"/>
      <c r="GR115" s="16"/>
      <c r="GS115" s="73"/>
      <c r="GT115" s="73"/>
      <c r="GU115" s="79"/>
      <c r="GV115" s="67"/>
      <c r="GW115" s="1"/>
      <c r="GX115" s="58"/>
      <c r="GY115" s="23"/>
      <c r="GZ115" s="27"/>
      <c r="HA115" s="17"/>
      <c r="HB115" s="17"/>
      <c r="HC115" s="17"/>
      <c r="HD115" s="17"/>
      <c r="HE115" s="17"/>
      <c r="HF115" s="17"/>
      <c r="HG115" s="17"/>
      <c r="HH115" s="17"/>
      <c r="HI115" s="17"/>
      <c r="HJ115" s="17"/>
      <c r="HK115" s="17"/>
      <c r="HL115" s="16"/>
      <c r="HM115" s="27"/>
      <c r="HN115" s="27"/>
      <c r="HO115" s="27"/>
      <c r="HP115" s="17"/>
      <c r="HQ115" s="17"/>
      <c r="HR115" s="17"/>
      <c r="HS115" s="17"/>
      <c r="HT115" s="17"/>
      <c r="HU115" s="17"/>
      <c r="HV115" s="17"/>
      <c r="HW115" s="17"/>
      <c r="HX115" s="17"/>
      <c r="HY115" s="17"/>
      <c r="HZ115" s="17"/>
      <c r="IA115" s="16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</row>
    <row r="116" spans="2:249" ht="23.25">
      <c r="B116" s="127" t="s">
        <v>116</v>
      </c>
      <c r="C116" s="133">
        <v>55.064099569094857</v>
      </c>
      <c r="D116" s="133" t="s">
        <v>4</v>
      </c>
      <c r="E116" s="133">
        <v>74.472112010210708</v>
      </c>
      <c r="F116" s="133" t="s">
        <v>4</v>
      </c>
      <c r="G116" s="133">
        <v>62.887520755439439</v>
      </c>
      <c r="H116" s="133" t="s">
        <v>4</v>
      </c>
      <c r="I116" s="133">
        <v>73.885876609856666</v>
      </c>
      <c r="J116" s="133" t="s">
        <v>4</v>
      </c>
      <c r="K116" s="133">
        <v>104.26069340546258</v>
      </c>
      <c r="L116" s="133" t="s">
        <v>4</v>
      </c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137"/>
      <c r="DE116" s="137"/>
      <c r="DF116" s="137"/>
      <c r="DG116" s="137"/>
      <c r="DH116" s="137"/>
      <c r="DI116" s="137"/>
      <c r="DJ116" s="137"/>
      <c r="DK116" s="137"/>
      <c r="DL116" s="137"/>
      <c r="DM116" s="137"/>
      <c r="DN116" s="137"/>
      <c r="DO116" s="137"/>
      <c r="DP116" s="137"/>
      <c r="DQ116" s="137"/>
      <c r="DR116" s="137"/>
      <c r="DS116" s="137"/>
      <c r="DT116" s="137"/>
      <c r="DU116" s="137"/>
      <c r="DV116" s="137"/>
      <c r="DW116" s="137"/>
      <c r="DX116" s="137"/>
      <c r="DY116" s="137"/>
      <c r="DZ116" s="137"/>
      <c r="EA116" s="137"/>
      <c r="EB116" s="137"/>
      <c r="EC116" s="137"/>
      <c r="ED116" s="137"/>
      <c r="EE116" s="137"/>
      <c r="EF116" s="137"/>
      <c r="EG116" s="137"/>
      <c r="EH116" s="137"/>
      <c r="EI116" s="137"/>
      <c r="EJ116" s="137"/>
      <c r="EK116" s="137"/>
      <c r="EL116" s="137"/>
      <c r="EM116" s="137"/>
      <c r="EN116" s="137"/>
      <c r="EO116" s="137"/>
      <c r="EP116" s="137"/>
      <c r="EQ116" s="137"/>
      <c r="ER116" s="137"/>
      <c r="ES116" s="137"/>
      <c r="ET116" s="137"/>
      <c r="EU116" s="137"/>
      <c r="EV116" s="137"/>
      <c r="EW116" s="137"/>
      <c r="EX116" s="137"/>
      <c r="EY116" s="137"/>
      <c r="EZ116" s="137"/>
      <c r="FA116" s="137"/>
      <c r="FB116" s="137"/>
      <c r="FC116" s="137"/>
      <c r="FD116" s="137"/>
      <c r="FE116" s="137"/>
      <c r="FF116" s="137"/>
      <c r="FG116" s="137"/>
      <c r="FH116" s="137"/>
      <c r="FI116" s="137"/>
      <c r="FJ116" s="137"/>
      <c r="FK116" s="137"/>
      <c r="FL116" s="137"/>
      <c r="FM116" s="137"/>
      <c r="FN116" s="137"/>
      <c r="FO116" s="137"/>
      <c r="FP116" s="137"/>
      <c r="FQ116" s="137"/>
      <c r="FR116" s="137"/>
      <c r="FS116" s="137"/>
      <c r="FT116" s="137"/>
      <c r="FU116" s="137"/>
      <c r="FV116" s="1"/>
      <c r="FW116" s="1"/>
      <c r="FX116" s="1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1"/>
      <c r="GJ116" s="1"/>
      <c r="GK116" s="1"/>
      <c r="GL116" s="1"/>
      <c r="GM116" s="1"/>
      <c r="GN116" s="1"/>
      <c r="GO116" s="1"/>
      <c r="GP116" s="1"/>
      <c r="GR116" s="16"/>
      <c r="GS116" s="73"/>
      <c r="GT116" s="98"/>
      <c r="GU116" s="85"/>
      <c r="GV116" s="70"/>
      <c r="GW116" s="1"/>
      <c r="GX116" s="162"/>
      <c r="GY116" s="34"/>
      <c r="GZ116" s="49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16"/>
      <c r="HM116" s="49"/>
      <c r="HN116" s="49"/>
      <c r="HO116" s="49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16"/>
      <c r="IB116" s="34"/>
      <c r="IC116" s="34"/>
      <c r="ID116" s="34"/>
      <c r="IE116" s="34"/>
      <c r="IF116" s="34"/>
      <c r="IG116" s="34"/>
      <c r="IH116" s="34"/>
      <c r="II116" s="34"/>
      <c r="IJ116" s="34"/>
      <c r="IK116" s="34"/>
      <c r="IL116" s="34"/>
      <c r="IM116" s="34"/>
      <c r="IN116" s="34"/>
      <c r="IO116" s="34"/>
    </row>
    <row r="117" spans="2:249" ht="15.75" thickBot="1">
      <c r="B117" s="126" t="s">
        <v>117</v>
      </c>
      <c r="C117" s="129">
        <v>50.658971603567267</v>
      </c>
      <c r="D117" s="129" t="s">
        <v>4</v>
      </c>
      <c r="E117" s="129">
        <v>69.259064169495957</v>
      </c>
      <c r="F117" s="129" t="s">
        <v>4</v>
      </c>
      <c r="G117" s="129">
        <v>61.000895132776257</v>
      </c>
      <c r="H117" s="129" t="s">
        <v>4</v>
      </c>
      <c r="I117" s="129">
        <v>69.512724013265256</v>
      </c>
      <c r="J117" s="129" t="s">
        <v>4</v>
      </c>
      <c r="K117" s="129">
        <v>98.005051801134812</v>
      </c>
      <c r="L117" s="129" t="s">
        <v>4</v>
      </c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137"/>
      <c r="DE117" s="137"/>
      <c r="DF117" s="137"/>
      <c r="DG117" s="137"/>
      <c r="DH117" s="137"/>
      <c r="DI117" s="137"/>
      <c r="DJ117" s="137"/>
      <c r="DK117" s="137"/>
      <c r="DL117" s="137"/>
      <c r="DM117" s="137"/>
      <c r="DN117" s="137"/>
      <c r="DO117" s="137"/>
      <c r="DP117" s="137"/>
      <c r="DQ117" s="137"/>
      <c r="DR117" s="137"/>
      <c r="DS117" s="137"/>
      <c r="DT117" s="137"/>
      <c r="DU117" s="137"/>
      <c r="DV117" s="137"/>
      <c r="DW117" s="137"/>
      <c r="DX117" s="137"/>
      <c r="DY117" s="137"/>
      <c r="DZ117" s="137"/>
      <c r="EA117" s="137"/>
      <c r="EB117" s="137"/>
      <c r="EC117" s="137"/>
      <c r="ED117" s="137"/>
      <c r="EE117" s="137"/>
      <c r="EF117" s="137"/>
      <c r="EG117" s="137"/>
      <c r="EH117" s="137"/>
      <c r="EI117" s="137"/>
      <c r="EJ117" s="137"/>
      <c r="EK117" s="137"/>
      <c r="EL117" s="137"/>
      <c r="EM117" s="137"/>
      <c r="EN117" s="137"/>
      <c r="EO117" s="137"/>
      <c r="EP117" s="137"/>
      <c r="EQ117" s="137"/>
      <c r="ER117" s="137"/>
      <c r="ES117" s="137"/>
      <c r="ET117" s="137"/>
      <c r="EU117" s="137"/>
      <c r="EV117" s="137"/>
      <c r="EW117" s="137"/>
      <c r="EX117" s="137"/>
      <c r="EY117" s="137"/>
      <c r="EZ117" s="137"/>
      <c r="FA117" s="137"/>
      <c r="FB117" s="137"/>
      <c r="FC117" s="137"/>
      <c r="FD117" s="137"/>
      <c r="FE117" s="137"/>
      <c r="FF117" s="137"/>
      <c r="FG117" s="137"/>
      <c r="FH117" s="137"/>
      <c r="FI117" s="137"/>
      <c r="FJ117" s="137"/>
      <c r="FK117" s="137"/>
      <c r="FL117" s="137"/>
      <c r="FM117" s="137"/>
      <c r="FN117" s="137"/>
      <c r="FO117" s="137"/>
      <c r="FP117" s="137"/>
      <c r="FQ117" s="137"/>
      <c r="FR117" s="137"/>
      <c r="FS117" s="137"/>
      <c r="FT117" s="137"/>
      <c r="FU117" s="137"/>
      <c r="FV117" s="1"/>
      <c r="FW117" s="1"/>
      <c r="FX117" s="1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1"/>
      <c r="GJ117" s="1"/>
      <c r="GK117" s="1"/>
      <c r="GL117" s="1"/>
      <c r="GM117" s="1"/>
      <c r="GN117" s="1"/>
      <c r="GO117" s="1"/>
      <c r="GP117" s="1"/>
      <c r="GR117" s="16"/>
      <c r="GS117" s="96"/>
      <c r="GT117" s="96"/>
      <c r="GU117" s="96"/>
      <c r="GV117" s="163"/>
      <c r="GW117" s="1"/>
      <c r="GX117" s="161"/>
      <c r="GY117" s="164"/>
      <c r="GZ117" s="4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16"/>
      <c r="HM117" s="48"/>
      <c r="HN117" s="48"/>
      <c r="HO117" s="4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16"/>
      <c r="IB117" s="164"/>
      <c r="IC117" s="164"/>
      <c r="ID117" s="164"/>
      <c r="IE117" s="164"/>
      <c r="IF117" s="164"/>
      <c r="IG117" s="164"/>
      <c r="IH117" s="164"/>
      <c r="II117" s="164"/>
      <c r="IJ117" s="164"/>
      <c r="IK117" s="164"/>
      <c r="IL117" s="164"/>
      <c r="IM117" s="164"/>
      <c r="IN117" s="164"/>
      <c r="IO117" s="164"/>
    </row>
    <row r="118" spans="2:249" ht="15.75" thickTop="1">
      <c r="B118" s="127" t="s">
        <v>118</v>
      </c>
      <c r="C118" s="128">
        <v>48.12602302338891</v>
      </c>
      <c r="D118" s="128" t="s">
        <v>4</v>
      </c>
      <c r="E118" s="128">
        <v>65.796110961021157</v>
      </c>
      <c r="F118" s="128" t="s">
        <v>4</v>
      </c>
      <c r="G118" s="128">
        <v>58.560859327465202</v>
      </c>
      <c r="H118" s="128" t="s">
        <v>4</v>
      </c>
      <c r="I118" s="128">
        <v>67.45734229286731</v>
      </c>
      <c r="J118" s="128" t="s">
        <v>4</v>
      </c>
      <c r="K118" s="128">
        <v>88.204546621021322</v>
      </c>
      <c r="L118" s="128" t="s">
        <v>4</v>
      </c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137"/>
      <c r="DE118" s="137"/>
      <c r="DF118" s="137"/>
      <c r="DG118" s="137"/>
      <c r="DH118" s="137"/>
      <c r="DI118" s="137"/>
      <c r="DJ118" s="137"/>
      <c r="DK118" s="137"/>
      <c r="DL118" s="137"/>
      <c r="DM118" s="137"/>
      <c r="DN118" s="137"/>
      <c r="DO118" s="137"/>
      <c r="DP118" s="137"/>
      <c r="DQ118" s="137"/>
      <c r="DR118" s="137"/>
      <c r="DS118" s="137"/>
      <c r="DT118" s="137"/>
      <c r="DU118" s="137"/>
      <c r="DV118" s="137"/>
      <c r="DW118" s="137"/>
      <c r="DX118" s="137"/>
      <c r="DY118" s="137"/>
      <c r="DZ118" s="137"/>
      <c r="EA118" s="137"/>
      <c r="EB118" s="137"/>
      <c r="EC118" s="137"/>
      <c r="ED118" s="137"/>
      <c r="EE118" s="137"/>
      <c r="EF118" s="137"/>
      <c r="EG118" s="137"/>
      <c r="EH118" s="137"/>
      <c r="EI118" s="137"/>
      <c r="EJ118" s="137"/>
      <c r="EK118" s="137"/>
      <c r="EL118" s="137"/>
      <c r="EM118" s="137"/>
      <c r="EN118" s="137"/>
      <c r="EO118" s="137"/>
      <c r="EP118" s="137"/>
      <c r="EQ118" s="137"/>
      <c r="ER118" s="137"/>
      <c r="ES118" s="137"/>
      <c r="ET118" s="137"/>
      <c r="EU118" s="137"/>
      <c r="EV118" s="137"/>
      <c r="EW118" s="137"/>
      <c r="EX118" s="137"/>
      <c r="EY118" s="137"/>
      <c r="EZ118" s="137"/>
      <c r="FA118" s="137"/>
      <c r="FB118" s="137"/>
      <c r="FC118" s="137"/>
      <c r="FD118" s="137"/>
      <c r="FE118" s="137"/>
      <c r="FF118" s="137"/>
      <c r="FG118" s="137"/>
      <c r="FH118" s="137"/>
      <c r="FI118" s="137"/>
      <c r="FJ118" s="137"/>
      <c r="FK118" s="137"/>
      <c r="FL118" s="137"/>
      <c r="FM118" s="137"/>
      <c r="FN118" s="137"/>
      <c r="FO118" s="137"/>
      <c r="FP118" s="137"/>
      <c r="FQ118" s="137"/>
      <c r="FR118" s="137"/>
      <c r="FS118" s="137"/>
      <c r="FT118" s="137"/>
      <c r="FU118" s="137"/>
      <c r="FV118" s="1"/>
      <c r="FW118" s="1"/>
      <c r="FX118" s="1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1"/>
      <c r="GJ118" s="1"/>
      <c r="GK118" s="1"/>
      <c r="GL118" s="1"/>
      <c r="GM118" s="1"/>
      <c r="GN118" s="1"/>
      <c r="GO118" s="1"/>
      <c r="GP118" s="1"/>
      <c r="GR118" s="16"/>
      <c r="GS118" s="1"/>
      <c r="GT118" s="1"/>
      <c r="GU118" s="1"/>
      <c r="GV118" s="9"/>
      <c r="GW118" s="1"/>
      <c r="GX118" s="16"/>
      <c r="GY118" s="16"/>
      <c r="GZ118" s="44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</row>
    <row r="119" spans="2:249" ht="23.25">
      <c r="B119" s="126" t="s">
        <v>119</v>
      </c>
      <c r="C119" s="130">
        <v>0.90476923283971156</v>
      </c>
      <c r="D119" s="130" t="s">
        <v>193</v>
      </c>
      <c r="E119" s="130">
        <v>1.250126108259402</v>
      </c>
      <c r="F119" s="130" t="s">
        <v>193</v>
      </c>
      <c r="G119" s="130">
        <v>1.1243684990873317</v>
      </c>
      <c r="H119" s="130" t="s">
        <v>193</v>
      </c>
      <c r="I119" s="130">
        <v>2.2892724404816258</v>
      </c>
      <c r="J119" s="130" t="s">
        <v>193</v>
      </c>
      <c r="K119" s="130">
        <v>1.605322748502588</v>
      </c>
      <c r="L119" s="130" t="s">
        <v>193</v>
      </c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  <c r="BZ119" s="137"/>
      <c r="CA119" s="137"/>
      <c r="CB119" s="137"/>
      <c r="CC119" s="137"/>
      <c r="CD119" s="137"/>
      <c r="CE119" s="137"/>
      <c r="CF119" s="137"/>
      <c r="CG119" s="137"/>
      <c r="CH119" s="137"/>
      <c r="CI119" s="137"/>
      <c r="CJ119" s="137"/>
      <c r="CK119" s="137"/>
      <c r="CL119" s="137"/>
      <c r="CM119" s="137"/>
      <c r="CN119" s="137"/>
      <c r="CO119" s="137"/>
      <c r="CP119" s="137"/>
      <c r="CQ119" s="137"/>
      <c r="CR119" s="137"/>
      <c r="CS119" s="137"/>
      <c r="CT119" s="137"/>
      <c r="CU119" s="137"/>
      <c r="CV119" s="137"/>
      <c r="CW119" s="137"/>
      <c r="CX119" s="137"/>
      <c r="CY119" s="137"/>
      <c r="CZ119" s="137"/>
      <c r="DA119" s="137"/>
      <c r="DB119" s="137"/>
      <c r="DC119" s="137"/>
      <c r="DD119" s="137"/>
      <c r="DE119" s="137"/>
      <c r="DF119" s="137"/>
      <c r="DG119" s="137"/>
      <c r="DH119" s="137"/>
      <c r="DI119" s="137"/>
      <c r="DJ119" s="137"/>
      <c r="DK119" s="137"/>
      <c r="DL119" s="137"/>
      <c r="DM119" s="137"/>
      <c r="DN119" s="137"/>
      <c r="DO119" s="137"/>
      <c r="DP119" s="137"/>
      <c r="DQ119" s="137"/>
      <c r="DR119" s="137"/>
      <c r="DS119" s="137"/>
      <c r="DT119" s="137"/>
      <c r="DU119" s="137"/>
      <c r="DV119" s="137"/>
      <c r="DW119" s="137"/>
      <c r="DX119" s="137"/>
      <c r="DY119" s="137"/>
      <c r="DZ119" s="137"/>
      <c r="EA119" s="137"/>
      <c r="EB119" s="137"/>
      <c r="EC119" s="137"/>
      <c r="ED119" s="137"/>
      <c r="EE119" s="137"/>
      <c r="EF119" s="137"/>
      <c r="EG119" s="137"/>
      <c r="EH119" s="137"/>
      <c r="EI119" s="137"/>
      <c r="EJ119" s="137"/>
      <c r="EK119" s="137"/>
      <c r="EL119" s="137"/>
      <c r="EM119" s="137"/>
      <c r="EN119" s="137"/>
      <c r="EO119" s="137"/>
      <c r="EP119" s="137"/>
      <c r="EQ119" s="137"/>
      <c r="ER119" s="137"/>
      <c r="ES119" s="137"/>
      <c r="ET119" s="137"/>
      <c r="EU119" s="137"/>
      <c r="EV119" s="137"/>
      <c r="EW119" s="137"/>
      <c r="EX119" s="137"/>
      <c r="EY119" s="137"/>
      <c r="EZ119" s="137"/>
      <c r="FA119" s="137"/>
      <c r="FB119" s="137"/>
      <c r="FC119" s="137"/>
      <c r="FD119" s="137"/>
      <c r="FE119" s="137"/>
      <c r="FF119" s="137"/>
      <c r="FG119" s="137"/>
      <c r="FH119" s="137"/>
      <c r="FI119" s="137"/>
      <c r="FJ119" s="137"/>
      <c r="FK119" s="137"/>
      <c r="FL119" s="137"/>
      <c r="FM119" s="137"/>
      <c r="FN119" s="137"/>
      <c r="FO119" s="137"/>
      <c r="FP119" s="137"/>
      <c r="FQ119" s="137"/>
      <c r="FR119" s="137"/>
      <c r="FS119" s="137"/>
      <c r="FT119" s="137"/>
      <c r="FU119" s="137"/>
      <c r="FV119" s="1"/>
      <c r="FW119" s="1"/>
      <c r="FX119" s="1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1"/>
      <c r="GJ119" s="1"/>
      <c r="GK119" s="1"/>
      <c r="GL119" s="1"/>
      <c r="GM119" s="1"/>
      <c r="GN119" s="1"/>
      <c r="GO119" s="1"/>
      <c r="GP119" s="1"/>
      <c r="GR119" s="16"/>
      <c r="GS119" s="18"/>
      <c r="GT119" s="18"/>
      <c r="GU119" s="18"/>
      <c r="GV119" s="39"/>
      <c r="GW119" s="1"/>
      <c r="GX119" s="40"/>
      <c r="GY119" s="40"/>
      <c r="GZ119" s="45"/>
      <c r="HA119" s="45"/>
      <c r="HB119" s="45"/>
      <c r="HC119" s="45"/>
      <c r="HD119" s="45"/>
      <c r="HE119" s="45"/>
      <c r="HF119" s="45"/>
      <c r="HG119" s="45"/>
      <c r="HH119" s="45"/>
      <c r="HI119" s="45"/>
      <c r="HJ119" s="45"/>
      <c r="HK119" s="45"/>
      <c r="HL119" s="16"/>
      <c r="HM119" s="45"/>
      <c r="HN119" s="45"/>
      <c r="HO119" s="45"/>
      <c r="HP119" s="45"/>
      <c r="HQ119" s="45"/>
      <c r="HR119" s="45"/>
      <c r="HS119" s="45"/>
      <c r="HT119" s="45"/>
      <c r="HU119" s="45"/>
      <c r="HV119" s="45"/>
      <c r="HW119" s="45"/>
      <c r="HX119" s="45"/>
      <c r="HY119" s="45"/>
      <c r="HZ119" s="45"/>
      <c r="IA119" s="16"/>
      <c r="IB119" s="45"/>
      <c r="IC119" s="45"/>
      <c r="ID119" s="45"/>
      <c r="IE119" s="45"/>
      <c r="IF119" s="45"/>
      <c r="IG119" s="45"/>
      <c r="IH119" s="45"/>
      <c r="II119" s="45"/>
      <c r="IJ119" s="45"/>
      <c r="IK119" s="45"/>
      <c r="IL119" s="45"/>
      <c r="IM119" s="45"/>
      <c r="IN119" s="45"/>
      <c r="IO119" s="45"/>
    </row>
    <row r="120" spans="2:249" ht="23.25">
      <c r="B120" s="127" t="s">
        <v>120</v>
      </c>
      <c r="C120" s="133">
        <v>0.81429230955574039</v>
      </c>
      <c r="D120" s="133" t="s">
        <v>193</v>
      </c>
      <c r="E120" s="133">
        <v>1.1501160195986495</v>
      </c>
      <c r="F120" s="133" t="s">
        <v>193</v>
      </c>
      <c r="G120" s="133">
        <v>1.0793937591238385</v>
      </c>
      <c r="H120" s="133" t="s">
        <v>193</v>
      </c>
      <c r="I120" s="133">
        <v>2.1732379208382797</v>
      </c>
      <c r="J120" s="133" t="s">
        <v>193</v>
      </c>
      <c r="K120" s="133">
        <v>1.476896928622381</v>
      </c>
      <c r="L120" s="133" t="s">
        <v>193</v>
      </c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  <c r="BZ120" s="137"/>
      <c r="CA120" s="137"/>
      <c r="CB120" s="137"/>
      <c r="CC120" s="137"/>
      <c r="CD120" s="137"/>
      <c r="CE120" s="137"/>
      <c r="CF120" s="137"/>
      <c r="CG120" s="137"/>
      <c r="CH120" s="137"/>
      <c r="CI120" s="137"/>
      <c r="CJ120" s="137"/>
      <c r="CK120" s="137"/>
      <c r="CL120" s="137"/>
      <c r="CM120" s="137"/>
      <c r="CN120" s="137"/>
      <c r="CO120" s="137"/>
      <c r="CP120" s="137"/>
      <c r="CQ120" s="137"/>
      <c r="CR120" s="137"/>
      <c r="CS120" s="137"/>
      <c r="CT120" s="137"/>
      <c r="CU120" s="137"/>
      <c r="CV120" s="137"/>
      <c r="CW120" s="137"/>
      <c r="CX120" s="137"/>
      <c r="CY120" s="137"/>
      <c r="CZ120" s="137"/>
      <c r="DA120" s="137"/>
      <c r="DB120" s="137"/>
      <c r="DC120" s="137"/>
      <c r="DD120" s="137"/>
      <c r="DE120" s="137"/>
      <c r="DF120" s="137"/>
      <c r="DG120" s="137"/>
      <c r="DH120" s="137"/>
      <c r="DI120" s="137"/>
      <c r="DJ120" s="137"/>
      <c r="DK120" s="137"/>
      <c r="DL120" s="137"/>
      <c r="DM120" s="137"/>
      <c r="DN120" s="137"/>
      <c r="DO120" s="137"/>
      <c r="DP120" s="137"/>
      <c r="DQ120" s="137"/>
      <c r="DR120" s="137"/>
      <c r="DS120" s="137"/>
      <c r="DT120" s="137"/>
      <c r="DU120" s="137"/>
      <c r="DV120" s="137"/>
      <c r="DW120" s="137"/>
      <c r="DX120" s="137"/>
      <c r="DY120" s="137"/>
      <c r="DZ120" s="137"/>
      <c r="EA120" s="137"/>
      <c r="EB120" s="137"/>
      <c r="EC120" s="137"/>
      <c r="ED120" s="137"/>
      <c r="EE120" s="137"/>
      <c r="EF120" s="137"/>
      <c r="EG120" s="137"/>
      <c r="EH120" s="137"/>
      <c r="EI120" s="137"/>
      <c r="EJ120" s="137"/>
      <c r="EK120" s="137"/>
      <c r="EL120" s="137"/>
      <c r="EM120" s="137"/>
      <c r="EN120" s="137"/>
      <c r="EO120" s="137"/>
      <c r="EP120" s="137"/>
      <c r="EQ120" s="137"/>
      <c r="ER120" s="137"/>
      <c r="ES120" s="137"/>
      <c r="ET120" s="137"/>
      <c r="EU120" s="137"/>
      <c r="EV120" s="137"/>
      <c r="EW120" s="137"/>
      <c r="EX120" s="137"/>
      <c r="EY120" s="137"/>
      <c r="EZ120" s="137"/>
      <c r="FA120" s="137"/>
      <c r="FB120" s="137"/>
      <c r="FC120" s="137"/>
      <c r="FD120" s="137"/>
      <c r="FE120" s="137"/>
      <c r="FF120" s="137"/>
      <c r="FG120" s="137"/>
      <c r="FH120" s="137"/>
      <c r="FI120" s="137"/>
      <c r="FJ120" s="137"/>
      <c r="FK120" s="137"/>
      <c r="FL120" s="137"/>
      <c r="FM120" s="137"/>
      <c r="FN120" s="137"/>
      <c r="FO120" s="137"/>
      <c r="FP120" s="137"/>
      <c r="FQ120" s="137"/>
      <c r="FR120" s="137"/>
      <c r="FS120" s="137"/>
      <c r="FT120" s="137"/>
      <c r="FU120" s="137"/>
      <c r="FV120" s="1"/>
      <c r="FW120" s="1"/>
      <c r="FX120" s="1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1"/>
      <c r="GJ120" s="1"/>
      <c r="GK120" s="1"/>
      <c r="GL120" s="1"/>
      <c r="GM120" s="1"/>
      <c r="GN120" s="1"/>
      <c r="GO120" s="1"/>
      <c r="GP120" s="1"/>
      <c r="GR120" s="1"/>
      <c r="GS120" s="1"/>
      <c r="GT120" s="1"/>
      <c r="GU120" s="1"/>
      <c r="GV120" s="9"/>
      <c r="GW120" s="1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7"/>
      <c r="HQ120" s="17"/>
      <c r="HR120" s="17"/>
      <c r="HS120" s="17"/>
      <c r="HT120" s="17"/>
      <c r="HU120" s="17"/>
      <c r="HV120" s="17"/>
      <c r="HW120" s="17"/>
      <c r="HX120" s="17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</row>
    <row r="121" spans="2:249">
      <c r="B121" s="126" t="s">
        <v>121</v>
      </c>
      <c r="C121" s="131">
        <v>37.050300084786187</v>
      </c>
      <c r="D121" s="131" t="s">
        <v>4</v>
      </c>
      <c r="E121" s="131">
        <v>55.780626950534504</v>
      </c>
      <c r="F121" s="131" t="s">
        <v>4</v>
      </c>
      <c r="G121" s="131">
        <v>49.652112919696577</v>
      </c>
      <c r="H121" s="131" t="s">
        <v>4</v>
      </c>
      <c r="I121" s="131">
        <v>56.142182279399137</v>
      </c>
      <c r="J121" s="131" t="s">
        <v>4</v>
      </c>
      <c r="K121" s="131">
        <v>70.1526041095631</v>
      </c>
      <c r="L121" s="131" t="s">
        <v>4</v>
      </c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  <c r="BZ121" s="137"/>
      <c r="CA121" s="137"/>
      <c r="CB121" s="137"/>
      <c r="CC121" s="137"/>
      <c r="CD121" s="137"/>
      <c r="CE121" s="137"/>
      <c r="CF121" s="137"/>
      <c r="CG121" s="137"/>
      <c r="CH121" s="137"/>
      <c r="CI121" s="137"/>
      <c r="CJ121" s="137"/>
      <c r="CK121" s="137"/>
      <c r="CL121" s="137"/>
      <c r="CM121" s="137"/>
      <c r="CN121" s="137"/>
      <c r="CO121" s="137"/>
      <c r="CP121" s="137"/>
      <c r="CQ121" s="137"/>
      <c r="CR121" s="137"/>
      <c r="CS121" s="137"/>
      <c r="CT121" s="137"/>
      <c r="CU121" s="137"/>
      <c r="CV121" s="137"/>
      <c r="CW121" s="137"/>
      <c r="CX121" s="137"/>
      <c r="CY121" s="137"/>
      <c r="CZ121" s="137"/>
      <c r="DA121" s="137"/>
      <c r="DB121" s="137"/>
      <c r="DC121" s="137"/>
      <c r="DD121" s="137"/>
      <c r="DE121" s="137"/>
      <c r="DF121" s="137"/>
      <c r="DG121" s="137"/>
      <c r="DH121" s="137"/>
      <c r="DI121" s="137"/>
      <c r="DJ121" s="137"/>
      <c r="DK121" s="137"/>
      <c r="DL121" s="137"/>
      <c r="DM121" s="137"/>
      <c r="DN121" s="137"/>
      <c r="DO121" s="137"/>
      <c r="DP121" s="137"/>
      <c r="DQ121" s="137"/>
      <c r="DR121" s="137"/>
      <c r="DS121" s="137"/>
      <c r="DT121" s="137"/>
      <c r="DU121" s="137"/>
      <c r="DV121" s="137"/>
      <c r="DW121" s="137"/>
      <c r="DX121" s="137"/>
      <c r="DY121" s="137"/>
      <c r="DZ121" s="137"/>
      <c r="EA121" s="137"/>
      <c r="EB121" s="137"/>
      <c r="EC121" s="137"/>
      <c r="ED121" s="137"/>
      <c r="EE121" s="137"/>
      <c r="EF121" s="137"/>
      <c r="EG121" s="137"/>
      <c r="EH121" s="137"/>
      <c r="EI121" s="137"/>
      <c r="EJ121" s="137"/>
      <c r="EK121" s="137"/>
      <c r="EL121" s="137"/>
      <c r="EM121" s="137"/>
      <c r="EN121" s="137"/>
      <c r="EO121" s="137"/>
      <c r="EP121" s="137"/>
      <c r="EQ121" s="137"/>
      <c r="ER121" s="137"/>
      <c r="ES121" s="137"/>
      <c r="ET121" s="137"/>
      <c r="EU121" s="137"/>
      <c r="EV121" s="137"/>
      <c r="EW121" s="137"/>
      <c r="EX121" s="137"/>
      <c r="EY121" s="137"/>
      <c r="EZ121" s="137"/>
      <c r="FA121" s="137"/>
      <c r="FB121" s="137"/>
      <c r="FC121" s="137"/>
      <c r="FD121" s="137"/>
      <c r="FE121" s="137"/>
      <c r="FF121" s="137"/>
      <c r="FG121" s="137"/>
      <c r="FH121" s="137"/>
      <c r="FI121" s="137"/>
      <c r="FJ121" s="137"/>
      <c r="FK121" s="137"/>
      <c r="FL121" s="137"/>
      <c r="FM121" s="137"/>
      <c r="FN121" s="137"/>
      <c r="FO121" s="137"/>
      <c r="FP121" s="137"/>
      <c r="FQ121" s="137"/>
      <c r="FR121" s="137"/>
      <c r="FS121" s="137"/>
      <c r="FT121" s="137"/>
      <c r="FU121" s="137"/>
      <c r="FV121" s="1"/>
      <c r="FW121" s="1"/>
      <c r="FX121" s="1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1"/>
      <c r="GJ121" s="1"/>
      <c r="GK121" s="1"/>
      <c r="GL121" s="1"/>
      <c r="GM121" s="1"/>
      <c r="GN121" s="1"/>
      <c r="GO121" s="1"/>
      <c r="GP121" s="1"/>
      <c r="GR121" s="1"/>
      <c r="GS121" s="1"/>
      <c r="GT121" s="1"/>
      <c r="GU121" s="1"/>
      <c r="GV121" s="9"/>
      <c r="GW121" s="1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7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7"/>
      <c r="IC121" s="17"/>
      <c r="ID121" s="56"/>
      <c r="IE121" s="17"/>
      <c r="IF121" s="17"/>
      <c r="IG121" s="17"/>
      <c r="IH121" s="17"/>
      <c r="II121" s="17"/>
      <c r="IJ121" s="17"/>
      <c r="IK121" s="17"/>
      <c r="IL121" s="17"/>
      <c r="IM121" s="17"/>
      <c r="IN121" s="17"/>
      <c r="IO121" s="17"/>
    </row>
    <row r="122" spans="2:249">
      <c r="B122" s="127" t="s">
        <v>122</v>
      </c>
      <c r="C122" s="128">
        <v>35.197785080546879</v>
      </c>
      <c r="D122" s="128" t="s">
        <v>4</v>
      </c>
      <c r="E122" s="128">
        <v>51.318176794491748</v>
      </c>
      <c r="F122" s="128" t="s">
        <v>4</v>
      </c>
      <c r="G122" s="128">
        <v>44.686901627726918</v>
      </c>
      <c r="H122" s="128" t="s">
        <v>4</v>
      </c>
      <c r="I122" s="128">
        <v>54.487916811017172</v>
      </c>
      <c r="J122" s="128" t="s">
        <v>4</v>
      </c>
      <c r="K122" s="128">
        <v>68.048025986276201</v>
      </c>
      <c r="L122" s="128" t="s">
        <v>4</v>
      </c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  <c r="CC122" s="137"/>
      <c r="CD122" s="137"/>
      <c r="CE122" s="137"/>
      <c r="CF122" s="137"/>
      <c r="CG122" s="137"/>
      <c r="CH122" s="137"/>
      <c r="CI122" s="137"/>
      <c r="CJ122" s="137"/>
      <c r="CK122" s="137"/>
      <c r="CL122" s="137"/>
      <c r="CM122" s="137"/>
      <c r="CN122" s="137"/>
      <c r="CO122" s="137"/>
      <c r="CP122" s="137"/>
      <c r="CQ122" s="137"/>
      <c r="CR122" s="137"/>
      <c r="CS122" s="137"/>
      <c r="CT122" s="137"/>
      <c r="CU122" s="137"/>
      <c r="CV122" s="137"/>
      <c r="CW122" s="137"/>
      <c r="CX122" s="137"/>
      <c r="CY122" s="137"/>
      <c r="CZ122" s="137"/>
      <c r="DA122" s="137"/>
      <c r="DB122" s="137"/>
      <c r="DC122" s="137"/>
      <c r="DD122" s="137"/>
      <c r="DE122" s="137"/>
      <c r="DF122" s="137"/>
      <c r="DG122" s="137"/>
      <c r="DH122" s="137"/>
      <c r="DI122" s="137"/>
      <c r="DJ122" s="137"/>
      <c r="DK122" s="137"/>
      <c r="DL122" s="137"/>
      <c r="DM122" s="137"/>
      <c r="DN122" s="137"/>
      <c r="DO122" s="137"/>
      <c r="DP122" s="137"/>
      <c r="DQ122" s="137"/>
      <c r="DR122" s="137"/>
      <c r="DS122" s="137"/>
      <c r="DT122" s="137"/>
      <c r="DU122" s="137"/>
      <c r="DV122" s="137"/>
      <c r="DW122" s="137"/>
      <c r="DX122" s="137"/>
      <c r="DY122" s="137"/>
      <c r="DZ122" s="137"/>
      <c r="EA122" s="137"/>
      <c r="EB122" s="137"/>
      <c r="EC122" s="137"/>
      <c r="ED122" s="137"/>
      <c r="EE122" s="137"/>
      <c r="EF122" s="137"/>
      <c r="EG122" s="137"/>
      <c r="EH122" s="137"/>
      <c r="EI122" s="137"/>
      <c r="EJ122" s="137"/>
      <c r="EK122" s="137"/>
      <c r="EL122" s="137"/>
      <c r="EM122" s="137"/>
      <c r="EN122" s="137"/>
      <c r="EO122" s="137"/>
      <c r="EP122" s="137"/>
      <c r="EQ122" s="137"/>
      <c r="ER122" s="137"/>
      <c r="ES122" s="137"/>
      <c r="ET122" s="137"/>
      <c r="EU122" s="137"/>
      <c r="EV122" s="137"/>
      <c r="EW122" s="137"/>
      <c r="EX122" s="137"/>
      <c r="EY122" s="137"/>
      <c r="EZ122" s="137"/>
      <c r="FA122" s="137"/>
      <c r="FB122" s="137"/>
      <c r="FC122" s="137"/>
      <c r="FD122" s="137"/>
      <c r="FE122" s="137"/>
      <c r="FF122" s="137"/>
      <c r="FG122" s="137"/>
      <c r="FH122" s="137"/>
      <c r="FI122" s="137"/>
      <c r="FJ122" s="137"/>
      <c r="FK122" s="137"/>
      <c r="FL122" s="137"/>
      <c r="FM122" s="137"/>
      <c r="FN122" s="137"/>
      <c r="FO122" s="137"/>
      <c r="FP122" s="137"/>
      <c r="FQ122" s="137"/>
      <c r="FR122" s="137"/>
      <c r="FS122" s="137"/>
      <c r="FT122" s="137"/>
      <c r="FU122" s="137"/>
      <c r="FV122" s="1"/>
      <c r="FW122" s="1"/>
      <c r="FX122" s="1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1"/>
      <c r="GJ122" s="1"/>
      <c r="GK122" s="1"/>
      <c r="GL122" s="1"/>
      <c r="GM122" s="1"/>
      <c r="GN122" s="1"/>
      <c r="GO122" s="1"/>
      <c r="GP122" s="1"/>
      <c r="GR122" s="1"/>
      <c r="GS122" s="1"/>
      <c r="GT122" s="1"/>
      <c r="GU122" s="1"/>
      <c r="GV122" s="9"/>
      <c r="GW122" s="1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2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</row>
    <row r="123" spans="2:249" ht="23.25">
      <c r="B123" s="126" t="s">
        <v>123</v>
      </c>
      <c r="C123" s="129">
        <v>0.66171835951428137</v>
      </c>
      <c r="D123" s="129" t="s">
        <v>193</v>
      </c>
      <c r="E123" s="129">
        <v>0.95451808837754659</v>
      </c>
      <c r="F123" s="129" t="s">
        <v>193</v>
      </c>
      <c r="G123" s="129">
        <v>0.81330160962462983</v>
      </c>
      <c r="H123" s="129" t="s">
        <v>193</v>
      </c>
      <c r="I123" s="129">
        <v>1.962782502598309</v>
      </c>
      <c r="J123" s="129" t="s">
        <v>193</v>
      </c>
      <c r="K123" s="129">
        <v>1.2656932833447374</v>
      </c>
      <c r="L123" s="129" t="s">
        <v>193</v>
      </c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  <c r="CC123" s="137"/>
      <c r="CD123" s="137"/>
      <c r="CE123" s="137"/>
      <c r="CF123" s="137"/>
      <c r="CG123" s="137"/>
      <c r="CH123" s="137"/>
      <c r="CI123" s="137"/>
      <c r="CJ123" s="137"/>
      <c r="CK123" s="137"/>
      <c r="CL123" s="137"/>
      <c r="CM123" s="137"/>
      <c r="CN123" s="137"/>
      <c r="CO123" s="137"/>
      <c r="CP123" s="137"/>
      <c r="CQ123" s="137"/>
      <c r="CR123" s="137"/>
      <c r="CS123" s="137"/>
      <c r="CT123" s="137"/>
      <c r="CU123" s="137"/>
      <c r="CV123" s="137"/>
      <c r="CW123" s="137"/>
      <c r="CX123" s="137"/>
      <c r="CY123" s="137"/>
      <c r="CZ123" s="137"/>
      <c r="DA123" s="137"/>
      <c r="DB123" s="137"/>
      <c r="DC123" s="137"/>
      <c r="DD123" s="137"/>
      <c r="DE123" s="137"/>
      <c r="DF123" s="137"/>
      <c r="DG123" s="137"/>
      <c r="DH123" s="137"/>
      <c r="DI123" s="137"/>
      <c r="DJ123" s="137"/>
      <c r="DK123" s="137"/>
      <c r="DL123" s="137"/>
      <c r="DM123" s="137"/>
      <c r="DN123" s="137"/>
      <c r="DO123" s="137"/>
      <c r="DP123" s="137"/>
      <c r="DQ123" s="137"/>
      <c r="DR123" s="137"/>
      <c r="DS123" s="137"/>
      <c r="DT123" s="137"/>
      <c r="DU123" s="137"/>
      <c r="DV123" s="137"/>
      <c r="DW123" s="137"/>
      <c r="DX123" s="137"/>
      <c r="DY123" s="137"/>
      <c r="DZ123" s="137"/>
      <c r="EA123" s="137"/>
      <c r="EB123" s="137"/>
      <c r="EC123" s="137"/>
      <c r="ED123" s="137"/>
      <c r="EE123" s="137"/>
      <c r="EF123" s="137"/>
      <c r="EG123" s="137"/>
      <c r="EH123" s="137"/>
      <c r="EI123" s="137"/>
      <c r="EJ123" s="137"/>
      <c r="EK123" s="137"/>
      <c r="EL123" s="137"/>
      <c r="EM123" s="137"/>
      <c r="EN123" s="137"/>
      <c r="EO123" s="137"/>
      <c r="EP123" s="137"/>
      <c r="EQ123" s="137"/>
      <c r="ER123" s="137"/>
      <c r="ES123" s="137"/>
      <c r="ET123" s="137"/>
      <c r="EU123" s="137"/>
      <c r="EV123" s="137"/>
      <c r="EW123" s="137"/>
      <c r="EX123" s="137"/>
      <c r="EY123" s="137"/>
      <c r="EZ123" s="137"/>
      <c r="FA123" s="137"/>
      <c r="FB123" s="137"/>
      <c r="FC123" s="137"/>
      <c r="FD123" s="137"/>
      <c r="FE123" s="137"/>
      <c r="FF123" s="137"/>
      <c r="FG123" s="137"/>
      <c r="FH123" s="137"/>
      <c r="FI123" s="137"/>
      <c r="FJ123" s="137"/>
      <c r="FK123" s="137"/>
      <c r="FL123" s="137"/>
      <c r="FM123" s="137"/>
      <c r="FN123" s="137"/>
      <c r="FO123" s="137"/>
      <c r="FP123" s="137"/>
      <c r="FQ123" s="137"/>
      <c r="FR123" s="137"/>
      <c r="FS123" s="137"/>
      <c r="FT123" s="137"/>
      <c r="FU123" s="137"/>
      <c r="FV123" s="1"/>
      <c r="FW123" s="1"/>
      <c r="FX123" s="1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1"/>
      <c r="GJ123" s="1"/>
      <c r="GK123" s="1"/>
      <c r="GL123" s="1"/>
      <c r="GM123" s="1"/>
      <c r="GN123" s="1"/>
      <c r="GO123" s="1"/>
      <c r="GP123" s="1"/>
      <c r="GR123" s="1"/>
      <c r="GS123" s="1"/>
      <c r="GT123" s="1"/>
      <c r="GU123" s="1"/>
      <c r="GV123" s="9"/>
      <c r="GW123" s="1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3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</row>
    <row r="124" spans="2:249" ht="23.25">
      <c r="B124" s="127" t="s">
        <v>124</v>
      </c>
      <c r="C124" s="133">
        <v>0.61539807434828164</v>
      </c>
      <c r="D124" s="133" t="s">
        <v>193</v>
      </c>
      <c r="E124" s="133">
        <v>0.90679218395866923</v>
      </c>
      <c r="F124" s="133" t="s">
        <v>193</v>
      </c>
      <c r="G124" s="133">
        <v>0.77263652914339842</v>
      </c>
      <c r="H124" s="133" t="s">
        <v>193</v>
      </c>
      <c r="I124" s="133">
        <v>1.8665042523384781</v>
      </c>
      <c r="J124" s="133" t="s">
        <v>193</v>
      </c>
      <c r="K124" s="133">
        <v>1.1770947535106058</v>
      </c>
      <c r="L124" s="133" t="s">
        <v>193</v>
      </c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  <c r="CC124" s="137"/>
      <c r="CD124" s="137"/>
      <c r="CE124" s="137"/>
      <c r="CF124" s="137"/>
      <c r="CG124" s="137"/>
      <c r="CH124" s="137"/>
      <c r="CI124" s="137"/>
      <c r="CJ124" s="137"/>
      <c r="CK124" s="137"/>
      <c r="CL124" s="137"/>
      <c r="CM124" s="137"/>
      <c r="CN124" s="137"/>
      <c r="CO124" s="137"/>
      <c r="CP124" s="137"/>
      <c r="CQ124" s="137"/>
      <c r="CR124" s="137"/>
      <c r="CS124" s="137"/>
      <c r="CT124" s="137"/>
      <c r="CU124" s="137"/>
      <c r="CV124" s="137"/>
      <c r="CW124" s="137"/>
      <c r="CX124" s="137"/>
      <c r="CY124" s="137"/>
      <c r="CZ124" s="137"/>
      <c r="DA124" s="137"/>
      <c r="DB124" s="137"/>
      <c r="DC124" s="137"/>
      <c r="DD124" s="137"/>
      <c r="DE124" s="137"/>
      <c r="DF124" s="137"/>
      <c r="DG124" s="137"/>
      <c r="DH124" s="137"/>
      <c r="DI124" s="137"/>
      <c r="DJ124" s="137"/>
      <c r="DK124" s="137"/>
      <c r="DL124" s="137"/>
      <c r="DM124" s="137"/>
      <c r="DN124" s="137"/>
      <c r="DO124" s="137"/>
      <c r="DP124" s="137"/>
      <c r="DQ124" s="137"/>
      <c r="DR124" s="137"/>
      <c r="DS124" s="137"/>
      <c r="DT124" s="137"/>
      <c r="DU124" s="137"/>
      <c r="DV124" s="137"/>
      <c r="DW124" s="137"/>
      <c r="DX124" s="137"/>
      <c r="DY124" s="137"/>
      <c r="DZ124" s="137"/>
      <c r="EA124" s="137"/>
      <c r="EB124" s="137"/>
      <c r="EC124" s="137"/>
      <c r="ED124" s="137"/>
      <c r="EE124" s="137"/>
      <c r="EF124" s="137"/>
      <c r="EG124" s="137"/>
      <c r="EH124" s="137"/>
      <c r="EI124" s="137"/>
      <c r="EJ124" s="137"/>
      <c r="EK124" s="137"/>
      <c r="EL124" s="137"/>
      <c r="EM124" s="137"/>
      <c r="EN124" s="137"/>
      <c r="EO124" s="137"/>
      <c r="EP124" s="137"/>
      <c r="EQ124" s="137"/>
      <c r="ER124" s="137"/>
      <c r="ES124" s="137"/>
      <c r="ET124" s="137"/>
      <c r="EU124" s="137"/>
      <c r="EV124" s="137"/>
      <c r="EW124" s="137"/>
      <c r="EX124" s="137"/>
      <c r="EY124" s="137"/>
      <c r="EZ124" s="137"/>
      <c r="FA124" s="137"/>
      <c r="FB124" s="137"/>
      <c r="FC124" s="137"/>
      <c r="FD124" s="137"/>
      <c r="FE124" s="137"/>
      <c r="FF124" s="137"/>
      <c r="FG124" s="137"/>
      <c r="FH124" s="137"/>
      <c r="FI124" s="137"/>
      <c r="FJ124" s="137"/>
      <c r="FK124" s="137"/>
      <c r="FL124" s="137"/>
      <c r="FM124" s="137"/>
      <c r="FN124" s="137"/>
      <c r="FO124" s="137"/>
      <c r="FP124" s="137"/>
      <c r="FQ124" s="137"/>
      <c r="FR124" s="137"/>
      <c r="FS124" s="137"/>
      <c r="FT124" s="137"/>
      <c r="FU124" s="137"/>
      <c r="FV124" s="1"/>
      <c r="FW124" s="1"/>
      <c r="FX124" s="1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1"/>
      <c r="GJ124" s="1"/>
      <c r="GK124" s="1"/>
      <c r="GL124" s="1"/>
      <c r="GM124" s="1"/>
      <c r="GN124" s="1"/>
      <c r="GO124" s="1"/>
      <c r="GP124" s="1"/>
      <c r="GR124" s="1"/>
      <c r="GS124" s="1"/>
      <c r="GT124" s="1"/>
      <c r="GU124" s="1"/>
      <c r="GV124" s="9"/>
      <c r="GW124" s="1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2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</row>
    <row r="125" spans="2:249" ht="23.25">
      <c r="B125" s="126" t="s">
        <v>125</v>
      </c>
      <c r="C125" s="129">
        <v>0.57232020914390203</v>
      </c>
      <c r="D125" s="129" t="s">
        <v>193</v>
      </c>
      <c r="E125" s="129">
        <v>0.87052049660032238</v>
      </c>
      <c r="F125" s="129" t="s">
        <v>193</v>
      </c>
      <c r="G125" s="129">
        <v>0.73400470268622853</v>
      </c>
      <c r="H125" s="129" t="s">
        <v>193</v>
      </c>
      <c r="I125" s="129">
        <v>1.7971839121513997</v>
      </c>
      <c r="J125" s="129" t="s">
        <v>193</v>
      </c>
      <c r="K125" s="129">
        <v>1.1300109633701816</v>
      </c>
      <c r="L125" s="129" t="s">
        <v>193</v>
      </c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  <c r="CC125" s="137"/>
      <c r="CD125" s="137"/>
      <c r="CE125" s="137"/>
      <c r="CF125" s="137"/>
      <c r="CG125" s="137"/>
      <c r="CH125" s="137"/>
      <c r="CI125" s="137"/>
      <c r="CJ125" s="137"/>
      <c r="CK125" s="137"/>
      <c r="CL125" s="137"/>
      <c r="CM125" s="137"/>
      <c r="CN125" s="137"/>
      <c r="CO125" s="137"/>
      <c r="CP125" s="137"/>
      <c r="CQ125" s="137"/>
      <c r="CR125" s="137"/>
      <c r="CS125" s="137"/>
      <c r="CT125" s="137"/>
      <c r="CU125" s="137"/>
      <c r="CV125" s="137"/>
      <c r="CW125" s="137"/>
      <c r="CX125" s="137"/>
      <c r="CY125" s="137"/>
      <c r="CZ125" s="137"/>
      <c r="DA125" s="137"/>
      <c r="DB125" s="137"/>
      <c r="DC125" s="137"/>
      <c r="DD125" s="137"/>
      <c r="DE125" s="137"/>
      <c r="DF125" s="137"/>
      <c r="DG125" s="137"/>
      <c r="DH125" s="137"/>
      <c r="DI125" s="137"/>
      <c r="DJ125" s="137"/>
      <c r="DK125" s="137"/>
      <c r="DL125" s="137"/>
      <c r="DM125" s="137"/>
      <c r="DN125" s="137"/>
      <c r="DO125" s="137"/>
      <c r="DP125" s="137"/>
      <c r="DQ125" s="137"/>
      <c r="DR125" s="137"/>
      <c r="DS125" s="137"/>
      <c r="DT125" s="137"/>
      <c r="DU125" s="137"/>
      <c r="DV125" s="137"/>
      <c r="DW125" s="137"/>
      <c r="DX125" s="137"/>
      <c r="DY125" s="137"/>
      <c r="DZ125" s="137"/>
      <c r="EA125" s="137"/>
      <c r="EB125" s="137"/>
      <c r="EC125" s="137"/>
      <c r="ED125" s="137"/>
      <c r="EE125" s="137"/>
      <c r="EF125" s="137"/>
      <c r="EG125" s="137"/>
      <c r="EH125" s="137"/>
      <c r="EI125" s="137"/>
      <c r="EJ125" s="137"/>
      <c r="EK125" s="137"/>
      <c r="EL125" s="137"/>
      <c r="EM125" s="137"/>
      <c r="EN125" s="137"/>
      <c r="EO125" s="137"/>
      <c r="EP125" s="137"/>
      <c r="EQ125" s="137"/>
      <c r="ER125" s="137"/>
      <c r="ES125" s="137"/>
      <c r="ET125" s="137"/>
      <c r="EU125" s="137"/>
      <c r="EV125" s="137"/>
      <c r="EW125" s="137"/>
      <c r="EX125" s="137"/>
      <c r="EY125" s="137"/>
      <c r="EZ125" s="137"/>
      <c r="FA125" s="137"/>
      <c r="FB125" s="137"/>
      <c r="FC125" s="137"/>
      <c r="FD125" s="137"/>
      <c r="FE125" s="137"/>
      <c r="FF125" s="137"/>
      <c r="FG125" s="137"/>
      <c r="FH125" s="137"/>
      <c r="FI125" s="137"/>
      <c r="FJ125" s="137"/>
      <c r="FK125" s="137"/>
      <c r="FL125" s="137"/>
      <c r="FM125" s="137"/>
      <c r="FN125" s="137"/>
      <c r="FO125" s="137"/>
      <c r="FP125" s="137"/>
      <c r="FQ125" s="137"/>
      <c r="FR125" s="137"/>
      <c r="FS125" s="137"/>
      <c r="FT125" s="137"/>
      <c r="FU125" s="137"/>
      <c r="FV125" s="1"/>
      <c r="FW125" s="1"/>
      <c r="FX125" s="1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1"/>
      <c r="GJ125" s="1"/>
      <c r="GK125" s="1"/>
      <c r="GL125" s="1"/>
      <c r="GM125" s="1"/>
      <c r="GN125" s="1"/>
      <c r="GO125" s="1"/>
      <c r="GP125" s="1"/>
      <c r="GR125" s="1"/>
      <c r="GS125" s="1"/>
      <c r="GT125" s="1"/>
      <c r="GU125" s="1"/>
      <c r="GV125" s="9"/>
      <c r="GW125" s="1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6"/>
      <c r="HW125" s="16"/>
      <c r="HX125" s="16"/>
      <c r="HY125" s="16"/>
      <c r="HZ125" s="16"/>
      <c r="IA125" s="16"/>
      <c r="IB125" s="16"/>
      <c r="IC125" s="16"/>
      <c r="ID125" s="13"/>
      <c r="IE125" s="17"/>
      <c r="IF125" s="17"/>
      <c r="IG125" s="17"/>
      <c r="IH125" s="17"/>
      <c r="II125" s="17"/>
      <c r="IJ125" s="17"/>
      <c r="IK125" s="17"/>
      <c r="IL125" s="17"/>
      <c r="IM125" s="17"/>
      <c r="IN125" s="17"/>
      <c r="IO125" s="17"/>
    </row>
    <row r="126" spans="2:249">
      <c r="B126" s="127" t="s">
        <v>126</v>
      </c>
      <c r="C126" s="128">
        <v>25.754409411475589</v>
      </c>
      <c r="D126" s="128" t="s">
        <v>4</v>
      </c>
      <c r="E126" s="128">
        <v>40.479203091914989</v>
      </c>
      <c r="F126" s="128" t="s">
        <v>4</v>
      </c>
      <c r="G126" s="128">
        <v>35.232225728938971</v>
      </c>
      <c r="H126" s="128" t="s">
        <v>4</v>
      </c>
      <c r="I126" s="128">
        <v>37.271868002888688</v>
      </c>
      <c r="J126" s="128" t="s">
        <v>4</v>
      </c>
      <c r="K126" s="128">
        <v>53.110515278398537</v>
      </c>
      <c r="L126" s="128" t="s">
        <v>4</v>
      </c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  <c r="CC126" s="137"/>
      <c r="CD126" s="137"/>
      <c r="CE126" s="137"/>
      <c r="CF126" s="137"/>
      <c r="CG126" s="137"/>
      <c r="CH126" s="137"/>
      <c r="CI126" s="137"/>
      <c r="CJ126" s="137"/>
      <c r="CK126" s="137"/>
      <c r="CL126" s="137"/>
      <c r="CM126" s="137"/>
      <c r="CN126" s="137"/>
      <c r="CO126" s="137"/>
      <c r="CP126" s="137"/>
      <c r="CQ126" s="137"/>
      <c r="CR126" s="137"/>
      <c r="CS126" s="137"/>
      <c r="CT126" s="137"/>
      <c r="CU126" s="137"/>
      <c r="CV126" s="137"/>
      <c r="CW126" s="137"/>
      <c r="CX126" s="137"/>
      <c r="CY126" s="137"/>
      <c r="CZ126" s="137"/>
      <c r="DA126" s="137"/>
      <c r="DB126" s="137"/>
      <c r="DC126" s="137"/>
      <c r="DD126" s="137"/>
      <c r="DE126" s="137"/>
      <c r="DF126" s="137"/>
      <c r="DG126" s="137"/>
      <c r="DH126" s="137"/>
      <c r="DI126" s="137"/>
      <c r="DJ126" s="137"/>
      <c r="DK126" s="137"/>
      <c r="DL126" s="137"/>
      <c r="DM126" s="137"/>
      <c r="DN126" s="137"/>
      <c r="DO126" s="137"/>
      <c r="DP126" s="137"/>
      <c r="DQ126" s="137"/>
      <c r="DR126" s="137"/>
      <c r="DS126" s="137"/>
      <c r="DT126" s="137"/>
      <c r="DU126" s="137"/>
      <c r="DV126" s="137"/>
      <c r="DW126" s="137"/>
      <c r="DX126" s="137"/>
      <c r="DY126" s="137"/>
      <c r="DZ126" s="137"/>
      <c r="EA126" s="137"/>
      <c r="EB126" s="137"/>
      <c r="EC126" s="137"/>
      <c r="ED126" s="137"/>
      <c r="EE126" s="137"/>
      <c r="EF126" s="137"/>
      <c r="EG126" s="137"/>
      <c r="EH126" s="137"/>
      <c r="EI126" s="137"/>
      <c r="EJ126" s="137"/>
      <c r="EK126" s="137"/>
      <c r="EL126" s="137"/>
      <c r="EM126" s="137"/>
      <c r="EN126" s="137"/>
      <c r="EO126" s="137"/>
      <c r="EP126" s="137"/>
      <c r="EQ126" s="137"/>
      <c r="ER126" s="137"/>
      <c r="ES126" s="137"/>
      <c r="ET126" s="137"/>
      <c r="EU126" s="137"/>
      <c r="EV126" s="137"/>
      <c r="EW126" s="137"/>
      <c r="EX126" s="137"/>
      <c r="EY126" s="137"/>
      <c r="EZ126" s="137"/>
      <c r="FA126" s="137"/>
      <c r="FB126" s="137"/>
      <c r="FC126" s="137"/>
      <c r="FD126" s="137"/>
      <c r="FE126" s="137"/>
      <c r="FF126" s="137"/>
      <c r="FG126" s="137"/>
      <c r="FH126" s="137"/>
      <c r="FI126" s="137"/>
      <c r="FJ126" s="137"/>
      <c r="FK126" s="137"/>
      <c r="FL126" s="137"/>
      <c r="FM126" s="137"/>
      <c r="FN126" s="137"/>
      <c r="FO126" s="137"/>
      <c r="FP126" s="137"/>
      <c r="FQ126" s="137"/>
      <c r="FR126" s="137"/>
      <c r="FS126" s="137"/>
      <c r="FT126" s="137"/>
      <c r="FU126" s="137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R126" s="1"/>
      <c r="GS126" s="1"/>
      <c r="GT126" s="1"/>
      <c r="GU126" s="1"/>
      <c r="GV126" s="9"/>
      <c r="GW126" s="1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3"/>
      <c r="IE126" s="17"/>
      <c r="IF126" s="17"/>
      <c r="IG126" s="17"/>
      <c r="IH126" s="17"/>
      <c r="II126" s="17"/>
      <c r="IJ126" s="17"/>
      <c r="IK126" s="17"/>
      <c r="IL126" s="17"/>
      <c r="IM126" s="17"/>
      <c r="IN126" s="17"/>
      <c r="IO126" s="17"/>
    </row>
    <row r="127" spans="2:249" ht="23.25">
      <c r="B127" s="126" t="s">
        <v>127</v>
      </c>
      <c r="C127" s="131">
        <v>0.48418289693574112</v>
      </c>
      <c r="D127" s="131" t="s">
        <v>193</v>
      </c>
      <c r="E127" s="131">
        <v>0.77720069936476777</v>
      </c>
      <c r="F127" s="131" t="s">
        <v>193</v>
      </c>
      <c r="G127" s="131">
        <v>0.65531939855826482</v>
      </c>
      <c r="H127" s="131" t="s">
        <v>193</v>
      </c>
      <c r="I127" s="131">
        <v>1.696419865655463</v>
      </c>
      <c r="J127" s="131" t="s">
        <v>193</v>
      </c>
      <c r="K127" s="131">
        <v>0.99847768723389252</v>
      </c>
      <c r="L127" s="131" t="s">
        <v>193</v>
      </c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  <c r="CC127" s="137"/>
      <c r="CD127" s="137"/>
      <c r="CE127" s="137"/>
      <c r="CF127" s="137"/>
      <c r="CG127" s="137"/>
      <c r="CH127" s="137"/>
      <c r="CI127" s="137"/>
      <c r="CJ127" s="137"/>
      <c r="CK127" s="137"/>
      <c r="CL127" s="137"/>
      <c r="CM127" s="137"/>
      <c r="CN127" s="137"/>
      <c r="CO127" s="137"/>
      <c r="CP127" s="137"/>
      <c r="CQ127" s="137"/>
      <c r="CR127" s="137"/>
      <c r="CS127" s="137"/>
      <c r="CT127" s="137"/>
      <c r="CU127" s="137"/>
      <c r="CV127" s="137"/>
      <c r="CW127" s="137"/>
      <c r="CX127" s="137"/>
      <c r="CY127" s="137"/>
      <c r="CZ127" s="137"/>
      <c r="DA127" s="137"/>
      <c r="DB127" s="137"/>
      <c r="DC127" s="137"/>
      <c r="DD127" s="137"/>
      <c r="DE127" s="137"/>
      <c r="DF127" s="137"/>
      <c r="DG127" s="137"/>
      <c r="DH127" s="137"/>
      <c r="DI127" s="137"/>
      <c r="DJ127" s="137"/>
      <c r="DK127" s="137"/>
      <c r="DL127" s="137"/>
      <c r="DM127" s="137"/>
      <c r="DN127" s="137"/>
      <c r="DO127" s="137"/>
      <c r="DP127" s="137"/>
      <c r="DQ127" s="137"/>
      <c r="DR127" s="137"/>
      <c r="DS127" s="137"/>
      <c r="DT127" s="137"/>
      <c r="DU127" s="137"/>
      <c r="DV127" s="137"/>
      <c r="DW127" s="137"/>
      <c r="DX127" s="137"/>
      <c r="DY127" s="137"/>
      <c r="DZ127" s="137"/>
      <c r="EA127" s="137"/>
      <c r="EB127" s="137"/>
      <c r="EC127" s="137"/>
      <c r="ED127" s="137"/>
      <c r="EE127" s="137"/>
      <c r="EF127" s="137"/>
      <c r="EG127" s="137"/>
      <c r="EH127" s="137"/>
      <c r="EI127" s="137"/>
      <c r="EJ127" s="137"/>
      <c r="EK127" s="137"/>
      <c r="EL127" s="137"/>
      <c r="EM127" s="137"/>
      <c r="EN127" s="137"/>
      <c r="EO127" s="137"/>
      <c r="EP127" s="137"/>
      <c r="EQ127" s="137"/>
      <c r="ER127" s="137"/>
      <c r="ES127" s="137"/>
      <c r="ET127" s="137"/>
      <c r="EU127" s="137"/>
      <c r="EV127" s="137"/>
      <c r="EW127" s="137"/>
      <c r="EX127" s="137"/>
      <c r="EY127" s="137"/>
      <c r="EZ127" s="137"/>
      <c r="FA127" s="137"/>
      <c r="FB127" s="137"/>
      <c r="FC127" s="137"/>
      <c r="FD127" s="137"/>
      <c r="FE127" s="137"/>
      <c r="FF127" s="137"/>
      <c r="FG127" s="137"/>
      <c r="FH127" s="137"/>
      <c r="FI127" s="137"/>
      <c r="FJ127" s="137"/>
      <c r="FK127" s="137"/>
      <c r="FL127" s="137"/>
      <c r="FM127" s="137"/>
      <c r="FN127" s="137"/>
      <c r="FO127" s="137"/>
      <c r="FP127" s="137"/>
      <c r="FQ127" s="137"/>
      <c r="FR127" s="137"/>
      <c r="FS127" s="137"/>
      <c r="FT127" s="137"/>
      <c r="FU127" s="137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  <c r="GP127" s="10"/>
      <c r="GR127" s="1"/>
      <c r="GS127" s="1"/>
      <c r="GT127" s="1"/>
      <c r="GU127" s="1"/>
      <c r="GV127" s="9"/>
      <c r="GW127" s="1"/>
      <c r="GX127" s="16"/>
      <c r="GY127" s="16"/>
      <c r="GZ127" s="16"/>
      <c r="HA127" s="16"/>
      <c r="HB127" s="16"/>
      <c r="HC127" s="16"/>
      <c r="HD127" s="16"/>
      <c r="HE127" s="16"/>
      <c r="HF127" s="16"/>
      <c r="HG127" s="16"/>
      <c r="HH127" s="16"/>
      <c r="HI127" s="16"/>
      <c r="HJ127" s="16"/>
      <c r="HK127" s="16"/>
      <c r="HL127" s="16"/>
      <c r="HM127" s="16"/>
      <c r="HN127" s="16"/>
      <c r="HO127" s="16"/>
      <c r="HP127" s="16"/>
      <c r="HQ127" s="16"/>
      <c r="HR127" s="16"/>
      <c r="HS127" s="16"/>
      <c r="HT127" s="16"/>
      <c r="HU127" s="16"/>
      <c r="HV127" s="16"/>
      <c r="HW127" s="16"/>
      <c r="HX127" s="16"/>
      <c r="HY127" s="16"/>
      <c r="HZ127" s="16"/>
      <c r="IA127" s="16"/>
      <c r="IB127" s="16"/>
      <c r="IC127" s="16"/>
      <c r="ID127" s="13"/>
      <c r="IE127" s="17"/>
      <c r="IF127" s="17"/>
      <c r="IG127" s="17"/>
      <c r="IH127" s="17"/>
      <c r="II127" s="17"/>
      <c r="IJ127" s="17"/>
      <c r="IK127" s="17"/>
      <c r="IL127" s="17"/>
      <c r="IM127" s="17"/>
      <c r="IN127" s="17"/>
      <c r="IO127" s="17"/>
    </row>
    <row r="128" spans="2:249">
      <c r="B128" s="127" t="s">
        <v>128</v>
      </c>
      <c r="C128" s="128">
        <v>22.998687604447699</v>
      </c>
      <c r="D128" s="128" t="s">
        <v>4</v>
      </c>
      <c r="E128" s="128">
        <v>35.362631821096933</v>
      </c>
      <c r="F128" s="128" t="s">
        <v>4</v>
      </c>
      <c r="G128" s="128">
        <v>30.472352032959311</v>
      </c>
      <c r="H128" s="128" t="s">
        <v>4</v>
      </c>
      <c r="I128" s="128">
        <v>33.731733685806752</v>
      </c>
      <c r="J128" s="128" t="s">
        <v>4</v>
      </c>
      <c r="K128" s="128">
        <v>46.92845129999295</v>
      </c>
      <c r="L128" s="128" t="s">
        <v>4</v>
      </c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  <c r="CC128" s="137"/>
      <c r="CD128" s="137"/>
      <c r="CE128" s="137"/>
      <c r="CF128" s="137"/>
      <c r="CG128" s="137"/>
      <c r="CH128" s="137"/>
      <c r="CI128" s="137"/>
      <c r="CJ128" s="137"/>
      <c r="CK128" s="137"/>
      <c r="CL128" s="137"/>
      <c r="CM128" s="137"/>
      <c r="CN128" s="137"/>
      <c r="CO128" s="137"/>
      <c r="CP128" s="137"/>
      <c r="CQ128" s="137"/>
      <c r="CR128" s="137"/>
      <c r="CS128" s="137"/>
      <c r="CT128" s="137"/>
      <c r="CU128" s="137"/>
      <c r="CV128" s="137"/>
      <c r="CW128" s="137"/>
      <c r="CX128" s="137"/>
      <c r="CY128" s="137"/>
      <c r="CZ128" s="137"/>
      <c r="DA128" s="137"/>
      <c r="DB128" s="137"/>
      <c r="DC128" s="137"/>
      <c r="DD128" s="137"/>
      <c r="DE128" s="137"/>
      <c r="DF128" s="137"/>
      <c r="DG128" s="137"/>
      <c r="DH128" s="137"/>
      <c r="DI128" s="137"/>
      <c r="DJ128" s="137"/>
      <c r="DK128" s="137"/>
      <c r="DL128" s="137"/>
      <c r="DM128" s="137"/>
      <c r="DN128" s="137"/>
      <c r="DO128" s="137"/>
      <c r="DP128" s="137"/>
      <c r="DQ128" s="137"/>
      <c r="DR128" s="137"/>
      <c r="DS128" s="137"/>
      <c r="DT128" s="137"/>
      <c r="DU128" s="137"/>
      <c r="DV128" s="137"/>
      <c r="DW128" s="137"/>
      <c r="DX128" s="137"/>
      <c r="DY128" s="137"/>
      <c r="DZ128" s="137"/>
      <c r="EA128" s="137"/>
      <c r="EB128" s="137"/>
      <c r="EC128" s="137"/>
      <c r="ED128" s="137"/>
      <c r="EE128" s="137"/>
      <c r="EF128" s="137"/>
      <c r="EG128" s="137"/>
      <c r="EH128" s="137"/>
      <c r="EI128" s="137"/>
      <c r="EJ128" s="137"/>
      <c r="EK128" s="137"/>
      <c r="EL128" s="137"/>
      <c r="EM128" s="137"/>
      <c r="EN128" s="137"/>
      <c r="EO128" s="137"/>
      <c r="EP128" s="137"/>
      <c r="EQ128" s="137"/>
      <c r="ER128" s="137"/>
      <c r="ES128" s="137"/>
      <c r="ET128" s="137"/>
      <c r="EU128" s="137"/>
      <c r="EV128" s="137"/>
      <c r="EW128" s="137"/>
      <c r="EX128" s="137"/>
      <c r="EY128" s="137"/>
      <c r="EZ128" s="137"/>
      <c r="FA128" s="137"/>
      <c r="FB128" s="137"/>
      <c r="FC128" s="137"/>
      <c r="FD128" s="137"/>
      <c r="FE128" s="137"/>
      <c r="FF128" s="137"/>
      <c r="FG128" s="137"/>
      <c r="FH128" s="137"/>
      <c r="FI128" s="137"/>
      <c r="FJ128" s="137"/>
      <c r="FK128" s="137"/>
      <c r="FL128" s="137"/>
      <c r="FM128" s="137"/>
      <c r="FN128" s="137"/>
      <c r="FO128" s="137"/>
      <c r="FP128" s="137"/>
      <c r="FQ128" s="137"/>
      <c r="FR128" s="137"/>
      <c r="FS128" s="137"/>
      <c r="FT128" s="137"/>
      <c r="FU128" s="137"/>
      <c r="FV128" s="1"/>
      <c r="FW128" s="1"/>
      <c r="FX128" s="1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1"/>
      <c r="GJ128" s="1"/>
      <c r="GK128" s="1"/>
      <c r="GL128" s="1"/>
      <c r="GM128" s="1"/>
      <c r="GN128" s="1"/>
      <c r="GO128" s="1"/>
      <c r="GP128" s="1"/>
      <c r="GR128" s="1"/>
      <c r="GS128" s="1"/>
      <c r="GT128" s="1"/>
      <c r="GU128" s="1"/>
      <c r="GV128" s="9"/>
      <c r="GW128" s="1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2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</row>
    <row r="129" spans="2:249">
      <c r="B129" s="126" t="s">
        <v>129</v>
      </c>
      <c r="C129" s="129">
        <v>20.698818844002929</v>
      </c>
      <c r="D129" s="129" t="s">
        <v>4</v>
      </c>
      <c r="E129" s="129">
        <v>31.82636863898724</v>
      </c>
      <c r="F129" s="129" t="s">
        <v>4</v>
      </c>
      <c r="G129" s="129">
        <v>27.729840349992973</v>
      </c>
      <c r="H129" s="129" t="s">
        <v>4</v>
      </c>
      <c r="I129" s="129">
        <v>31.76782966465835</v>
      </c>
      <c r="J129" s="129" t="s">
        <v>4</v>
      </c>
      <c r="K129" s="129">
        <v>44.582028734993301</v>
      </c>
      <c r="L129" s="129" t="s">
        <v>4</v>
      </c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  <c r="CC129" s="137"/>
      <c r="CD129" s="137"/>
      <c r="CE129" s="137"/>
      <c r="CF129" s="137"/>
      <c r="CG129" s="137"/>
      <c r="CH129" s="137"/>
      <c r="CI129" s="137"/>
      <c r="CJ129" s="137"/>
      <c r="CK129" s="137"/>
      <c r="CL129" s="137"/>
      <c r="CM129" s="137"/>
      <c r="CN129" s="137"/>
      <c r="CO129" s="137"/>
      <c r="CP129" s="137"/>
      <c r="CQ129" s="137"/>
      <c r="CR129" s="137"/>
      <c r="CS129" s="137"/>
      <c r="CT129" s="137"/>
      <c r="CU129" s="137"/>
      <c r="CV129" s="137"/>
      <c r="CW129" s="137"/>
      <c r="CX129" s="137"/>
      <c r="CY129" s="137"/>
      <c r="CZ129" s="137"/>
      <c r="DA129" s="137"/>
      <c r="DB129" s="137"/>
      <c r="DC129" s="137"/>
      <c r="DD129" s="137"/>
      <c r="DE129" s="137"/>
      <c r="DF129" s="137"/>
      <c r="DG129" s="137"/>
      <c r="DH129" s="137"/>
      <c r="DI129" s="137"/>
      <c r="DJ129" s="137"/>
      <c r="DK129" s="137"/>
      <c r="DL129" s="137"/>
      <c r="DM129" s="137"/>
      <c r="DN129" s="137"/>
      <c r="DO129" s="137"/>
      <c r="DP129" s="137"/>
      <c r="DQ129" s="137"/>
      <c r="DR129" s="137"/>
      <c r="DS129" s="137"/>
      <c r="DT129" s="137"/>
      <c r="DU129" s="137"/>
      <c r="DV129" s="137"/>
      <c r="DW129" s="137"/>
      <c r="DX129" s="137"/>
      <c r="DY129" s="137"/>
      <c r="DZ129" s="137"/>
      <c r="EA129" s="137"/>
      <c r="EB129" s="137"/>
      <c r="EC129" s="137"/>
      <c r="ED129" s="137"/>
      <c r="EE129" s="137"/>
      <c r="EF129" s="137"/>
      <c r="EG129" s="137"/>
      <c r="EH129" s="137"/>
      <c r="EI129" s="137"/>
      <c r="EJ129" s="137"/>
      <c r="EK129" s="137"/>
      <c r="EL129" s="137"/>
      <c r="EM129" s="137"/>
      <c r="EN129" s="137"/>
      <c r="EO129" s="137"/>
      <c r="EP129" s="137"/>
      <c r="EQ129" s="137"/>
      <c r="ER129" s="137"/>
      <c r="ES129" s="137"/>
      <c r="ET129" s="137"/>
      <c r="EU129" s="137"/>
      <c r="EV129" s="137"/>
      <c r="EW129" s="137"/>
      <c r="EX129" s="137"/>
      <c r="EY129" s="137"/>
      <c r="EZ129" s="137"/>
      <c r="FA129" s="137"/>
      <c r="FB129" s="137"/>
      <c r="FC129" s="137"/>
      <c r="FD129" s="137"/>
      <c r="FE129" s="137"/>
      <c r="FF129" s="137"/>
      <c r="FG129" s="137"/>
      <c r="FH129" s="137"/>
      <c r="FI129" s="137"/>
      <c r="FJ129" s="137"/>
      <c r="FK129" s="137"/>
      <c r="FL129" s="137"/>
      <c r="FM129" s="137"/>
      <c r="FN129" s="137"/>
      <c r="FO129" s="137"/>
      <c r="FP129" s="137"/>
      <c r="FQ129" s="137"/>
      <c r="FR129" s="137"/>
      <c r="FS129" s="137"/>
      <c r="FT129" s="137"/>
      <c r="FU129" s="137"/>
      <c r="FV129" s="1"/>
      <c r="FW129" s="1"/>
      <c r="FX129" s="1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1"/>
      <c r="GJ129" s="1"/>
      <c r="GK129" s="1"/>
      <c r="GL129" s="1"/>
      <c r="GM129" s="1"/>
      <c r="GN129" s="1"/>
      <c r="GO129" s="1"/>
      <c r="GP129" s="1"/>
      <c r="GR129" s="1"/>
      <c r="GS129" s="1"/>
      <c r="GT129" s="1"/>
      <c r="GU129" s="1"/>
      <c r="GV129" s="9"/>
      <c r="GW129" s="1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</row>
    <row r="130" spans="2:249" ht="23.25">
      <c r="B130" s="127" t="s">
        <v>130</v>
      </c>
      <c r="C130" s="133">
        <v>19.663877901802781</v>
      </c>
      <c r="D130" s="133" t="s">
        <v>4</v>
      </c>
      <c r="E130" s="133">
        <v>29.280259147868261</v>
      </c>
      <c r="F130" s="133" t="s">
        <v>4</v>
      </c>
      <c r="G130" s="133">
        <v>26.620646735993255</v>
      </c>
      <c r="H130" s="133" t="s">
        <v>4</v>
      </c>
      <c r="I130" s="133">
        <v>28.691046698192512</v>
      </c>
      <c r="J130" s="133" t="s">
        <v>4</v>
      </c>
      <c r="K130" s="133">
        <v>40.569646148843901</v>
      </c>
      <c r="L130" s="133" t="s">
        <v>4</v>
      </c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  <c r="CC130" s="137"/>
      <c r="CD130" s="137"/>
      <c r="CE130" s="137"/>
      <c r="CF130" s="137"/>
      <c r="CG130" s="137"/>
      <c r="CH130" s="137"/>
      <c r="CI130" s="137"/>
      <c r="CJ130" s="137"/>
      <c r="CK130" s="137"/>
      <c r="CL130" s="137"/>
      <c r="CM130" s="137"/>
      <c r="CN130" s="137"/>
      <c r="CO130" s="137"/>
      <c r="CP130" s="137"/>
      <c r="CQ130" s="137"/>
      <c r="CR130" s="137"/>
      <c r="CS130" s="137"/>
      <c r="CT130" s="137"/>
      <c r="CU130" s="137"/>
      <c r="CV130" s="137"/>
      <c r="CW130" s="137"/>
      <c r="CX130" s="137"/>
      <c r="CY130" s="137"/>
      <c r="CZ130" s="137"/>
      <c r="DA130" s="137"/>
      <c r="DB130" s="137"/>
      <c r="DC130" s="137"/>
      <c r="DD130" s="137"/>
      <c r="DE130" s="137"/>
      <c r="DF130" s="137"/>
      <c r="DG130" s="137"/>
      <c r="DH130" s="137"/>
      <c r="DI130" s="137"/>
      <c r="DJ130" s="137"/>
      <c r="DK130" s="137"/>
      <c r="DL130" s="137"/>
      <c r="DM130" s="137"/>
      <c r="DN130" s="137"/>
      <c r="DO130" s="137"/>
      <c r="DP130" s="137"/>
      <c r="DQ130" s="137"/>
      <c r="DR130" s="137"/>
      <c r="DS130" s="137"/>
      <c r="DT130" s="137"/>
      <c r="DU130" s="137"/>
      <c r="DV130" s="137"/>
      <c r="DW130" s="137"/>
      <c r="DX130" s="137"/>
      <c r="DY130" s="137"/>
      <c r="DZ130" s="137"/>
      <c r="EA130" s="137"/>
      <c r="EB130" s="137"/>
      <c r="EC130" s="137"/>
      <c r="ED130" s="137"/>
      <c r="EE130" s="137"/>
      <c r="EF130" s="137"/>
      <c r="EG130" s="137"/>
      <c r="EH130" s="137"/>
      <c r="EI130" s="137"/>
      <c r="EJ130" s="137"/>
      <c r="EK130" s="137"/>
      <c r="EL130" s="137"/>
      <c r="EM130" s="137"/>
      <c r="EN130" s="137"/>
      <c r="EO130" s="137"/>
      <c r="EP130" s="137"/>
      <c r="EQ130" s="137"/>
      <c r="ER130" s="137"/>
      <c r="ES130" s="137"/>
      <c r="ET130" s="137"/>
      <c r="EU130" s="137"/>
      <c r="EV130" s="137"/>
      <c r="EW130" s="137"/>
      <c r="EX130" s="137"/>
      <c r="EY130" s="137"/>
      <c r="EZ130" s="137"/>
      <c r="FA130" s="137"/>
      <c r="FB130" s="137"/>
      <c r="FC130" s="137"/>
      <c r="FD130" s="137"/>
      <c r="FE130" s="137"/>
      <c r="FF130" s="137"/>
      <c r="FG130" s="137"/>
      <c r="FH130" s="137"/>
      <c r="FI130" s="137"/>
      <c r="FJ130" s="137"/>
      <c r="FK130" s="137"/>
      <c r="FL130" s="137"/>
      <c r="FM130" s="137"/>
      <c r="FN130" s="137"/>
      <c r="FO130" s="137"/>
      <c r="FP130" s="137"/>
      <c r="FQ130" s="137"/>
      <c r="FR130" s="137"/>
      <c r="FS130" s="137"/>
      <c r="FT130" s="137"/>
      <c r="FU130" s="137"/>
      <c r="FV130" s="1"/>
      <c r="FW130" s="1"/>
      <c r="FX130" s="1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1"/>
      <c r="GJ130" s="1"/>
      <c r="GK130" s="1"/>
      <c r="GL130" s="1"/>
      <c r="GM130" s="1"/>
      <c r="GN130" s="1"/>
      <c r="GO130" s="1"/>
      <c r="GP130" s="1"/>
      <c r="GR130" s="1"/>
      <c r="GS130" s="1"/>
      <c r="GT130" s="1"/>
      <c r="GU130" s="1"/>
      <c r="GV130" s="9"/>
      <c r="GW130" s="1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54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</row>
    <row r="131" spans="2:249" ht="23.25">
      <c r="B131" s="126" t="s">
        <v>131</v>
      </c>
      <c r="C131" s="129">
        <v>0.37361368013425283</v>
      </c>
      <c r="D131" s="129" t="s">
        <v>193</v>
      </c>
      <c r="E131" s="129">
        <v>0.5387567683207759</v>
      </c>
      <c r="F131" s="129" t="s">
        <v>193</v>
      </c>
      <c r="G131" s="129">
        <v>0.49514402928947454</v>
      </c>
      <c r="H131" s="129" t="s">
        <v>193</v>
      </c>
      <c r="I131" s="129">
        <v>1.5150534685863808</v>
      </c>
      <c r="J131" s="129" t="s">
        <v>193</v>
      </c>
      <c r="K131" s="129">
        <v>0.76270934759826536</v>
      </c>
      <c r="L131" s="129" t="s">
        <v>193</v>
      </c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  <c r="CC131" s="137"/>
      <c r="CD131" s="137"/>
      <c r="CE131" s="137"/>
      <c r="CF131" s="137"/>
      <c r="CG131" s="137"/>
      <c r="CH131" s="137"/>
      <c r="CI131" s="137"/>
      <c r="CJ131" s="137"/>
      <c r="CK131" s="137"/>
      <c r="CL131" s="137"/>
      <c r="CM131" s="137"/>
      <c r="CN131" s="137"/>
      <c r="CO131" s="137"/>
      <c r="CP131" s="137"/>
      <c r="CQ131" s="137"/>
      <c r="CR131" s="137"/>
      <c r="CS131" s="137"/>
      <c r="CT131" s="137"/>
      <c r="CU131" s="137"/>
      <c r="CV131" s="137"/>
      <c r="CW131" s="137"/>
      <c r="CX131" s="137"/>
      <c r="CY131" s="137"/>
      <c r="CZ131" s="137"/>
      <c r="DA131" s="137"/>
      <c r="DB131" s="137"/>
      <c r="DC131" s="137"/>
      <c r="DD131" s="137"/>
      <c r="DE131" s="137"/>
      <c r="DF131" s="137"/>
      <c r="DG131" s="137"/>
      <c r="DH131" s="137"/>
      <c r="DI131" s="137"/>
      <c r="DJ131" s="137"/>
      <c r="DK131" s="137"/>
      <c r="DL131" s="137"/>
      <c r="DM131" s="137"/>
      <c r="DN131" s="137"/>
      <c r="DO131" s="137"/>
      <c r="DP131" s="137"/>
      <c r="DQ131" s="137"/>
      <c r="DR131" s="137"/>
      <c r="DS131" s="137"/>
      <c r="DT131" s="137"/>
      <c r="DU131" s="137"/>
      <c r="DV131" s="137"/>
      <c r="DW131" s="137"/>
      <c r="DX131" s="137"/>
      <c r="DY131" s="137"/>
      <c r="DZ131" s="137"/>
      <c r="EA131" s="137"/>
      <c r="EB131" s="137"/>
      <c r="EC131" s="137"/>
      <c r="ED131" s="137"/>
      <c r="EE131" s="137"/>
      <c r="EF131" s="137"/>
      <c r="EG131" s="137"/>
      <c r="EH131" s="137"/>
      <c r="EI131" s="137"/>
      <c r="EJ131" s="137"/>
      <c r="EK131" s="137"/>
      <c r="EL131" s="137"/>
      <c r="EM131" s="137"/>
      <c r="EN131" s="137"/>
      <c r="EO131" s="137"/>
      <c r="EP131" s="137"/>
      <c r="EQ131" s="137"/>
      <c r="ER131" s="137"/>
      <c r="ES131" s="137"/>
      <c r="ET131" s="137"/>
      <c r="EU131" s="137"/>
      <c r="EV131" s="137"/>
      <c r="EW131" s="137"/>
      <c r="EX131" s="137"/>
      <c r="EY131" s="137"/>
      <c r="EZ131" s="137"/>
      <c r="FA131" s="137"/>
      <c r="FB131" s="137"/>
      <c r="FC131" s="137"/>
      <c r="FD131" s="137"/>
      <c r="FE131" s="137"/>
      <c r="FF131" s="137"/>
      <c r="FG131" s="137"/>
      <c r="FH131" s="137"/>
      <c r="FI131" s="137"/>
      <c r="FJ131" s="137"/>
      <c r="FK131" s="137"/>
      <c r="FL131" s="137"/>
      <c r="FM131" s="137"/>
      <c r="FN131" s="137"/>
      <c r="FO131" s="137"/>
      <c r="FP131" s="137"/>
      <c r="FQ131" s="137"/>
      <c r="FR131" s="137"/>
      <c r="FS131" s="137"/>
      <c r="FT131" s="137"/>
      <c r="FU131" s="137"/>
      <c r="FV131" s="1"/>
      <c r="FW131" s="1"/>
      <c r="FX131" s="1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1"/>
      <c r="GJ131" s="1"/>
      <c r="GK131" s="1"/>
      <c r="GL131" s="1"/>
      <c r="GM131" s="1"/>
      <c r="GN131" s="1"/>
      <c r="GO131" s="1"/>
      <c r="GP131" s="1"/>
    </row>
    <row r="132" spans="2:249" ht="23.25">
      <c r="B132" s="127" t="s">
        <v>132</v>
      </c>
      <c r="C132" s="132">
        <v>0.3549329961275402</v>
      </c>
      <c r="D132" s="132" t="s">
        <v>193</v>
      </c>
      <c r="E132" s="132">
        <v>0.5172064975879449</v>
      </c>
      <c r="F132" s="132" t="s">
        <v>193</v>
      </c>
      <c r="G132" s="132">
        <v>0.46048394723921127</v>
      </c>
      <c r="H132" s="132" t="s">
        <v>193</v>
      </c>
      <c r="I132" s="132">
        <v>1.4738491910994702</v>
      </c>
      <c r="J132" s="132" t="s">
        <v>193</v>
      </c>
      <c r="K132" s="132">
        <v>0.72457388021835201</v>
      </c>
      <c r="L132" s="132" t="s">
        <v>193</v>
      </c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  <c r="CC132" s="137"/>
      <c r="CD132" s="137"/>
      <c r="CE132" s="137"/>
      <c r="CF132" s="137"/>
      <c r="CG132" s="137"/>
      <c r="CH132" s="137"/>
      <c r="CI132" s="137"/>
      <c r="CJ132" s="137"/>
      <c r="CK132" s="137"/>
      <c r="CL132" s="137"/>
      <c r="CM132" s="137"/>
      <c r="CN132" s="137"/>
      <c r="CO132" s="137"/>
      <c r="CP132" s="137"/>
      <c r="CQ132" s="137"/>
      <c r="CR132" s="137"/>
      <c r="CS132" s="137"/>
      <c r="CT132" s="137"/>
      <c r="CU132" s="137"/>
      <c r="CV132" s="137"/>
      <c r="CW132" s="137"/>
      <c r="CX132" s="137"/>
      <c r="CY132" s="137"/>
      <c r="CZ132" s="137"/>
      <c r="DA132" s="137"/>
      <c r="DB132" s="137"/>
      <c r="DC132" s="137"/>
      <c r="DD132" s="137"/>
      <c r="DE132" s="137"/>
      <c r="DF132" s="137"/>
      <c r="DG132" s="137"/>
      <c r="DH132" s="137"/>
      <c r="DI132" s="137"/>
      <c r="DJ132" s="137"/>
      <c r="DK132" s="137"/>
      <c r="DL132" s="137"/>
      <c r="DM132" s="137"/>
      <c r="DN132" s="137"/>
      <c r="DO132" s="137"/>
      <c r="DP132" s="137"/>
      <c r="DQ132" s="137"/>
      <c r="DR132" s="137"/>
      <c r="DS132" s="137"/>
      <c r="DT132" s="137"/>
      <c r="DU132" s="137"/>
      <c r="DV132" s="137"/>
      <c r="DW132" s="137"/>
      <c r="DX132" s="137"/>
      <c r="DY132" s="137"/>
      <c r="DZ132" s="137"/>
      <c r="EA132" s="137"/>
      <c r="EB132" s="137"/>
      <c r="EC132" s="137"/>
      <c r="ED132" s="137"/>
      <c r="EE132" s="137"/>
      <c r="EF132" s="137"/>
      <c r="EG132" s="137"/>
      <c r="EH132" s="137"/>
      <c r="EI132" s="137"/>
      <c r="EJ132" s="137"/>
      <c r="EK132" s="137"/>
      <c r="EL132" s="137"/>
      <c r="EM132" s="137"/>
      <c r="EN132" s="137"/>
      <c r="EO132" s="137"/>
      <c r="EP132" s="137"/>
      <c r="EQ132" s="137"/>
      <c r="ER132" s="137"/>
      <c r="ES132" s="137"/>
      <c r="ET132" s="137"/>
      <c r="EU132" s="137"/>
      <c r="EV132" s="137"/>
      <c r="EW132" s="137"/>
      <c r="EX132" s="137"/>
      <c r="EY132" s="137"/>
      <c r="EZ132" s="137"/>
      <c r="FA132" s="137"/>
      <c r="FB132" s="137"/>
      <c r="FC132" s="137"/>
      <c r="FD132" s="137"/>
      <c r="FE132" s="137"/>
      <c r="FF132" s="137"/>
      <c r="FG132" s="137"/>
      <c r="FH132" s="137"/>
      <c r="FI132" s="137"/>
      <c r="FJ132" s="137"/>
      <c r="FK132" s="137"/>
      <c r="FL132" s="137"/>
      <c r="FM132" s="137"/>
      <c r="FN132" s="137"/>
      <c r="FO132" s="137"/>
      <c r="FP132" s="137"/>
      <c r="FQ132" s="137"/>
      <c r="FR132" s="137"/>
      <c r="FS132" s="137"/>
      <c r="FT132" s="137"/>
      <c r="FU132" s="137"/>
      <c r="FV132" s="1"/>
      <c r="FW132" s="1"/>
      <c r="FX132" s="1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1"/>
      <c r="GJ132" s="1"/>
      <c r="GK132" s="1"/>
      <c r="GL132" s="1"/>
      <c r="GM132" s="1"/>
      <c r="GN132" s="1"/>
      <c r="GO132" s="1"/>
      <c r="GP132" s="1"/>
    </row>
    <row r="133" spans="2:249" ht="23.25">
      <c r="B133" s="126" t="s">
        <v>133</v>
      </c>
      <c r="C133" s="129">
        <v>16.85931731605816</v>
      </c>
      <c r="D133" s="129" t="s">
        <v>4</v>
      </c>
      <c r="E133" s="129">
        <v>24.567308635427381</v>
      </c>
      <c r="F133" s="129" t="s">
        <v>4</v>
      </c>
      <c r="G133" s="129">
        <v>20.952019599384112</v>
      </c>
      <c r="H133" s="129" t="s">
        <v>4</v>
      </c>
      <c r="I133" s="129">
        <v>22.323213599476162</v>
      </c>
      <c r="J133" s="129" t="s">
        <v>4</v>
      </c>
      <c r="K133" s="129">
        <v>32.605824609825838</v>
      </c>
      <c r="L133" s="129" t="s">
        <v>4</v>
      </c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  <c r="CC133" s="137"/>
      <c r="CD133" s="137"/>
      <c r="CE133" s="137"/>
      <c r="CF133" s="137"/>
      <c r="CG133" s="137"/>
      <c r="CH133" s="137"/>
      <c r="CI133" s="137"/>
      <c r="CJ133" s="137"/>
      <c r="CK133" s="137"/>
      <c r="CL133" s="137"/>
      <c r="CM133" s="137"/>
      <c r="CN133" s="137"/>
      <c r="CO133" s="137"/>
      <c r="CP133" s="137"/>
      <c r="CQ133" s="137"/>
      <c r="CR133" s="137"/>
      <c r="CS133" s="137"/>
      <c r="CT133" s="137"/>
      <c r="CU133" s="137"/>
      <c r="CV133" s="137"/>
      <c r="CW133" s="137"/>
      <c r="CX133" s="137"/>
      <c r="CY133" s="137"/>
      <c r="CZ133" s="137"/>
      <c r="DA133" s="137"/>
      <c r="DB133" s="137"/>
      <c r="DC133" s="137"/>
      <c r="DD133" s="137"/>
      <c r="DE133" s="137"/>
      <c r="DF133" s="137"/>
      <c r="DG133" s="137"/>
      <c r="DH133" s="137"/>
      <c r="DI133" s="137"/>
      <c r="DJ133" s="137"/>
      <c r="DK133" s="137"/>
      <c r="DL133" s="137"/>
      <c r="DM133" s="137"/>
      <c r="DN133" s="137"/>
      <c r="DO133" s="137"/>
      <c r="DP133" s="137"/>
      <c r="DQ133" s="137"/>
      <c r="DR133" s="137"/>
      <c r="DS133" s="137"/>
      <c r="DT133" s="137"/>
      <c r="DU133" s="137"/>
      <c r="DV133" s="137"/>
      <c r="DW133" s="137"/>
      <c r="DX133" s="137"/>
      <c r="DY133" s="137"/>
      <c r="DZ133" s="137"/>
      <c r="EA133" s="137"/>
      <c r="EB133" s="137"/>
      <c r="EC133" s="137"/>
      <c r="ED133" s="137"/>
      <c r="EE133" s="137"/>
      <c r="EF133" s="137"/>
      <c r="EG133" s="137"/>
      <c r="EH133" s="137"/>
      <c r="EI133" s="137"/>
      <c r="EJ133" s="137"/>
      <c r="EK133" s="137"/>
      <c r="EL133" s="137"/>
      <c r="EM133" s="137"/>
      <c r="EN133" s="137"/>
      <c r="EO133" s="137"/>
      <c r="EP133" s="137"/>
      <c r="EQ133" s="137"/>
      <c r="ER133" s="137"/>
      <c r="ES133" s="137"/>
      <c r="ET133" s="137"/>
      <c r="EU133" s="137"/>
      <c r="EV133" s="137"/>
      <c r="EW133" s="137"/>
      <c r="EX133" s="137"/>
      <c r="EY133" s="137"/>
      <c r="EZ133" s="137"/>
      <c r="FA133" s="137"/>
      <c r="FB133" s="137"/>
      <c r="FC133" s="137"/>
      <c r="FD133" s="137"/>
      <c r="FE133" s="137"/>
      <c r="FF133" s="137"/>
      <c r="FG133" s="137"/>
      <c r="FH133" s="137"/>
      <c r="FI133" s="137"/>
      <c r="FJ133" s="137"/>
      <c r="FK133" s="137"/>
      <c r="FL133" s="137"/>
      <c r="FM133" s="137"/>
      <c r="FN133" s="137"/>
      <c r="FO133" s="137"/>
      <c r="FP133" s="137"/>
      <c r="FQ133" s="137"/>
      <c r="FR133" s="137"/>
      <c r="FS133" s="137"/>
      <c r="FT133" s="137"/>
      <c r="FU133" s="137"/>
      <c r="FV133" s="1"/>
      <c r="FW133" s="1"/>
      <c r="FX133" s="1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1"/>
      <c r="GJ133" s="1"/>
      <c r="GK133" s="1"/>
      <c r="GL133" s="1"/>
      <c r="GM133" s="1"/>
      <c r="GN133" s="1"/>
      <c r="GO133" s="1"/>
      <c r="GP133" s="1"/>
    </row>
    <row r="134" spans="2:249" ht="23.25">
      <c r="B134" s="127" t="s">
        <v>134</v>
      </c>
      <c r="C134" s="128">
        <v>0.32369889246831668</v>
      </c>
      <c r="D134" s="128" t="s">
        <v>193</v>
      </c>
      <c r="E134" s="128">
        <v>0.45203847889186383</v>
      </c>
      <c r="F134" s="128" t="s">
        <v>193</v>
      </c>
      <c r="G134" s="128">
        <v>0.39389796846842129</v>
      </c>
      <c r="H134" s="128" t="s">
        <v>193</v>
      </c>
      <c r="I134" s="128">
        <v>1.4008764156701519</v>
      </c>
      <c r="J134" s="128" t="s">
        <v>193</v>
      </c>
      <c r="K134" s="128">
        <v>0.58690484297686507</v>
      </c>
      <c r="L134" s="128" t="s">
        <v>193</v>
      </c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  <c r="CC134" s="137"/>
      <c r="CD134" s="137"/>
      <c r="CE134" s="137"/>
      <c r="CF134" s="137"/>
      <c r="CG134" s="137"/>
      <c r="CH134" s="137"/>
      <c r="CI134" s="137"/>
      <c r="CJ134" s="137"/>
      <c r="CK134" s="137"/>
      <c r="CL134" s="137"/>
      <c r="CM134" s="137"/>
      <c r="CN134" s="137"/>
      <c r="CO134" s="137"/>
      <c r="CP134" s="137"/>
      <c r="CQ134" s="137"/>
      <c r="CR134" s="137"/>
      <c r="CS134" s="137"/>
      <c r="CT134" s="137"/>
      <c r="CU134" s="137"/>
      <c r="CV134" s="137"/>
      <c r="CW134" s="137"/>
      <c r="CX134" s="137"/>
      <c r="CY134" s="137"/>
      <c r="CZ134" s="137"/>
      <c r="DA134" s="137"/>
      <c r="DB134" s="137"/>
      <c r="DC134" s="137"/>
      <c r="DD134" s="137"/>
      <c r="DE134" s="137"/>
      <c r="DF134" s="137"/>
      <c r="DG134" s="137"/>
      <c r="DH134" s="137"/>
      <c r="DI134" s="137"/>
      <c r="DJ134" s="137"/>
      <c r="DK134" s="137"/>
      <c r="DL134" s="137"/>
      <c r="DM134" s="137"/>
      <c r="DN134" s="137"/>
      <c r="DO134" s="137"/>
      <c r="DP134" s="137"/>
      <c r="DQ134" s="137"/>
      <c r="DR134" s="137"/>
      <c r="DS134" s="137"/>
      <c r="DT134" s="137"/>
      <c r="DU134" s="137"/>
      <c r="DV134" s="137"/>
      <c r="DW134" s="137"/>
      <c r="DX134" s="137"/>
      <c r="DY134" s="137"/>
      <c r="DZ134" s="137"/>
      <c r="EA134" s="137"/>
      <c r="EB134" s="137"/>
      <c r="EC134" s="137"/>
      <c r="ED134" s="137"/>
      <c r="EE134" s="137"/>
      <c r="EF134" s="137"/>
      <c r="EG134" s="137"/>
      <c r="EH134" s="137"/>
      <c r="EI134" s="137"/>
      <c r="EJ134" s="137"/>
      <c r="EK134" s="137"/>
      <c r="EL134" s="137"/>
      <c r="EM134" s="137"/>
      <c r="EN134" s="137"/>
      <c r="EO134" s="137"/>
      <c r="EP134" s="137"/>
      <c r="EQ134" s="137"/>
      <c r="ER134" s="137"/>
      <c r="ES134" s="137"/>
      <c r="ET134" s="137"/>
      <c r="EU134" s="137"/>
      <c r="EV134" s="137"/>
      <c r="EW134" s="137"/>
      <c r="EX134" s="137"/>
      <c r="EY134" s="137"/>
      <c r="EZ134" s="137"/>
      <c r="FA134" s="137"/>
      <c r="FB134" s="137"/>
      <c r="FC134" s="137"/>
      <c r="FD134" s="137"/>
      <c r="FE134" s="137"/>
      <c r="FF134" s="137"/>
      <c r="FG134" s="137"/>
      <c r="FH134" s="137"/>
      <c r="FI134" s="137"/>
      <c r="FJ134" s="137"/>
      <c r="FK134" s="137"/>
      <c r="FL134" s="137"/>
      <c r="FM134" s="137"/>
      <c r="FN134" s="137"/>
      <c r="FO134" s="137"/>
      <c r="FP134" s="137"/>
      <c r="FQ134" s="137"/>
      <c r="FR134" s="137"/>
      <c r="FS134" s="137"/>
      <c r="FT134" s="137"/>
      <c r="FU134" s="137"/>
      <c r="FV134" s="1"/>
      <c r="FW134" s="1"/>
      <c r="FX134" s="1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1"/>
      <c r="GJ134" s="1"/>
      <c r="GK134" s="1"/>
      <c r="GL134" s="1"/>
      <c r="GM134" s="1"/>
      <c r="GN134" s="1"/>
      <c r="GO134" s="1"/>
      <c r="GP134" s="1"/>
    </row>
    <row r="135" spans="2:249">
      <c r="B135" s="126" t="s">
        <v>135</v>
      </c>
      <c r="C135" s="131">
        <v>14.566450161074251</v>
      </c>
      <c r="D135" s="131" t="s">
        <v>4</v>
      </c>
      <c r="E135" s="131">
        <v>20.793770029025737</v>
      </c>
      <c r="F135" s="131" t="s">
        <v>4</v>
      </c>
      <c r="G135" s="131">
        <v>18.710153502250012</v>
      </c>
      <c r="H135" s="131" t="s">
        <v>4</v>
      </c>
      <c r="I135" s="131">
        <v>20.041629744332212</v>
      </c>
      <c r="J135" s="131" t="s">
        <v>4</v>
      </c>
      <c r="K135" s="131">
        <v>28.464884884377955</v>
      </c>
      <c r="L135" s="131" t="s">
        <v>4</v>
      </c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  <c r="CC135" s="137"/>
      <c r="CD135" s="137"/>
      <c r="CE135" s="137"/>
      <c r="CF135" s="137"/>
      <c r="CG135" s="137"/>
      <c r="CH135" s="137"/>
      <c r="CI135" s="137"/>
      <c r="CJ135" s="137"/>
      <c r="CK135" s="137"/>
      <c r="CL135" s="137"/>
      <c r="CM135" s="137"/>
      <c r="CN135" s="137"/>
      <c r="CO135" s="137"/>
      <c r="CP135" s="137"/>
      <c r="CQ135" s="137"/>
      <c r="CR135" s="137"/>
      <c r="CS135" s="137"/>
      <c r="CT135" s="137"/>
      <c r="CU135" s="137"/>
      <c r="CV135" s="137"/>
      <c r="CW135" s="137"/>
      <c r="CX135" s="137"/>
      <c r="CY135" s="137"/>
      <c r="CZ135" s="137"/>
      <c r="DA135" s="137"/>
      <c r="DB135" s="137"/>
      <c r="DC135" s="137"/>
      <c r="DD135" s="137"/>
      <c r="DE135" s="137"/>
      <c r="DF135" s="137"/>
      <c r="DG135" s="137"/>
      <c r="DH135" s="137"/>
      <c r="DI135" s="137"/>
      <c r="DJ135" s="137"/>
      <c r="DK135" s="137"/>
      <c r="DL135" s="137"/>
      <c r="DM135" s="137"/>
      <c r="DN135" s="137"/>
      <c r="DO135" s="137"/>
      <c r="DP135" s="137"/>
      <c r="DQ135" s="137"/>
      <c r="DR135" s="137"/>
      <c r="DS135" s="137"/>
      <c r="DT135" s="137"/>
      <c r="DU135" s="137"/>
      <c r="DV135" s="137"/>
      <c r="DW135" s="137"/>
      <c r="DX135" s="137"/>
      <c r="DY135" s="137"/>
      <c r="DZ135" s="137"/>
      <c r="EA135" s="137"/>
      <c r="EB135" s="137"/>
      <c r="EC135" s="137"/>
      <c r="ED135" s="137"/>
      <c r="EE135" s="137"/>
      <c r="EF135" s="137"/>
      <c r="EG135" s="137"/>
      <c r="EH135" s="137"/>
      <c r="EI135" s="137"/>
      <c r="EJ135" s="137"/>
      <c r="EK135" s="137"/>
      <c r="EL135" s="137"/>
      <c r="EM135" s="137"/>
      <c r="EN135" s="137"/>
      <c r="EO135" s="137"/>
      <c r="EP135" s="137"/>
      <c r="EQ135" s="137"/>
      <c r="ER135" s="137"/>
      <c r="ES135" s="137"/>
      <c r="ET135" s="137"/>
      <c r="EU135" s="137"/>
      <c r="EV135" s="137"/>
      <c r="EW135" s="137"/>
      <c r="EX135" s="137"/>
      <c r="EY135" s="137"/>
      <c r="EZ135" s="137"/>
      <c r="FA135" s="137"/>
      <c r="FB135" s="137"/>
      <c r="FC135" s="137"/>
      <c r="FD135" s="137"/>
      <c r="FE135" s="137"/>
      <c r="FF135" s="137"/>
      <c r="FG135" s="137"/>
      <c r="FH135" s="137"/>
      <c r="FI135" s="137"/>
      <c r="FJ135" s="137"/>
      <c r="FK135" s="137"/>
      <c r="FL135" s="137"/>
      <c r="FM135" s="137"/>
      <c r="FN135" s="137"/>
      <c r="FO135" s="137"/>
      <c r="FP135" s="137"/>
      <c r="FQ135" s="137"/>
      <c r="FR135" s="137"/>
      <c r="FS135" s="137"/>
      <c r="FT135" s="137"/>
      <c r="FU135" s="137"/>
      <c r="FV135" s="1"/>
      <c r="FW135" s="1"/>
      <c r="FX135" s="1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1"/>
      <c r="GJ135" s="1"/>
      <c r="GK135" s="1"/>
      <c r="GL135" s="1"/>
      <c r="GM135" s="1"/>
      <c r="GN135" s="1"/>
      <c r="GO135" s="1"/>
      <c r="GP135" s="1"/>
    </row>
    <row r="136" spans="2:249" ht="23.25">
      <c r="B136" s="127" t="s">
        <v>136</v>
      </c>
      <c r="C136" s="133">
        <v>0.26219610289933654</v>
      </c>
      <c r="D136" s="133" t="s">
        <v>193</v>
      </c>
      <c r="E136" s="133">
        <v>0.38260536853407356</v>
      </c>
      <c r="F136" s="133" t="s">
        <v>193</v>
      </c>
      <c r="G136" s="133">
        <v>0.34052479374095024</v>
      </c>
      <c r="H136" s="133" t="s">
        <v>193</v>
      </c>
      <c r="I136" s="133">
        <v>1.3541743132445792</v>
      </c>
      <c r="J136" s="133" t="s">
        <v>193</v>
      </c>
      <c r="K136" s="133">
        <v>0.51236792791880315</v>
      </c>
      <c r="L136" s="133" t="s">
        <v>193</v>
      </c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  <c r="CC136" s="137"/>
      <c r="CD136" s="137"/>
      <c r="CE136" s="137"/>
      <c r="CF136" s="137"/>
      <c r="CG136" s="137"/>
      <c r="CH136" s="137"/>
      <c r="CI136" s="137"/>
      <c r="CJ136" s="137"/>
      <c r="CK136" s="137"/>
      <c r="CL136" s="137"/>
      <c r="CM136" s="137"/>
      <c r="CN136" s="137"/>
      <c r="CO136" s="137"/>
      <c r="CP136" s="137"/>
      <c r="CQ136" s="137"/>
      <c r="CR136" s="137"/>
      <c r="CS136" s="137"/>
      <c r="CT136" s="137"/>
      <c r="CU136" s="137"/>
      <c r="CV136" s="137"/>
      <c r="CW136" s="137"/>
      <c r="CX136" s="137"/>
      <c r="CY136" s="137"/>
      <c r="CZ136" s="137"/>
      <c r="DA136" s="137"/>
      <c r="DB136" s="137"/>
      <c r="DC136" s="137"/>
      <c r="DD136" s="137"/>
      <c r="DE136" s="137"/>
      <c r="DF136" s="137"/>
      <c r="DG136" s="137"/>
      <c r="DH136" s="137"/>
      <c r="DI136" s="137"/>
      <c r="DJ136" s="137"/>
      <c r="DK136" s="137"/>
      <c r="DL136" s="137"/>
      <c r="DM136" s="137"/>
      <c r="DN136" s="137"/>
      <c r="DO136" s="137"/>
      <c r="DP136" s="137"/>
      <c r="DQ136" s="137"/>
      <c r="DR136" s="137"/>
      <c r="DS136" s="137"/>
      <c r="DT136" s="137"/>
      <c r="DU136" s="137"/>
      <c r="DV136" s="137"/>
      <c r="DW136" s="137"/>
      <c r="DX136" s="137"/>
      <c r="DY136" s="137"/>
      <c r="DZ136" s="137"/>
      <c r="EA136" s="137"/>
      <c r="EB136" s="137"/>
      <c r="EC136" s="137"/>
      <c r="ED136" s="137"/>
      <c r="EE136" s="137"/>
      <c r="EF136" s="137"/>
      <c r="EG136" s="137"/>
      <c r="EH136" s="137"/>
      <c r="EI136" s="137"/>
      <c r="EJ136" s="137"/>
      <c r="EK136" s="137"/>
      <c r="EL136" s="137"/>
      <c r="EM136" s="137"/>
      <c r="EN136" s="137"/>
      <c r="EO136" s="137"/>
      <c r="EP136" s="137"/>
      <c r="EQ136" s="137"/>
      <c r="ER136" s="137"/>
      <c r="ES136" s="137"/>
      <c r="ET136" s="137"/>
      <c r="EU136" s="137"/>
      <c r="EV136" s="137"/>
      <c r="EW136" s="137"/>
      <c r="EX136" s="137"/>
      <c r="EY136" s="137"/>
      <c r="EZ136" s="137"/>
      <c r="FA136" s="137"/>
      <c r="FB136" s="137"/>
      <c r="FC136" s="137"/>
      <c r="FD136" s="137"/>
      <c r="FE136" s="137"/>
      <c r="FF136" s="137"/>
      <c r="FG136" s="137"/>
      <c r="FH136" s="137"/>
      <c r="FI136" s="137"/>
      <c r="FJ136" s="137"/>
      <c r="FK136" s="137"/>
      <c r="FL136" s="137"/>
      <c r="FM136" s="137"/>
      <c r="FN136" s="137"/>
      <c r="FO136" s="137"/>
      <c r="FP136" s="137"/>
      <c r="FQ136" s="137"/>
      <c r="FR136" s="137"/>
      <c r="FS136" s="137"/>
      <c r="FT136" s="137"/>
      <c r="FU136" s="137"/>
      <c r="FV136" s="1"/>
      <c r="FW136" s="1"/>
      <c r="FX136" s="1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1"/>
      <c r="GJ136" s="1"/>
      <c r="GK136" s="1"/>
      <c r="GL136" s="1"/>
      <c r="GM136" s="1"/>
      <c r="GN136" s="1"/>
      <c r="GO136" s="1"/>
      <c r="GP136" s="1"/>
    </row>
    <row r="137" spans="2:249" ht="34.5">
      <c r="B137" s="126" t="s">
        <v>137</v>
      </c>
      <c r="C137" s="131">
        <v>12.323216836268816</v>
      </c>
      <c r="D137" s="131" t="s">
        <v>4</v>
      </c>
      <c r="E137" s="131">
        <v>17.599846952567386</v>
      </c>
      <c r="F137" s="131" t="s">
        <v>4</v>
      </c>
      <c r="G137" s="131">
        <v>16.345190099565613</v>
      </c>
      <c r="H137" s="131" t="s">
        <v>4</v>
      </c>
      <c r="I137" s="131">
        <v>17.292018409250641</v>
      </c>
      <c r="J137" s="131" t="s">
        <v>4</v>
      </c>
      <c r="K137" s="131">
        <v>23.312740720305545</v>
      </c>
      <c r="L137" s="131" t="s">
        <v>4</v>
      </c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  <c r="CC137" s="137"/>
      <c r="CD137" s="137"/>
      <c r="CE137" s="137"/>
      <c r="CF137" s="137"/>
      <c r="CG137" s="137"/>
      <c r="CH137" s="137"/>
      <c r="CI137" s="137"/>
      <c r="CJ137" s="137"/>
      <c r="CK137" s="137"/>
      <c r="CL137" s="137"/>
      <c r="CM137" s="137"/>
      <c r="CN137" s="137"/>
      <c r="CO137" s="137"/>
      <c r="CP137" s="137"/>
      <c r="CQ137" s="137"/>
      <c r="CR137" s="137"/>
      <c r="CS137" s="137"/>
      <c r="CT137" s="137"/>
      <c r="CU137" s="137"/>
      <c r="CV137" s="137"/>
      <c r="CW137" s="137"/>
      <c r="CX137" s="137"/>
      <c r="CY137" s="137"/>
      <c r="CZ137" s="137"/>
      <c r="DA137" s="137"/>
      <c r="DB137" s="137"/>
      <c r="DC137" s="137"/>
      <c r="DD137" s="137"/>
      <c r="DE137" s="137"/>
      <c r="DF137" s="137"/>
      <c r="DG137" s="137"/>
      <c r="DH137" s="137"/>
      <c r="DI137" s="137"/>
      <c r="DJ137" s="137"/>
      <c r="DK137" s="137"/>
      <c r="DL137" s="137"/>
      <c r="DM137" s="137"/>
      <c r="DN137" s="137"/>
      <c r="DO137" s="137"/>
      <c r="DP137" s="137"/>
      <c r="DQ137" s="137"/>
      <c r="DR137" s="137"/>
      <c r="DS137" s="137"/>
      <c r="DT137" s="137"/>
      <c r="DU137" s="137"/>
      <c r="DV137" s="137"/>
      <c r="DW137" s="137"/>
      <c r="DX137" s="137"/>
      <c r="DY137" s="137"/>
      <c r="DZ137" s="137"/>
      <c r="EA137" s="137"/>
      <c r="EB137" s="137"/>
      <c r="EC137" s="137"/>
      <c r="ED137" s="137"/>
      <c r="EE137" s="137"/>
      <c r="EF137" s="137"/>
      <c r="EG137" s="137"/>
      <c r="EH137" s="137"/>
      <c r="EI137" s="137"/>
      <c r="EJ137" s="137"/>
      <c r="EK137" s="137"/>
      <c r="EL137" s="137"/>
      <c r="EM137" s="137"/>
      <c r="EN137" s="137"/>
      <c r="EO137" s="137"/>
      <c r="EP137" s="137"/>
      <c r="EQ137" s="137"/>
      <c r="ER137" s="137"/>
      <c r="ES137" s="137"/>
      <c r="ET137" s="137"/>
      <c r="EU137" s="137"/>
      <c r="EV137" s="137"/>
      <c r="EW137" s="137"/>
      <c r="EX137" s="137"/>
      <c r="EY137" s="137"/>
      <c r="EZ137" s="137"/>
      <c r="FA137" s="137"/>
      <c r="FB137" s="137"/>
      <c r="FC137" s="137"/>
      <c r="FD137" s="137"/>
      <c r="FE137" s="137"/>
      <c r="FF137" s="137"/>
      <c r="FG137" s="137"/>
      <c r="FH137" s="137"/>
      <c r="FI137" s="137"/>
      <c r="FJ137" s="137"/>
      <c r="FK137" s="137"/>
      <c r="FL137" s="137"/>
      <c r="FM137" s="137"/>
      <c r="FN137" s="137"/>
      <c r="FO137" s="137"/>
      <c r="FP137" s="137"/>
      <c r="FQ137" s="137"/>
      <c r="FR137" s="137"/>
      <c r="FS137" s="137"/>
      <c r="FT137" s="137"/>
      <c r="FU137" s="137"/>
      <c r="FV137" s="1"/>
      <c r="FW137" s="1"/>
      <c r="FX137" s="1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1"/>
      <c r="GJ137" s="1"/>
      <c r="GK137" s="1"/>
      <c r="GL137" s="1"/>
      <c r="GM137" s="1"/>
      <c r="GN137" s="1"/>
      <c r="GO137" s="1"/>
      <c r="GP137" s="1"/>
    </row>
    <row r="138" spans="2:249">
      <c r="B138" s="127" t="s">
        <v>138</v>
      </c>
      <c r="C138" s="128">
        <v>11.953520331180753</v>
      </c>
      <c r="D138" s="128" t="s">
        <v>4</v>
      </c>
      <c r="E138" s="128">
        <v>15.839862257310648</v>
      </c>
      <c r="F138" s="128" t="s">
        <v>4</v>
      </c>
      <c r="G138" s="128">
        <v>14.874122990604707</v>
      </c>
      <c r="H138" s="128" t="s">
        <v>4</v>
      </c>
      <c r="I138" s="128">
        <v>16.640337672880616</v>
      </c>
      <c r="J138" s="128" t="s">
        <v>4</v>
      </c>
      <c r="K138" s="128">
        <v>21.447721462681102</v>
      </c>
      <c r="L138" s="128" t="s">
        <v>4</v>
      </c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  <c r="CC138" s="137"/>
      <c r="CD138" s="137"/>
      <c r="CE138" s="137"/>
      <c r="CF138" s="137"/>
      <c r="CG138" s="137"/>
      <c r="CH138" s="137"/>
      <c r="CI138" s="137"/>
      <c r="CJ138" s="137"/>
      <c r="CK138" s="137"/>
      <c r="CL138" s="137"/>
      <c r="CM138" s="137"/>
      <c r="CN138" s="137"/>
      <c r="CO138" s="137"/>
      <c r="CP138" s="137"/>
      <c r="CQ138" s="137"/>
      <c r="CR138" s="137"/>
      <c r="CS138" s="137"/>
      <c r="CT138" s="137"/>
      <c r="CU138" s="137"/>
      <c r="CV138" s="137"/>
      <c r="CW138" s="137"/>
      <c r="CX138" s="137"/>
      <c r="CY138" s="137"/>
      <c r="CZ138" s="137"/>
      <c r="DA138" s="137"/>
      <c r="DB138" s="137"/>
      <c r="DC138" s="137"/>
      <c r="DD138" s="137"/>
      <c r="DE138" s="137"/>
      <c r="DF138" s="137"/>
      <c r="DG138" s="137"/>
      <c r="DH138" s="137"/>
      <c r="DI138" s="137"/>
      <c r="DJ138" s="137"/>
      <c r="DK138" s="137"/>
      <c r="DL138" s="137"/>
      <c r="DM138" s="137"/>
      <c r="DN138" s="137"/>
      <c r="DO138" s="137"/>
      <c r="DP138" s="137"/>
      <c r="DQ138" s="137"/>
      <c r="DR138" s="137"/>
      <c r="DS138" s="137"/>
      <c r="DT138" s="137"/>
      <c r="DU138" s="137"/>
      <c r="DV138" s="137"/>
      <c r="DW138" s="137"/>
      <c r="DX138" s="137"/>
      <c r="DY138" s="137"/>
      <c r="DZ138" s="137"/>
      <c r="EA138" s="137"/>
      <c r="EB138" s="137"/>
      <c r="EC138" s="137"/>
      <c r="ED138" s="137"/>
      <c r="EE138" s="137"/>
      <c r="EF138" s="137"/>
      <c r="EG138" s="137"/>
      <c r="EH138" s="137"/>
      <c r="EI138" s="137"/>
      <c r="EJ138" s="137"/>
      <c r="EK138" s="137"/>
      <c r="EL138" s="137"/>
      <c r="EM138" s="137"/>
      <c r="EN138" s="137"/>
      <c r="EO138" s="137"/>
      <c r="EP138" s="137"/>
      <c r="EQ138" s="137"/>
      <c r="ER138" s="137"/>
      <c r="ES138" s="137"/>
      <c r="ET138" s="137"/>
      <c r="EU138" s="137"/>
      <c r="EV138" s="137"/>
      <c r="EW138" s="137"/>
      <c r="EX138" s="137"/>
      <c r="EY138" s="137"/>
      <c r="EZ138" s="137"/>
      <c r="FA138" s="137"/>
      <c r="FB138" s="137"/>
      <c r="FC138" s="137"/>
      <c r="FD138" s="137"/>
      <c r="FE138" s="137"/>
      <c r="FF138" s="137"/>
      <c r="FG138" s="137"/>
      <c r="FH138" s="137"/>
      <c r="FI138" s="137"/>
      <c r="FJ138" s="137"/>
      <c r="FK138" s="137"/>
      <c r="FL138" s="137"/>
      <c r="FM138" s="137"/>
      <c r="FN138" s="137"/>
      <c r="FO138" s="137"/>
      <c r="FP138" s="137"/>
      <c r="FQ138" s="137"/>
      <c r="FR138" s="137"/>
      <c r="FS138" s="137"/>
      <c r="FT138" s="137"/>
      <c r="FU138" s="137"/>
      <c r="FV138" s="1"/>
      <c r="FW138" s="1"/>
      <c r="FX138" s="1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1"/>
      <c r="GJ138" s="1"/>
      <c r="GK138" s="1"/>
      <c r="GL138" s="1"/>
      <c r="GM138" s="1"/>
      <c r="GN138" s="1"/>
      <c r="GO138" s="1"/>
      <c r="GP138" s="1"/>
    </row>
    <row r="139" spans="2:249" ht="23.25">
      <c r="B139" s="126" t="s">
        <v>139</v>
      </c>
      <c r="C139" s="131">
        <v>0.21755407002748972</v>
      </c>
      <c r="D139" s="131" t="s">
        <v>193</v>
      </c>
      <c r="E139" s="131">
        <v>0.28511752063159163</v>
      </c>
      <c r="F139" s="131" t="s">
        <v>193</v>
      </c>
      <c r="G139" s="131">
        <v>0.2885579860177313</v>
      </c>
      <c r="H139" s="131" t="s">
        <v>193</v>
      </c>
      <c r="I139" s="131">
        <v>1.3034225508538839</v>
      </c>
      <c r="J139" s="131" t="s">
        <v>193</v>
      </c>
      <c r="K139" s="131">
        <v>0.40750670779094095</v>
      </c>
      <c r="L139" s="131" t="s">
        <v>193</v>
      </c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  <c r="CC139" s="137"/>
      <c r="CD139" s="137"/>
      <c r="CE139" s="137"/>
      <c r="CF139" s="137"/>
      <c r="CG139" s="137"/>
      <c r="CH139" s="137"/>
      <c r="CI139" s="137"/>
      <c r="CJ139" s="137"/>
      <c r="CK139" s="137"/>
      <c r="CL139" s="137"/>
      <c r="CM139" s="137"/>
      <c r="CN139" s="137"/>
      <c r="CO139" s="137"/>
      <c r="CP139" s="137"/>
      <c r="CQ139" s="137"/>
      <c r="CR139" s="137"/>
      <c r="CS139" s="137"/>
      <c r="CT139" s="137"/>
      <c r="CU139" s="137"/>
      <c r="CV139" s="137"/>
      <c r="CW139" s="137"/>
      <c r="CX139" s="137"/>
      <c r="CY139" s="137"/>
      <c r="CZ139" s="137"/>
      <c r="DA139" s="137"/>
      <c r="DB139" s="137"/>
      <c r="DC139" s="137"/>
      <c r="DD139" s="137"/>
      <c r="DE139" s="137"/>
      <c r="DF139" s="137"/>
      <c r="DG139" s="137"/>
      <c r="DH139" s="137"/>
      <c r="DI139" s="137"/>
      <c r="DJ139" s="137"/>
      <c r="DK139" s="137"/>
      <c r="DL139" s="137"/>
      <c r="DM139" s="137"/>
      <c r="DN139" s="137"/>
      <c r="DO139" s="137"/>
      <c r="DP139" s="137"/>
      <c r="DQ139" s="137"/>
      <c r="DR139" s="137"/>
      <c r="DS139" s="137"/>
      <c r="DT139" s="137"/>
      <c r="DU139" s="137"/>
      <c r="DV139" s="137"/>
      <c r="DW139" s="137"/>
      <c r="DX139" s="137"/>
      <c r="DY139" s="137"/>
      <c r="DZ139" s="137"/>
      <c r="EA139" s="137"/>
      <c r="EB139" s="137"/>
      <c r="EC139" s="137"/>
      <c r="ED139" s="137"/>
      <c r="EE139" s="137"/>
      <c r="EF139" s="137"/>
      <c r="EG139" s="137"/>
      <c r="EH139" s="137"/>
      <c r="EI139" s="137"/>
      <c r="EJ139" s="137"/>
      <c r="EK139" s="137"/>
      <c r="EL139" s="137"/>
      <c r="EM139" s="137"/>
      <c r="EN139" s="137"/>
      <c r="EO139" s="137"/>
      <c r="EP139" s="137"/>
      <c r="EQ139" s="137"/>
      <c r="ER139" s="137"/>
      <c r="ES139" s="137"/>
      <c r="ET139" s="137"/>
      <c r="EU139" s="137"/>
      <c r="EV139" s="137"/>
      <c r="EW139" s="137"/>
      <c r="EX139" s="137"/>
      <c r="EY139" s="137"/>
      <c r="EZ139" s="137"/>
      <c r="FA139" s="137"/>
      <c r="FB139" s="137"/>
      <c r="FC139" s="137"/>
      <c r="FD139" s="137"/>
      <c r="FE139" s="137"/>
      <c r="FF139" s="137"/>
      <c r="FG139" s="137"/>
      <c r="FH139" s="137"/>
      <c r="FI139" s="137"/>
      <c r="FJ139" s="137"/>
      <c r="FK139" s="137"/>
      <c r="FL139" s="137"/>
      <c r="FM139" s="137"/>
      <c r="FN139" s="137"/>
      <c r="FO139" s="137"/>
      <c r="FP139" s="137"/>
      <c r="FQ139" s="137"/>
      <c r="FR139" s="137"/>
      <c r="FS139" s="137"/>
      <c r="FT139" s="137"/>
      <c r="FU139" s="137"/>
      <c r="FV139" s="1"/>
      <c r="FW139" s="1"/>
      <c r="FX139" s="1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1"/>
      <c r="GJ139" s="1"/>
      <c r="GK139" s="1"/>
      <c r="GL139" s="1"/>
      <c r="GM139" s="1"/>
      <c r="GN139" s="1"/>
      <c r="GO139" s="1"/>
      <c r="GP139" s="1"/>
    </row>
    <row r="140" spans="2:249">
      <c r="B140" s="127" t="s">
        <v>140</v>
      </c>
      <c r="C140" s="128">
        <v>10.442595361319507</v>
      </c>
      <c r="D140" s="128" t="s">
        <v>4</v>
      </c>
      <c r="E140" s="128">
        <v>13.828199750632196</v>
      </c>
      <c r="F140" s="128" t="s">
        <v>4</v>
      </c>
      <c r="G140" s="128">
        <v>13.129388363806775</v>
      </c>
      <c r="H140" s="128" t="s">
        <v>4</v>
      </c>
      <c r="I140" s="128">
        <v>15.412571165559489</v>
      </c>
      <c r="J140" s="128" t="s">
        <v>4</v>
      </c>
      <c r="K140" s="128">
        <v>19.764075327860635</v>
      </c>
      <c r="L140" s="128" t="s">
        <v>4</v>
      </c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  <c r="CC140" s="137"/>
      <c r="CD140" s="137"/>
      <c r="CE140" s="137"/>
      <c r="CF140" s="137"/>
      <c r="CG140" s="137"/>
      <c r="CH140" s="137"/>
      <c r="CI140" s="137"/>
      <c r="CJ140" s="137"/>
      <c r="CK140" s="137"/>
      <c r="CL140" s="137"/>
      <c r="CM140" s="137"/>
      <c r="CN140" s="137"/>
      <c r="CO140" s="137"/>
      <c r="CP140" s="137"/>
      <c r="CQ140" s="137"/>
      <c r="CR140" s="137"/>
      <c r="CS140" s="137"/>
      <c r="CT140" s="137"/>
      <c r="CU140" s="137"/>
      <c r="CV140" s="137"/>
      <c r="CW140" s="137"/>
      <c r="CX140" s="137"/>
      <c r="CY140" s="137"/>
      <c r="CZ140" s="137"/>
      <c r="DA140" s="137"/>
      <c r="DB140" s="137"/>
      <c r="DC140" s="137"/>
      <c r="DD140" s="137"/>
      <c r="DE140" s="137"/>
      <c r="DF140" s="137"/>
      <c r="DG140" s="137"/>
      <c r="DH140" s="137"/>
      <c r="DI140" s="137"/>
      <c r="DJ140" s="137"/>
      <c r="DK140" s="137"/>
      <c r="DL140" s="137"/>
      <c r="DM140" s="137"/>
      <c r="DN140" s="137"/>
      <c r="DO140" s="137"/>
      <c r="DP140" s="137"/>
      <c r="DQ140" s="137"/>
      <c r="DR140" s="137"/>
      <c r="DS140" s="137"/>
      <c r="DT140" s="137"/>
      <c r="DU140" s="137"/>
      <c r="DV140" s="137"/>
      <c r="DW140" s="137"/>
      <c r="DX140" s="137"/>
      <c r="DY140" s="137"/>
      <c r="DZ140" s="137"/>
      <c r="EA140" s="137"/>
      <c r="EB140" s="137"/>
      <c r="EC140" s="137"/>
      <c r="ED140" s="137"/>
      <c r="EE140" s="137"/>
      <c r="EF140" s="137"/>
      <c r="EG140" s="137"/>
      <c r="EH140" s="137"/>
      <c r="EI140" s="137"/>
      <c r="EJ140" s="137"/>
      <c r="EK140" s="137"/>
      <c r="EL140" s="137"/>
      <c r="EM140" s="137"/>
      <c r="EN140" s="137"/>
      <c r="EO140" s="137"/>
      <c r="EP140" s="137"/>
      <c r="EQ140" s="137"/>
      <c r="ER140" s="137"/>
      <c r="ES140" s="137"/>
      <c r="ET140" s="137"/>
      <c r="EU140" s="137"/>
      <c r="EV140" s="137"/>
      <c r="EW140" s="137"/>
      <c r="EX140" s="137"/>
      <c r="EY140" s="137"/>
      <c r="EZ140" s="137"/>
      <c r="FA140" s="137"/>
      <c r="FB140" s="137"/>
      <c r="FC140" s="137"/>
      <c r="FD140" s="137"/>
      <c r="FE140" s="137"/>
      <c r="FF140" s="137"/>
      <c r="FG140" s="137"/>
      <c r="FH140" s="137"/>
      <c r="FI140" s="137"/>
      <c r="FJ140" s="137"/>
      <c r="FK140" s="137"/>
      <c r="FL140" s="137"/>
      <c r="FM140" s="137"/>
      <c r="FN140" s="137"/>
      <c r="FO140" s="137"/>
      <c r="FP140" s="137"/>
      <c r="FQ140" s="137"/>
      <c r="FR140" s="137"/>
      <c r="FS140" s="137"/>
      <c r="FT140" s="137"/>
      <c r="FU140" s="137"/>
      <c r="FV140" s="1"/>
      <c r="FW140" s="1"/>
      <c r="FX140" s="1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1"/>
      <c r="GJ140" s="1"/>
      <c r="GK140" s="1"/>
      <c r="GL140" s="1"/>
      <c r="GM140" s="1"/>
      <c r="GN140" s="1"/>
      <c r="GO140" s="1"/>
      <c r="GP140" s="1"/>
    </row>
    <row r="141" spans="2:249">
      <c r="B141" s="126" t="s">
        <v>141</v>
      </c>
      <c r="C141" s="129">
        <v>9.6071877324139461</v>
      </c>
      <c r="D141" s="129" t="s">
        <v>4</v>
      </c>
      <c r="E141" s="129">
        <v>12.998507765594264</v>
      </c>
      <c r="F141" s="129" t="s">
        <v>4</v>
      </c>
      <c r="G141" s="129">
        <v>11.816449527426098</v>
      </c>
      <c r="H141" s="129" t="s">
        <v>4</v>
      </c>
      <c r="I141" s="129">
        <v>14.403691183970325</v>
      </c>
      <c r="J141" s="129" t="s">
        <v>4</v>
      </c>
      <c r="K141" s="129">
        <v>18.182949301631783</v>
      </c>
      <c r="L141" s="129" t="s">
        <v>4</v>
      </c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  <c r="CC141" s="137"/>
      <c r="CD141" s="137"/>
      <c r="CE141" s="137"/>
      <c r="CF141" s="137"/>
      <c r="CG141" s="137"/>
      <c r="CH141" s="137"/>
      <c r="CI141" s="137"/>
      <c r="CJ141" s="137"/>
      <c r="CK141" s="137"/>
      <c r="CL141" s="137"/>
      <c r="CM141" s="137"/>
      <c r="CN141" s="137"/>
      <c r="CO141" s="137"/>
      <c r="CP141" s="137"/>
      <c r="CQ141" s="137"/>
      <c r="CR141" s="137"/>
      <c r="CS141" s="137"/>
      <c r="CT141" s="137"/>
      <c r="CU141" s="137"/>
      <c r="CV141" s="137"/>
      <c r="CW141" s="137"/>
      <c r="CX141" s="137"/>
      <c r="CY141" s="137"/>
      <c r="CZ141" s="137"/>
      <c r="DA141" s="137"/>
      <c r="DB141" s="137"/>
      <c r="DC141" s="137"/>
      <c r="DD141" s="137"/>
      <c r="DE141" s="137"/>
      <c r="DF141" s="137"/>
      <c r="DG141" s="137"/>
      <c r="DH141" s="137"/>
      <c r="DI141" s="137"/>
      <c r="DJ141" s="137"/>
      <c r="DK141" s="137"/>
      <c r="DL141" s="137"/>
      <c r="DM141" s="137"/>
      <c r="DN141" s="137"/>
      <c r="DO141" s="137"/>
      <c r="DP141" s="137"/>
      <c r="DQ141" s="137"/>
      <c r="DR141" s="137"/>
      <c r="DS141" s="137"/>
      <c r="DT141" s="137"/>
      <c r="DU141" s="137"/>
      <c r="DV141" s="137"/>
      <c r="DW141" s="137"/>
      <c r="DX141" s="137"/>
      <c r="DY141" s="137"/>
      <c r="DZ141" s="137"/>
      <c r="EA141" s="137"/>
      <c r="EB141" s="137"/>
      <c r="EC141" s="137"/>
      <c r="ED141" s="137"/>
      <c r="EE141" s="137"/>
      <c r="EF141" s="137"/>
      <c r="EG141" s="137"/>
      <c r="EH141" s="137"/>
      <c r="EI141" s="137"/>
      <c r="EJ141" s="137"/>
      <c r="EK141" s="137"/>
      <c r="EL141" s="137"/>
      <c r="EM141" s="137"/>
      <c r="EN141" s="137"/>
      <c r="EO141" s="137"/>
      <c r="EP141" s="137"/>
      <c r="EQ141" s="137"/>
      <c r="ER141" s="137"/>
      <c r="ES141" s="137"/>
      <c r="ET141" s="137"/>
      <c r="EU141" s="137"/>
      <c r="EV141" s="137"/>
      <c r="EW141" s="137"/>
      <c r="EX141" s="137"/>
      <c r="EY141" s="137"/>
      <c r="EZ141" s="137"/>
      <c r="FA141" s="137"/>
      <c r="FB141" s="137"/>
      <c r="FC141" s="137"/>
      <c r="FD141" s="137"/>
      <c r="FE141" s="137"/>
      <c r="FF141" s="137"/>
      <c r="FG141" s="137"/>
      <c r="FH141" s="137"/>
      <c r="FI141" s="137"/>
      <c r="FJ141" s="137"/>
      <c r="FK141" s="137"/>
      <c r="FL141" s="137"/>
      <c r="FM141" s="137"/>
      <c r="FN141" s="137"/>
      <c r="FO141" s="137"/>
      <c r="FP141" s="137"/>
      <c r="FQ141" s="137"/>
      <c r="FR141" s="137"/>
      <c r="FS141" s="137"/>
      <c r="FT141" s="137"/>
      <c r="FU141" s="137"/>
      <c r="FV141" s="1"/>
      <c r="FW141" s="1"/>
      <c r="FX141" s="1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1"/>
      <c r="GJ141" s="1"/>
      <c r="GK141" s="1"/>
      <c r="GL141" s="1"/>
      <c r="GM141" s="1"/>
      <c r="GN141" s="1"/>
      <c r="GO141" s="1"/>
      <c r="GP141" s="1"/>
    </row>
    <row r="142" spans="2:249" ht="34.5">
      <c r="B142" s="127" t="s">
        <v>142</v>
      </c>
      <c r="C142" s="133">
        <v>0.1748508167299338</v>
      </c>
      <c r="D142" s="133" t="s">
        <v>193</v>
      </c>
      <c r="E142" s="133">
        <v>0.23917254288693443</v>
      </c>
      <c r="F142" s="133" t="s">
        <v>193</v>
      </c>
      <c r="G142" s="133">
        <v>0.21978596121012545</v>
      </c>
      <c r="H142" s="133" t="s">
        <v>193</v>
      </c>
      <c r="I142" s="133">
        <v>1.2466279177850539</v>
      </c>
      <c r="J142" s="133" t="s">
        <v>193</v>
      </c>
      <c r="K142" s="133">
        <v>0.35274921645165663</v>
      </c>
      <c r="L142" s="133" t="s">
        <v>193</v>
      </c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  <c r="CC142" s="137"/>
      <c r="CD142" s="137"/>
      <c r="CE142" s="137"/>
      <c r="CF142" s="137"/>
      <c r="CG142" s="137"/>
      <c r="CH142" s="137"/>
      <c r="CI142" s="137"/>
      <c r="CJ142" s="137"/>
      <c r="CK142" s="137"/>
      <c r="CL142" s="137"/>
      <c r="CM142" s="137"/>
      <c r="CN142" s="137"/>
      <c r="CO142" s="137"/>
      <c r="CP142" s="137"/>
      <c r="CQ142" s="137"/>
      <c r="CR142" s="137"/>
      <c r="CS142" s="137"/>
      <c r="CT142" s="137"/>
      <c r="CU142" s="137"/>
      <c r="CV142" s="137"/>
      <c r="CW142" s="137"/>
      <c r="CX142" s="137"/>
      <c r="CY142" s="137"/>
      <c r="CZ142" s="137"/>
      <c r="DA142" s="137"/>
      <c r="DB142" s="137"/>
      <c r="DC142" s="137"/>
      <c r="DD142" s="137"/>
      <c r="DE142" s="137"/>
      <c r="DF142" s="137"/>
      <c r="DG142" s="137"/>
      <c r="DH142" s="137"/>
      <c r="DI142" s="137"/>
      <c r="DJ142" s="137"/>
      <c r="DK142" s="137"/>
      <c r="DL142" s="137"/>
      <c r="DM142" s="137"/>
      <c r="DN142" s="137"/>
      <c r="DO142" s="137"/>
      <c r="DP142" s="137"/>
      <c r="DQ142" s="137"/>
      <c r="DR142" s="137"/>
      <c r="DS142" s="137"/>
      <c r="DT142" s="137"/>
      <c r="DU142" s="137"/>
      <c r="DV142" s="137"/>
      <c r="DW142" s="137"/>
      <c r="DX142" s="137"/>
      <c r="DY142" s="137"/>
      <c r="DZ142" s="137"/>
      <c r="EA142" s="137"/>
      <c r="EB142" s="137"/>
      <c r="EC142" s="137"/>
      <c r="ED142" s="137"/>
      <c r="EE142" s="137"/>
      <c r="EF142" s="137"/>
      <c r="EG142" s="137"/>
      <c r="EH142" s="137"/>
      <c r="EI142" s="137"/>
      <c r="EJ142" s="137"/>
      <c r="EK142" s="137"/>
      <c r="EL142" s="137"/>
      <c r="EM142" s="137"/>
      <c r="EN142" s="137"/>
      <c r="EO142" s="137"/>
      <c r="EP142" s="137"/>
      <c r="EQ142" s="137"/>
      <c r="ER142" s="137"/>
      <c r="ES142" s="137"/>
      <c r="ET142" s="137"/>
      <c r="EU142" s="137"/>
      <c r="EV142" s="137"/>
      <c r="EW142" s="137"/>
      <c r="EX142" s="137"/>
      <c r="EY142" s="137"/>
      <c r="EZ142" s="137"/>
      <c r="FA142" s="137"/>
      <c r="FB142" s="137"/>
      <c r="FC142" s="137"/>
      <c r="FD142" s="137"/>
      <c r="FE142" s="137"/>
      <c r="FF142" s="137"/>
      <c r="FG142" s="137"/>
      <c r="FH142" s="137"/>
      <c r="FI142" s="137"/>
      <c r="FJ142" s="137"/>
      <c r="FK142" s="137"/>
      <c r="FL142" s="137"/>
      <c r="FM142" s="137"/>
      <c r="FN142" s="137"/>
      <c r="FO142" s="137"/>
      <c r="FP142" s="137"/>
      <c r="FQ142" s="137"/>
      <c r="FR142" s="137"/>
      <c r="FS142" s="137"/>
      <c r="FT142" s="137"/>
      <c r="FU142" s="137"/>
      <c r="FV142" s="1"/>
      <c r="FW142" s="1"/>
      <c r="FX142" s="1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1"/>
      <c r="GJ142" s="1"/>
      <c r="GK142" s="1"/>
      <c r="GL142" s="1"/>
      <c r="GM142" s="1"/>
      <c r="GN142" s="1"/>
      <c r="GO142" s="1"/>
      <c r="GP142" s="1"/>
    </row>
    <row r="143" spans="2:249" ht="34.5">
      <c r="B143" s="126" t="s">
        <v>143</v>
      </c>
      <c r="C143" s="129">
        <v>0.16785678406073645</v>
      </c>
      <c r="D143" s="129" t="s">
        <v>193</v>
      </c>
      <c r="E143" s="129">
        <v>0.23199736660032641</v>
      </c>
      <c r="F143" s="129" t="s">
        <v>193</v>
      </c>
      <c r="G143" s="129">
        <v>0.1978073650891129</v>
      </c>
      <c r="H143" s="129" t="s">
        <v>193</v>
      </c>
      <c r="I143" s="129">
        <v>1.2318302427179506</v>
      </c>
      <c r="J143" s="129" t="s">
        <v>193</v>
      </c>
      <c r="K143" s="129">
        <v>0.33863924779359039</v>
      </c>
      <c r="L143" s="129" t="s">
        <v>193</v>
      </c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  <c r="CC143" s="137"/>
      <c r="CD143" s="137"/>
      <c r="CE143" s="137"/>
      <c r="CF143" s="137"/>
      <c r="CG143" s="137"/>
      <c r="CH143" s="137"/>
      <c r="CI143" s="137"/>
      <c r="CJ143" s="137"/>
      <c r="CK143" s="137"/>
      <c r="CL143" s="137"/>
      <c r="CM143" s="137"/>
      <c r="CN143" s="137"/>
      <c r="CO143" s="137"/>
      <c r="CP143" s="137"/>
      <c r="CQ143" s="137"/>
      <c r="CR143" s="137"/>
      <c r="CS143" s="137"/>
      <c r="CT143" s="137"/>
      <c r="CU143" s="137"/>
      <c r="CV143" s="137"/>
      <c r="CW143" s="137"/>
      <c r="CX143" s="137"/>
      <c r="CY143" s="137"/>
      <c r="CZ143" s="137"/>
      <c r="DA143" s="137"/>
      <c r="DB143" s="137"/>
      <c r="DC143" s="137"/>
      <c r="DD143" s="137"/>
      <c r="DE143" s="137"/>
      <c r="DF143" s="137"/>
      <c r="DG143" s="137"/>
      <c r="DH143" s="137"/>
      <c r="DI143" s="137"/>
      <c r="DJ143" s="137"/>
      <c r="DK143" s="137"/>
      <c r="DL143" s="137"/>
      <c r="DM143" s="137"/>
      <c r="DN143" s="137"/>
      <c r="DO143" s="137"/>
      <c r="DP143" s="137"/>
      <c r="DQ143" s="137"/>
      <c r="DR143" s="137"/>
      <c r="DS143" s="137"/>
      <c r="DT143" s="137"/>
      <c r="DU143" s="137"/>
      <c r="DV143" s="137"/>
      <c r="DW143" s="137"/>
      <c r="DX143" s="137"/>
      <c r="DY143" s="137"/>
      <c r="DZ143" s="137"/>
      <c r="EA143" s="137"/>
      <c r="EB143" s="137"/>
      <c r="EC143" s="137"/>
      <c r="ED143" s="137"/>
      <c r="EE143" s="137"/>
      <c r="EF143" s="137"/>
      <c r="EG143" s="137"/>
      <c r="EH143" s="137"/>
      <c r="EI143" s="137"/>
      <c r="EJ143" s="137"/>
      <c r="EK143" s="137"/>
      <c r="EL143" s="137"/>
      <c r="EM143" s="137"/>
      <c r="EN143" s="137"/>
      <c r="EO143" s="137"/>
      <c r="EP143" s="137"/>
      <c r="EQ143" s="137"/>
      <c r="ER143" s="137"/>
      <c r="ES143" s="137"/>
      <c r="ET143" s="137"/>
      <c r="EU143" s="137"/>
      <c r="EV143" s="137"/>
      <c r="EW143" s="137"/>
      <c r="EX143" s="137"/>
      <c r="EY143" s="137"/>
      <c r="EZ143" s="137"/>
      <c r="FA143" s="137"/>
      <c r="FB143" s="137"/>
      <c r="FC143" s="137"/>
      <c r="FD143" s="137"/>
      <c r="FE143" s="137"/>
      <c r="FF143" s="137"/>
      <c r="FG143" s="137"/>
      <c r="FH143" s="137"/>
      <c r="FI143" s="137"/>
      <c r="FJ143" s="137"/>
      <c r="FK143" s="137"/>
      <c r="FL143" s="137"/>
      <c r="FM143" s="137"/>
      <c r="FN143" s="137"/>
      <c r="FO143" s="137"/>
      <c r="FP143" s="137"/>
      <c r="FQ143" s="137"/>
      <c r="FR143" s="137"/>
      <c r="FS143" s="137"/>
      <c r="FT143" s="137"/>
      <c r="FU143" s="137"/>
      <c r="FV143" s="1"/>
      <c r="FW143" s="1"/>
      <c r="FX143" s="1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1"/>
      <c r="GJ143" s="1"/>
      <c r="GK143" s="1"/>
      <c r="GL143" s="1"/>
      <c r="GM143" s="1"/>
      <c r="GN143" s="1"/>
      <c r="GO143" s="1"/>
      <c r="GP143" s="1"/>
    </row>
    <row r="144" spans="2:249" ht="23.25">
      <c r="B144" s="127" t="s">
        <v>144</v>
      </c>
      <c r="C144" s="128">
        <v>0.15946394485769966</v>
      </c>
      <c r="D144" s="128" t="s">
        <v>193</v>
      </c>
      <c r="E144" s="128">
        <v>0.21807752460430685</v>
      </c>
      <c r="F144" s="128" t="s">
        <v>193</v>
      </c>
      <c r="G144" s="128">
        <v>0.18198277588198386</v>
      </c>
      <c r="H144" s="128" t="s">
        <v>193</v>
      </c>
      <c r="I144" s="128">
        <v>1.2248753354364121</v>
      </c>
      <c r="J144" s="128" t="s">
        <v>193</v>
      </c>
      <c r="K144" s="128">
        <v>0.31832089292597499</v>
      </c>
      <c r="L144" s="128" t="s">
        <v>193</v>
      </c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  <c r="BZ144" s="137"/>
      <c r="CA144" s="137"/>
      <c r="CB144" s="137"/>
      <c r="CC144" s="137"/>
      <c r="CD144" s="137"/>
      <c r="CE144" s="137"/>
      <c r="CF144" s="137"/>
      <c r="CG144" s="137"/>
      <c r="CH144" s="137"/>
      <c r="CI144" s="137"/>
      <c r="CJ144" s="137"/>
      <c r="CK144" s="137"/>
      <c r="CL144" s="137"/>
      <c r="CM144" s="137"/>
      <c r="CN144" s="137"/>
      <c r="CO144" s="137"/>
      <c r="CP144" s="137"/>
      <c r="CQ144" s="137"/>
      <c r="CR144" s="137"/>
      <c r="CS144" s="137"/>
      <c r="CT144" s="137"/>
      <c r="CU144" s="137"/>
      <c r="CV144" s="137"/>
      <c r="CW144" s="137"/>
      <c r="CX144" s="137"/>
      <c r="CY144" s="137"/>
      <c r="CZ144" s="137"/>
      <c r="DA144" s="137"/>
      <c r="DB144" s="137"/>
      <c r="DC144" s="137"/>
      <c r="DD144" s="137"/>
      <c r="DE144" s="137"/>
      <c r="DF144" s="137"/>
      <c r="DG144" s="137"/>
      <c r="DH144" s="137"/>
      <c r="DI144" s="137"/>
      <c r="DJ144" s="137"/>
      <c r="DK144" s="137"/>
      <c r="DL144" s="137"/>
      <c r="DM144" s="137"/>
      <c r="DN144" s="137"/>
      <c r="DO144" s="137"/>
      <c r="DP144" s="137"/>
      <c r="DQ144" s="137"/>
      <c r="DR144" s="137"/>
      <c r="DS144" s="137"/>
      <c r="DT144" s="137"/>
      <c r="DU144" s="137"/>
      <c r="DV144" s="137"/>
      <c r="DW144" s="137"/>
      <c r="DX144" s="137"/>
      <c r="DY144" s="137"/>
      <c r="DZ144" s="137"/>
      <c r="EA144" s="137"/>
      <c r="EB144" s="137"/>
      <c r="EC144" s="137"/>
      <c r="ED144" s="137"/>
      <c r="EE144" s="137"/>
      <c r="EF144" s="137"/>
      <c r="EG144" s="137"/>
      <c r="EH144" s="137"/>
      <c r="EI144" s="137"/>
      <c r="EJ144" s="137"/>
      <c r="EK144" s="137"/>
      <c r="EL144" s="137"/>
      <c r="EM144" s="137"/>
      <c r="EN144" s="137"/>
      <c r="EO144" s="137"/>
      <c r="EP144" s="137"/>
      <c r="EQ144" s="137"/>
      <c r="ER144" s="137"/>
      <c r="ES144" s="137"/>
      <c r="ET144" s="137"/>
      <c r="EU144" s="137"/>
      <c r="EV144" s="137"/>
      <c r="EW144" s="137"/>
      <c r="EX144" s="137"/>
      <c r="EY144" s="137"/>
      <c r="EZ144" s="137"/>
      <c r="FA144" s="137"/>
      <c r="FB144" s="137"/>
      <c r="FC144" s="137"/>
      <c r="FD144" s="137"/>
      <c r="FE144" s="137"/>
      <c r="FF144" s="137"/>
      <c r="FG144" s="137"/>
      <c r="FH144" s="137"/>
      <c r="FI144" s="137"/>
      <c r="FJ144" s="137"/>
      <c r="FK144" s="137"/>
      <c r="FL144" s="137"/>
      <c r="FM144" s="137"/>
      <c r="FN144" s="137"/>
      <c r="FO144" s="137"/>
      <c r="FP144" s="137"/>
      <c r="FQ144" s="137"/>
      <c r="FR144" s="137"/>
      <c r="FS144" s="137"/>
      <c r="FT144" s="137"/>
      <c r="FU144" s="137"/>
      <c r="FV144" s="1"/>
      <c r="FW144" s="1"/>
      <c r="FX144" s="1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1"/>
      <c r="GJ144" s="1"/>
      <c r="GK144" s="1"/>
      <c r="GL144" s="1"/>
      <c r="GM144" s="1"/>
      <c r="GN144" s="1"/>
      <c r="GO144" s="1"/>
      <c r="GP144" s="1"/>
    </row>
    <row r="145" spans="2:198">
      <c r="B145" s="126" t="s">
        <v>145</v>
      </c>
      <c r="C145" s="129">
        <v>7.7340013255984328</v>
      </c>
      <c r="D145" s="129" t="s">
        <v>4</v>
      </c>
      <c r="E145" s="129">
        <v>10.358682418704575</v>
      </c>
      <c r="F145" s="129" t="s">
        <v>4</v>
      </c>
      <c r="G145" s="129">
        <v>8.4621990785122492</v>
      </c>
      <c r="H145" s="129" t="s">
        <v>4</v>
      </c>
      <c r="I145" s="129">
        <v>11.456703097793168</v>
      </c>
      <c r="J145" s="129" t="s">
        <v>4</v>
      </c>
      <c r="K145" s="129">
        <v>15.120242413983812</v>
      </c>
      <c r="L145" s="129" t="s">
        <v>4</v>
      </c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  <c r="CC145" s="137"/>
      <c r="CD145" s="137"/>
      <c r="CE145" s="137"/>
      <c r="CF145" s="137"/>
      <c r="CG145" s="137"/>
      <c r="CH145" s="137"/>
      <c r="CI145" s="137"/>
      <c r="CJ145" s="137"/>
      <c r="CK145" s="137"/>
      <c r="CL145" s="137"/>
      <c r="CM145" s="137"/>
      <c r="CN145" s="137"/>
      <c r="CO145" s="137"/>
      <c r="CP145" s="137"/>
      <c r="CQ145" s="137"/>
      <c r="CR145" s="137"/>
      <c r="CS145" s="137"/>
      <c r="CT145" s="137"/>
      <c r="CU145" s="137"/>
      <c r="CV145" s="137"/>
      <c r="CW145" s="137"/>
      <c r="CX145" s="137"/>
      <c r="CY145" s="137"/>
      <c r="CZ145" s="137"/>
      <c r="DA145" s="137"/>
      <c r="DB145" s="137"/>
      <c r="DC145" s="137"/>
      <c r="DD145" s="137"/>
      <c r="DE145" s="137"/>
      <c r="DF145" s="137"/>
      <c r="DG145" s="137"/>
      <c r="DH145" s="137"/>
      <c r="DI145" s="137"/>
      <c r="DJ145" s="137"/>
      <c r="DK145" s="137"/>
      <c r="DL145" s="137"/>
      <c r="DM145" s="137"/>
      <c r="DN145" s="137"/>
      <c r="DO145" s="137"/>
      <c r="DP145" s="137"/>
      <c r="DQ145" s="137"/>
      <c r="DR145" s="137"/>
      <c r="DS145" s="137"/>
      <c r="DT145" s="137"/>
      <c r="DU145" s="137"/>
      <c r="DV145" s="137"/>
      <c r="DW145" s="137"/>
      <c r="DX145" s="137"/>
      <c r="DY145" s="137"/>
      <c r="DZ145" s="137"/>
      <c r="EA145" s="137"/>
      <c r="EB145" s="137"/>
      <c r="EC145" s="137"/>
      <c r="ED145" s="137"/>
      <c r="EE145" s="137"/>
      <c r="EF145" s="137"/>
      <c r="EG145" s="137"/>
      <c r="EH145" s="137"/>
      <c r="EI145" s="137"/>
      <c r="EJ145" s="137"/>
      <c r="EK145" s="137"/>
      <c r="EL145" s="137"/>
      <c r="EM145" s="137"/>
      <c r="EN145" s="137"/>
      <c r="EO145" s="137"/>
      <c r="EP145" s="137"/>
      <c r="EQ145" s="137"/>
      <c r="ER145" s="137"/>
      <c r="ES145" s="137"/>
      <c r="ET145" s="137"/>
      <c r="EU145" s="137"/>
      <c r="EV145" s="137"/>
      <c r="EW145" s="137"/>
      <c r="EX145" s="137"/>
      <c r="EY145" s="137"/>
      <c r="EZ145" s="137"/>
      <c r="FA145" s="137"/>
      <c r="FB145" s="137"/>
      <c r="FC145" s="137"/>
      <c r="FD145" s="137"/>
      <c r="FE145" s="137"/>
      <c r="FF145" s="137"/>
      <c r="FG145" s="137"/>
      <c r="FH145" s="137"/>
      <c r="FI145" s="137"/>
      <c r="FJ145" s="137"/>
      <c r="FK145" s="137"/>
      <c r="FL145" s="137"/>
      <c r="FM145" s="137"/>
      <c r="FN145" s="137"/>
      <c r="FO145" s="137"/>
      <c r="FP145" s="137"/>
      <c r="FQ145" s="137"/>
      <c r="FR145" s="137"/>
      <c r="FS145" s="137"/>
      <c r="FT145" s="137"/>
      <c r="FU145" s="137"/>
      <c r="FV145" s="1"/>
      <c r="FW145" s="1"/>
      <c r="FX145" s="1"/>
      <c r="FY145" s="2"/>
      <c r="FZ145" s="2"/>
      <c r="GA145" s="2"/>
      <c r="GB145" s="2"/>
      <c r="GC145" s="2"/>
      <c r="GD145" s="2"/>
      <c r="GE145" s="2"/>
      <c r="GF145" s="2"/>
      <c r="GG145" s="2"/>
      <c r="GH145" s="1"/>
      <c r="GI145" s="1"/>
      <c r="GJ145" s="1"/>
      <c r="GK145" s="1"/>
      <c r="GL145" s="1"/>
      <c r="GM145" s="1"/>
      <c r="GN145" s="1"/>
      <c r="GO145" s="1"/>
      <c r="GP145" s="1"/>
    </row>
    <row r="146" spans="2:198">
      <c r="B146" s="127" t="s">
        <v>146</v>
      </c>
      <c r="C146" s="128">
        <v>7.192621232806542</v>
      </c>
      <c r="D146" s="128" t="s">
        <v>4</v>
      </c>
      <c r="E146" s="128">
        <v>9.4264010010211639</v>
      </c>
      <c r="F146" s="128" t="s">
        <v>4</v>
      </c>
      <c r="G146" s="128">
        <v>7.7006011614461469</v>
      </c>
      <c r="H146" s="128" t="s">
        <v>4</v>
      </c>
      <c r="I146" s="128">
        <v>10.933867942903509</v>
      </c>
      <c r="J146" s="128" t="s">
        <v>4</v>
      </c>
      <c r="K146" s="128">
        <v>14.51543271742446</v>
      </c>
      <c r="L146" s="128" t="s">
        <v>4</v>
      </c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  <c r="CC146" s="137"/>
      <c r="CD146" s="137"/>
      <c r="CE146" s="137"/>
      <c r="CF146" s="137"/>
      <c r="CG146" s="137"/>
      <c r="CH146" s="137"/>
      <c r="CI146" s="137"/>
      <c r="CJ146" s="137"/>
      <c r="CK146" s="137"/>
      <c r="CL146" s="137"/>
      <c r="CM146" s="137"/>
      <c r="CN146" s="137"/>
      <c r="CO146" s="137"/>
      <c r="CP146" s="137"/>
      <c r="CQ146" s="137"/>
      <c r="CR146" s="137"/>
      <c r="CS146" s="137"/>
      <c r="CT146" s="137"/>
      <c r="CU146" s="137"/>
      <c r="CV146" s="137"/>
      <c r="CW146" s="137"/>
      <c r="CX146" s="137"/>
      <c r="CY146" s="137"/>
      <c r="CZ146" s="137"/>
      <c r="DA146" s="137"/>
      <c r="DB146" s="137"/>
      <c r="DC146" s="137"/>
      <c r="DD146" s="137"/>
      <c r="DE146" s="137"/>
      <c r="DF146" s="137"/>
      <c r="DG146" s="137"/>
      <c r="DH146" s="137"/>
      <c r="DI146" s="137"/>
      <c r="DJ146" s="137"/>
      <c r="DK146" s="137"/>
      <c r="DL146" s="137"/>
      <c r="DM146" s="137"/>
      <c r="DN146" s="137"/>
      <c r="DO146" s="137"/>
      <c r="DP146" s="137"/>
      <c r="DQ146" s="137"/>
      <c r="DR146" s="137"/>
      <c r="DS146" s="137"/>
      <c r="DT146" s="137"/>
      <c r="DU146" s="137"/>
      <c r="DV146" s="137"/>
      <c r="DW146" s="137"/>
      <c r="DX146" s="137"/>
      <c r="DY146" s="137"/>
      <c r="DZ146" s="137"/>
      <c r="EA146" s="137"/>
      <c r="EB146" s="137"/>
      <c r="EC146" s="137"/>
      <c r="ED146" s="137"/>
      <c r="EE146" s="137"/>
      <c r="EF146" s="137"/>
      <c r="EG146" s="137"/>
      <c r="EH146" s="137"/>
      <c r="EI146" s="137"/>
      <c r="EJ146" s="137"/>
      <c r="EK146" s="137"/>
      <c r="EL146" s="137"/>
      <c r="EM146" s="137"/>
      <c r="EN146" s="137"/>
      <c r="EO146" s="137"/>
      <c r="EP146" s="137"/>
      <c r="EQ146" s="137"/>
      <c r="ER146" s="137"/>
      <c r="ES146" s="137"/>
      <c r="ET146" s="137"/>
      <c r="EU146" s="137"/>
      <c r="EV146" s="137"/>
      <c r="EW146" s="137"/>
      <c r="EX146" s="137"/>
      <c r="EY146" s="137"/>
      <c r="EZ146" s="137"/>
      <c r="FA146" s="137"/>
      <c r="FB146" s="137"/>
      <c r="FC146" s="137"/>
      <c r="FD146" s="137"/>
      <c r="FE146" s="137"/>
      <c r="FF146" s="137"/>
      <c r="FG146" s="137"/>
      <c r="FH146" s="137"/>
      <c r="FI146" s="137"/>
      <c r="FJ146" s="137"/>
      <c r="FK146" s="137"/>
      <c r="FL146" s="137"/>
      <c r="FM146" s="137"/>
      <c r="FN146" s="137"/>
      <c r="FO146" s="137"/>
      <c r="FP146" s="137"/>
      <c r="FQ146" s="137"/>
      <c r="FR146" s="137"/>
      <c r="FS146" s="137"/>
      <c r="FT146" s="137"/>
      <c r="FU146" s="137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</row>
    <row r="147" spans="2:198">
      <c r="B147" s="126" t="s">
        <v>147</v>
      </c>
      <c r="C147" s="129">
        <v>6.5452853218539531</v>
      </c>
      <c r="D147" s="129" t="s">
        <v>4</v>
      </c>
      <c r="E147" s="129">
        <v>8.9550809509701068</v>
      </c>
      <c r="F147" s="129" t="s">
        <v>4</v>
      </c>
      <c r="G147" s="129">
        <v>7.2385650917593782</v>
      </c>
      <c r="H147" s="129" t="s">
        <v>4</v>
      </c>
      <c r="I147" s="129">
        <v>10.13915850747123</v>
      </c>
      <c r="J147" s="129" t="s">
        <v>4</v>
      </c>
      <c r="K147" s="129">
        <v>13.934815408727481</v>
      </c>
      <c r="L147" s="129" t="s">
        <v>4</v>
      </c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  <c r="BZ147" s="137"/>
      <c r="CA147" s="137"/>
      <c r="CB147" s="137"/>
      <c r="CC147" s="137"/>
      <c r="CD147" s="137"/>
      <c r="CE147" s="137"/>
      <c r="CF147" s="137"/>
      <c r="CG147" s="137"/>
      <c r="CH147" s="137"/>
      <c r="CI147" s="137"/>
      <c r="CJ147" s="137"/>
      <c r="CK147" s="137"/>
      <c r="CL147" s="137"/>
      <c r="CM147" s="137"/>
      <c r="CN147" s="137"/>
      <c r="CO147" s="137"/>
      <c r="CP147" s="137"/>
      <c r="CQ147" s="137"/>
      <c r="CR147" s="137"/>
      <c r="CS147" s="137"/>
      <c r="CT147" s="137"/>
      <c r="CU147" s="137"/>
      <c r="CV147" s="137"/>
      <c r="CW147" s="137"/>
      <c r="CX147" s="137"/>
      <c r="CY147" s="137"/>
      <c r="CZ147" s="137"/>
      <c r="DA147" s="137"/>
      <c r="DB147" s="137"/>
      <c r="DC147" s="137"/>
      <c r="DD147" s="137"/>
      <c r="DE147" s="137"/>
      <c r="DF147" s="137"/>
      <c r="DG147" s="137"/>
      <c r="DH147" s="137"/>
      <c r="DI147" s="137"/>
      <c r="DJ147" s="137"/>
      <c r="DK147" s="137"/>
      <c r="DL147" s="137"/>
      <c r="DM147" s="137"/>
      <c r="DN147" s="137"/>
      <c r="DO147" s="137"/>
      <c r="DP147" s="137"/>
      <c r="DQ147" s="137"/>
      <c r="DR147" s="137"/>
      <c r="DS147" s="137"/>
      <c r="DT147" s="137"/>
      <c r="DU147" s="137"/>
      <c r="DV147" s="137"/>
      <c r="DW147" s="137"/>
      <c r="DX147" s="137"/>
      <c r="DY147" s="137"/>
      <c r="DZ147" s="137"/>
      <c r="EA147" s="137"/>
      <c r="EB147" s="137"/>
      <c r="EC147" s="137"/>
      <c r="ED147" s="137"/>
      <c r="EE147" s="137"/>
      <c r="EF147" s="137"/>
      <c r="EG147" s="137"/>
      <c r="EH147" s="137"/>
      <c r="EI147" s="137"/>
      <c r="EJ147" s="137"/>
      <c r="EK147" s="137"/>
      <c r="EL147" s="137"/>
      <c r="EM147" s="137"/>
      <c r="EN147" s="137"/>
      <c r="EO147" s="137"/>
      <c r="EP147" s="137"/>
      <c r="EQ147" s="137"/>
      <c r="ER147" s="137"/>
      <c r="ES147" s="137"/>
      <c r="ET147" s="137"/>
      <c r="EU147" s="137"/>
      <c r="EV147" s="137"/>
      <c r="EW147" s="137"/>
      <c r="EX147" s="137"/>
      <c r="EY147" s="137"/>
      <c r="EZ147" s="137"/>
      <c r="FA147" s="137"/>
      <c r="FB147" s="137"/>
      <c r="FC147" s="137"/>
      <c r="FD147" s="137"/>
      <c r="FE147" s="137"/>
      <c r="FF147" s="137"/>
      <c r="FG147" s="137"/>
      <c r="FH147" s="137"/>
      <c r="FI147" s="137"/>
      <c r="FJ147" s="137"/>
      <c r="FK147" s="137"/>
      <c r="FL147" s="137"/>
      <c r="FM147" s="137"/>
      <c r="FN147" s="137"/>
      <c r="FO147" s="137"/>
      <c r="FP147" s="137"/>
      <c r="FQ147" s="137"/>
      <c r="FR147" s="137"/>
      <c r="FS147" s="137"/>
      <c r="FT147" s="137"/>
      <c r="FU147" s="137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14"/>
      <c r="GI147" s="10"/>
      <c r="GJ147" s="10"/>
      <c r="GK147" s="10"/>
      <c r="GL147" s="10"/>
      <c r="GM147" s="10"/>
      <c r="GN147" s="10"/>
      <c r="GO147" s="10"/>
      <c r="GP147" s="10"/>
    </row>
    <row r="148" spans="2:198">
      <c r="B148" s="127" t="s">
        <v>148</v>
      </c>
      <c r="C148" s="128">
        <v>6.0871153493241765</v>
      </c>
      <c r="D148" s="128" t="s">
        <v>4</v>
      </c>
      <c r="E148" s="128">
        <v>8.1491236653827972</v>
      </c>
      <c r="F148" s="128" t="s">
        <v>4</v>
      </c>
      <c r="G148" s="128">
        <v>6.8766368371714091</v>
      </c>
      <c r="H148" s="128" t="s">
        <v>4</v>
      </c>
      <c r="I148" s="128">
        <v>9.4080258268735317</v>
      </c>
      <c r="J148" s="128" t="s">
        <v>4</v>
      </c>
      <c r="K148" s="128">
        <v>13.377422792378381</v>
      </c>
      <c r="L148" s="128" t="s">
        <v>4</v>
      </c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37"/>
      <c r="CA148" s="137"/>
      <c r="CB148" s="137"/>
      <c r="CC148" s="137"/>
      <c r="CD148" s="137"/>
      <c r="CE148" s="137"/>
      <c r="CF148" s="137"/>
      <c r="CG148" s="137"/>
      <c r="CH148" s="137"/>
      <c r="CI148" s="137"/>
      <c r="CJ148" s="137"/>
      <c r="CK148" s="137"/>
      <c r="CL148" s="137"/>
      <c r="CM148" s="137"/>
      <c r="CN148" s="137"/>
      <c r="CO148" s="137"/>
      <c r="CP148" s="137"/>
      <c r="CQ148" s="137"/>
      <c r="CR148" s="137"/>
      <c r="CS148" s="137"/>
      <c r="CT148" s="137"/>
      <c r="CU148" s="137"/>
      <c r="CV148" s="137"/>
      <c r="CW148" s="137"/>
      <c r="CX148" s="137"/>
      <c r="CY148" s="137"/>
      <c r="CZ148" s="137"/>
      <c r="DA148" s="137"/>
      <c r="DB148" s="137"/>
      <c r="DC148" s="137"/>
      <c r="DD148" s="137"/>
      <c r="DE148" s="137"/>
      <c r="DF148" s="137"/>
      <c r="DG148" s="137"/>
      <c r="DH148" s="137"/>
      <c r="DI148" s="137"/>
      <c r="DJ148" s="137"/>
      <c r="DK148" s="137"/>
      <c r="DL148" s="137"/>
      <c r="DM148" s="137"/>
      <c r="DN148" s="137"/>
      <c r="DO148" s="137"/>
      <c r="DP148" s="137"/>
      <c r="DQ148" s="137"/>
      <c r="DR148" s="137"/>
      <c r="DS148" s="137"/>
      <c r="DT148" s="137"/>
      <c r="DU148" s="137"/>
      <c r="DV148" s="137"/>
      <c r="DW148" s="137"/>
      <c r="DX148" s="137"/>
      <c r="DY148" s="137"/>
      <c r="DZ148" s="137"/>
      <c r="EA148" s="137"/>
      <c r="EB148" s="137"/>
      <c r="EC148" s="137"/>
      <c r="ED148" s="137"/>
      <c r="EE148" s="137"/>
      <c r="EF148" s="137"/>
      <c r="EG148" s="137"/>
      <c r="EH148" s="137"/>
      <c r="EI148" s="137"/>
      <c r="EJ148" s="137"/>
      <c r="EK148" s="137"/>
      <c r="EL148" s="137"/>
      <c r="EM148" s="137"/>
      <c r="EN148" s="137"/>
      <c r="EO148" s="137"/>
      <c r="EP148" s="137"/>
      <c r="EQ148" s="137"/>
      <c r="ER148" s="137"/>
      <c r="ES148" s="137"/>
      <c r="ET148" s="137"/>
      <c r="EU148" s="137"/>
      <c r="EV148" s="137"/>
      <c r="EW148" s="137"/>
      <c r="EX148" s="137"/>
      <c r="EY148" s="137"/>
      <c r="EZ148" s="137"/>
      <c r="FA148" s="137"/>
      <c r="FB148" s="137"/>
      <c r="FC148" s="137"/>
      <c r="FD148" s="137"/>
      <c r="FE148" s="137"/>
      <c r="FF148" s="137"/>
      <c r="FG148" s="137"/>
      <c r="FH148" s="137"/>
      <c r="FI148" s="137"/>
      <c r="FJ148" s="137"/>
      <c r="FK148" s="137"/>
      <c r="FL148" s="137"/>
      <c r="FM148" s="137"/>
      <c r="FN148" s="137"/>
      <c r="FO148" s="137"/>
      <c r="FP148" s="137"/>
      <c r="FQ148" s="137"/>
      <c r="FR148" s="137"/>
      <c r="FS148" s="137"/>
      <c r="FT148" s="137"/>
      <c r="FU148" s="137"/>
      <c r="FV148" s="1"/>
      <c r="FW148" s="1"/>
      <c r="FX148" s="1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1"/>
      <c r="GJ148" s="1"/>
      <c r="GK148" s="1"/>
      <c r="GL148" s="1"/>
      <c r="GM148" s="1"/>
      <c r="GN148" s="1"/>
      <c r="GO148" s="1"/>
      <c r="GP148" s="1"/>
    </row>
    <row r="149" spans="2:198" ht="45.75">
      <c r="B149" s="126" t="s">
        <v>149</v>
      </c>
      <c r="C149" s="129">
        <v>0.11687261470702419</v>
      </c>
      <c r="D149" s="129" t="s">
        <v>193</v>
      </c>
      <c r="E149" s="129">
        <v>0.15483334964227316</v>
      </c>
      <c r="F149" s="129" t="s">
        <v>193</v>
      </c>
      <c r="G149" s="129">
        <v>0.13203142727369105</v>
      </c>
      <c r="H149" s="129" t="s">
        <v>193</v>
      </c>
      <c r="I149" s="129">
        <v>1.1631157010413467</v>
      </c>
      <c r="J149" s="129" t="s">
        <v>193</v>
      </c>
      <c r="K149" s="129">
        <v>0.25149554849671357</v>
      </c>
      <c r="L149" s="129" t="s">
        <v>193</v>
      </c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  <c r="BV149" s="137"/>
      <c r="BW149" s="137"/>
      <c r="BX149" s="137"/>
      <c r="BY149" s="137"/>
      <c r="BZ149" s="137"/>
      <c r="CA149" s="137"/>
      <c r="CB149" s="137"/>
      <c r="CC149" s="137"/>
      <c r="CD149" s="137"/>
      <c r="CE149" s="137"/>
      <c r="CF149" s="137"/>
      <c r="CG149" s="137"/>
      <c r="CH149" s="137"/>
      <c r="CI149" s="137"/>
      <c r="CJ149" s="137"/>
      <c r="CK149" s="137"/>
      <c r="CL149" s="137"/>
      <c r="CM149" s="137"/>
      <c r="CN149" s="137"/>
      <c r="CO149" s="137"/>
      <c r="CP149" s="137"/>
      <c r="CQ149" s="137"/>
      <c r="CR149" s="137"/>
      <c r="CS149" s="137"/>
      <c r="CT149" s="137"/>
      <c r="CU149" s="137"/>
      <c r="CV149" s="137"/>
      <c r="CW149" s="137"/>
      <c r="CX149" s="137"/>
      <c r="CY149" s="137"/>
      <c r="CZ149" s="137"/>
      <c r="DA149" s="137"/>
      <c r="DB149" s="137"/>
      <c r="DC149" s="137"/>
      <c r="DD149" s="137"/>
      <c r="DE149" s="137"/>
      <c r="DF149" s="137"/>
      <c r="DG149" s="137"/>
      <c r="DH149" s="137"/>
      <c r="DI149" s="137"/>
      <c r="DJ149" s="137"/>
      <c r="DK149" s="137"/>
      <c r="DL149" s="137"/>
      <c r="DM149" s="137"/>
      <c r="DN149" s="137"/>
      <c r="DO149" s="137"/>
      <c r="DP149" s="137"/>
      <c r="DQ149" s="137"/>
      <c r="DR149" s="137"/>
      <c r="DS149" s="137"/>
      <c r="DT149" s="137"/>
      <c r="DU149" s="137"/>
      <c r="DV149" s="137"/>
      <c r="DW149" s="137"/>
      <c r="DX149" s="137"/>
      <c r="DY149" s="137"/>
      <c r="DZ149" s="137"/>
      <c r="EA149" s="137"/>
      <c r="EB149" s="137"/>
      <c r="EC149" s="137"/>
      <c r="ED149" s="137"/>
      <c r="EE149" s="137"/>
      <c r="EF149" s="137"/>
      <c r="EG149" s="137"/>
      <c r="EH149" s="137"/>
      <c r="EI149" s="137"/>
      <c r="EJ149" s="137"/>
      <c r="EK149" s="137"/>
      <c r="EL149" s="137"/>
      <c r="EM149" s="137"/>
      <c r="EN149" s="137"/>
      <c r="EO149" s="137"/>
      <c r="EP149" s="137"/>
      <c r="EQ149" s="137"/>
      <c r="ER149" s="137"/>
      <c r="ES149" s="137"/>
      <c r="ET149" s="137"/>
      <c r="EU149" s="137"/>
      <c r="EV149" s="137"/>
      <c r="EW149" s="137"/>
      <c r="EX149" s="137"/>
      <c r="EY149" s="137"/>
      <c r="EZ149" s="137"/>
      <c r="FA149" s="137"/>
      <c r="FB149" s="137"/>
      <c r="FC149" s="137"/>
      <c r="FD149" s="137"/>
      <c r="FE149" s="137"/>
      <c r="FF149" s="137"/>
      <c r="FG149" s="137"/>
      <c r="FH149" s="137"/>
      <c r="FI149" s="137"/>
      <c r="FJ149" s="137"/>
      <c r="FK149" s="137"/>
      <c r="FL149" s="137"/>
      <c r="FM149" s="137"/>
      <c r="FN149" s="137"/>
      <c r="FO149" s="137"/>
      <c r="FP149" s="137"/>
      <c r="FQ149" s="137"/>
      <c r="FR149" s="137"/>
      <c r="FS149" s="137"/>
      <c r="FT149" s="137"/>
      <c r="FU149" s="137"/>
      <c r="FV149" s="1"/>
      <c r="FW149" s="1"/>
      <c r="FX149" s="1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1"/>
      <c r="GJ149" s="1"/>
      <c r="GK149" s="1"/>
      <c r="GL149" s="1"/>
      <c r="GM149" s="1"/>
      <c r="GN149" s="1"/>
      <c r="GO149" s="1"/>
      <c r="GP149" s="1"/>
    </row>
    <row r="150" spans="2:198">
      <c r="B150" s="127" t="s">
        <v>150</v>
      </c>
      <c r="C150" s="128">
        <v>5.3761402765231132</v>
      </c>
      <c r="D150" s="128" t="s">
        <v>4</v>
      </c>
      <c r="E150" s="128">
        <v>7.2771674331868379</v>
      </c>
      <c r="F150" s="128" t="s">
        <v>4</v>
      </c>
      <c r="G150" s="128">
        <v>6.0074299409529432</v>
      </c>
      <c r="H150" s="128" t="s">
        <v>4</v>
      </c>
      <c r="I150" s="128">
        <v>8.5033222479019397</v>
      </c>
      <c r="J150" s="128" t="s">
        <v>4</v>
      </c>
      <c r="K150" s="128">
        <v>11.946038553593894</v>
      </c>
      <c r="L150" s="128" t="s">
        <v>4</v>
      </c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37"/>
      <c r="CA150" s="137"/>
      <c r="CB150" s="137"/>
      <c r="CC150" s="137"/>
      <c r="CD150" s="137"/>
      <c r="CE150" s="137"/>
      <c r="CF150" s="137"/>
      <c r="CG150" s="137"/>
      <c r="CH150" s="137"/>
      <c r="CI150" s="137"/>
      <c r="CJ150" s="137"/>
      <c r="CK150" s="137"/>
      <c r="CL150" s="137"/>
      <c r="CM150" s="137"/>
      <c r="CN150" s="137"/>
      <c r="CO150" s="137"/>
      <c r="CP150" s="137"/>
      <c r="CQ150" s="137"/>
      <c r="CR150" s="137"/>
      <c r="CS150" s="137"/>
      <c r="CT150" s="137"/>
      <c r="CU150" s="137"/>
      <c r="CV150" s="137"/>
      <c r="CW150" s="137"/>
      <c r="CX150" s="137"/>
      <c r="CY150" s="137"/>
      <c r="CZ150" s="137"/>
      <c r="DA150" s="137"/>
      <c r="DB150" s="137"/>
      <c r="DC150" s="137"/>
      <c r="DD150" s="137"/>
      <c r="DE150" s="137"/>
      <c r="DF150" s="137"/>
      <c r="DG150" s="137"/>
      <c r="DH150" s="137"/>
      <c r="DI150" s="137"/>
      <c r="DJ150" s="137"/>
      <c r="DK150" s="137"/>
      <c r="DL150" s="137"/>
      <c r="DM150" s="137"/>
      <c r="DN150" s="137"/>
      <c r="DO150" s="137"/>
      <c r="DP150" s="137"/>
      <c r="DQ150" s="137"/>
      <c r="DR150" s="137"/>
      <c r="DS150" s="137"/>
      <c r="DT150" s="137"/>
      <c r="DU150" s="137"/>
      <c r="DV150" s="137"/>
      <c r="DW150" s="137"/>
      <c r="DX150" s="137"/>
      <c r="DY150" s="137"/>
      <c r="DZ150" s="137"/>
      <c r="EA150" s="137"/>
      <c r="EB150" s="137"/>
      <c r="EC150" s="137"/>
      <c r="ED150" s="137"/>
      <c r="EE150" s="137"/>
      <c r="EF150" s="137"/>
      <c r="EG150" s="137"/>
      <c r="EH150" s="137"/>
      <c r="EI150" s="137"/>
      <c r="EJ150" s="137"/>
      <c r="EK150" s="137"/>
      <c r="EL150" s="137"/>
      <c r="EM150" s="137"/>
      <c r="EN150" s="137"/>
      <c r="EO150" s="137"/>
      <c r="EP150" s="137"/>
      <c r="EQ150" s="137"/>
      <c r="ER150" s="137"/>
      <c r="ES150" s="137"/>
      <c r="ET150" s="137"/>
      <c r="EU150" s="137"/>
      <c r="EV150" s="137"/>
      <c r="EW150" s="137"/>
      <c r="EX150" s="137"/>
      <c r="EY150" s="137"/>
      <c r="EZ150" s="137"/>
      <c r="FA150" s="137"/>
      <c r="FB150" s="137"/>
      <c r="FC150" s="137"/>
      <c r="FD150" s="137"/>
      <c r="FE150" s="137"/>
      <c r="FF150" s="137"/>
      <c r="FG150" s="137"/>
      <c r="FH150" s="137"/>
      <c r="FI150" s="137"/>
      <c r="FJ150" s="137"/>
      <c r="FK150" s="137"/>
      <c r="FL150" s="137"/>
      <c r="FM150" s="137"/>
      <c r="FN150" s="137"/>
      <c r="FO150" s="137"/>
      <c r="FP150" s="137"/>
      <c r="FQ150" s="137"/>
      <c r="FR150" s="137"/>
      <c r="FS150" s="137"/>
      <c r="FT150" s="137"/>
      <c r="FU150" s="137"/>
      <c r="FV150" s="1"/>
      <c r="FW150" s="1"/>
      <c r="FX150" s="1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1"/>
      <c r="GJ150" s="1"/>
      <c r="GK150" s="1"/>
      <c r="GL150" s="1"/>
      <c r="GM150" s="1"/>
      <c r="GN150" s="1"/>
      <c r="GO150" s="1"/>
      <c r="GP150" s="1"/>
    </row>
    <row r="151" spans="2:198" ht="23.25">
      <c r="B151" s="126" t="s">
        <v>151</v>
      </c>
      <c r="C151" s="129">
        <v>0.10107143719863453</v>
      </c>
      <c r="D151" s="129" t="s">
        <v>193</v>
      </c>
      <c r="E151" s="129">
        <v>0.13826618123054993</v>
      </c>
      <c r="F151" s="129" t="s">
        <v>193</v>
      </c>
      <c r="G151" s="129">
        <v>0.11654414085448708</v>
      </c>
      <c r="H151" s="129" t="s">
        <v>193</v>
      </c>
      <c r="I151" s="129">
        <v>1.135059800462235</v>
      </c>
      <c r="J151" s="129" t="s">
        <v>193</v>
      </c>
      <c r="K151" s="129">
        <v>0.21741790167540884</v>
      </c>
      <c r="L151" s="129" t="s">
        <v>193</v>
      </c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37"/>
      <c r="CA151" s="137"/>
      <c r="CB151" s="137"/>
      <c r="CC151" s="137"/>
      <c r="CD151" s="137"/>
      <c r="CE151" s="137"/>
      <c r="CF151" s="137"/>
      <c r="CG151" s="137"/>
      <c r="CH151" s="137"/>
      <c r="CI151" s="137"/>
      <c r="CJ151" s="137"/>
      <c r="CK151" s="137"/>
      <c r="CL151" s="137"/>
      <c r="CM151" s="137"/>
      <c r="CN151" s="137"/>
      <c r="CO151" s="137"/>
      <c r="CP151" s="137"/>
      <c r="CQ151" s="137"/>
      <c r="CR151" s="137"/>
      <c r="CS151" s="137"/>
      <c r="CT151" s="137"/>
      <c r="CU151" s="137"/>
      <c r="CV151" s="137"/>
      <c r="CW151" s="137"/>
      <c r="CX151" s="137"/>
      <c r="CY151" s="137"/>
      <c r="CZ151" s="137"/>
      <c r="DA151" s="137"/>
      <c r="DB151" s="137"/>
      <c r="DC151" s="137"/>
      <c r="DD151" s="137"/>
      <c r="DE151" s="137"/>
      <c r="DF151" s="137"/>
      <c r="DG151" s="137"/>
      <c r="DH151" s="137"/>
      <c r="DI151" s="137"/>
      <c r="DJ151" s="137"/>
      <c r="DK151" s="137"/>
      <c r="DL151" s="137"/>
      <c r="DM151" s="137"/>
      <c r="DN151" s="137"/>
      <c r="DO151" s="137"/>
      <c r="DP151" s="137"/>
      <c r="DQ151" s="137"/>
      <c r="DR151" s="137"/>
      <c r="DS151" s="137"/>
      <c r="DT151" s="137"/>
      <c r="DU151" s="137"/>
      <c r="DV151" s="137"/>
      <c r="DW151" s="137"/>
      <c r="DX151" s="137"/>
      <c r="DY151" s="137"/>
      <c r="DZ151" s="137"/>
      <c r="EA151" s="137"/>
      <c r="EB151" s="137"/>
      <c r="EC151" s="137"/>
      <c r="ED151" s="137"/>
      <c r="EE151" s="137"/>
      <c r="EF151" s="137"/>
      <c r="EG151" s="137"/>
      <c r="EH151" s="137"/>
      <c r="EI151" s="137"/>
      <c r="EJ151" s="137"/>
      <c r="EK151" s="137"/>
      <c r="EL151" s="137"/>
      <c r="EM151" s="137"/>
      <c r="EN151" s="137"/>
      <c r="EO151" s="137"/>
      <c r="EP151" s="137"/>
      <c r="EQ151" s="137"/>
      <c r="ER151" s="137"/>
      <c r="ES151" s="137"/>
      <c r="ET151" s="137"/>
      <c r="EU151" s="137"/>
      <c r="EV151" s="137"/>
      <c r="EW151" s="137"/>
      <c r="EX151" s="137"/>
      <c r="EY151" s="137"/>
      <c r="EZ151" s="137"/>
      <c r="FA151" s="137"/>
      <c r="FB151" s="137"/>
      <c r="FC151" s="137"/>
      <c r="FD151" s="137"/>
      <c r="FE151" s="137"/>
      <c r="FF151" s="137"/>
      <c r="FG151" s="137"/>
      <c r="FH151" s="137"/>
      <c r="FI151" s="137"/>
      <c r="FJ151" s="137"/>
      <c r="FK151" s="137"/>
      <c r="FL151" s="137"/>
      <c r="FM151" s="137"/>
      <c r="FN151" s="137"/>
      <c r="FO151" s="137"/>
      <c r="FP151" s="137"/>
      <c r="FQ151" s="137"/>
      <c r="FR151" s="137"/>
      <c r="FS151" s="137"/>
      <c r="FT151" s="137"/>
      <c r="FU151" s="137"/>
      <c r="FV151" s="1"/>
      <c r="FW151" s="1"/>
      <c r="FX151" s="1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1"/>
      <c r="GJ151" s="1"/>
      <c r="GK151" s="1"/>
      <c r="GL151" s="1"/>
      <c r="GM151" s="1"/>
      <c r="GN151" s="1"/>
      <c r="GO151" s="1"/>
      <c r="GP151" s="1"/>
    </row>
    <row r="152" spans="2:198" ht="23.25">
      <c r="B152" s="127" t="s">
        <v>152</v>
      </c>
      <c r="C152" s="128">
        <v>9.5007150966716469E-2</v>
      </c>
      <c r="D152" s="128" t="s">
        <v>193</v>
      </c>
      <c r="E152" s="128">
        <v>0.1341181957936334</v>
      </c>
      <c r="F152" s="128" t="s">
        <v>193</v>
      </c>
      <c r="G152" s="128">
        <v>0.11071693381176274</v>
      </c>
      <c r="H152" s="128" t="s">
        <v>193</v>
      </c>
      <c r="I152" s="128">
        <v>1.1310080064483679</v>
      </c>
      <c r="J152" s="128" t="s">
        <v>193</v>
      </c>
      <c r="K152" s="128">
        <v>0.21089536462514658</v>
      </c>
      <c r="L152" s="128" t="s">
        <v>193</v>
      </c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  <c r="BV152" s="137"/>
      <c r="BW152" s="137"/>
      <c r="BX152" s="137"/>
      <c r="BY152" s="137"/>
      <c r="BZ152" s="137"/>
      <c r="CA152" s="137"/>
      <c r="CB152" s="137"/>
      <c r="CC152" s="137"/>
      <c r="CD152" s="137"/>
      <c r="CE152" s="137"/>
      <c r="CF152" s="137"/>
      <c r="CG152" s="137"/>
      <c r="CH152" s="137"/>
      <c r="CI152" s="137"/>
      <c r="CJ152" s="137"/>
      <c r="CK152" s="137"/>
      <c r="CL152" s="137"/>
      <c r="CM152" s="137"/>
      <c r="CN152" s="137"/>
      <c r="CO152" s="137"/>
      <c r="CP152" s="137"/>
      <c r="CQ152" s="137"/>
      <c r="CR152" s="137"/>
      <c r="CS152" s="137"/>
      <c r="CT152" s="137"/>
      <c r="CU152" s="137"/>
      <c r="CV152" s="137"/>
      <c r="CW152" s="137"/>
      <c r="CX152" s="137"/>
      <c r="CY152" s="137"/>
      <c r="CZ152" s="137"/>
      <c r="DA152" s="137"/>
      <c r="DB152" s="137"/>
      <c r="DC152" s="137"/>
      <c r="DD152" s="137"/>
      <c r="DE152" s="137"/>
      <c r="DF152" s="137"/>
      <c r="DG152" s="137"/>
      <c r="DH152" s="137"/>
      <c r="DI152" s="137"/>
      <c r="DJ152" s="137"/>
      <c r="DK152" s="137"/>
      <c r="DL152" s="137"/>
      <c r="DM152" s="137"/>
      <c r="DN152" s="137"/>
      <c r="DO152" s="137"/>
      <c r="DP152" s="137"/>
      <c r="DQ152" s="137"/>
      <c r="DR152" s="137"/>
      <c r="DS152" s="137"/>
      <c r="DT152" s="137"/>
      <c r="DU152" s="137"/>
      <c r="DV152" s="137"/>
      <c r="DW152" s="137"/>
      <c r="DX152" s="137"/>
      <c r="DY152" s="137"/>
      <c r="DZ152" s="137"/>
      <c r="EA152" s="137"/>
      <c r="EB152" s="137"/>
      <c r="EC152" s="137"/>
      <c r="ED152" s="137"/>
      <c r="EE152" s="137"/>
      <c r="EF152" s="137"/>
      <c r="EG152" s="137"/>
      <c r="EH152" s="137"/>
      <c r="EI152" s="137"/>
      <c r="EJ152" s="137"/>
      <c r="EK152" s="137"/>
      <c r="EL152" s="137"/>
      <c r="EM152" s="137"/>
      <c r="EN152" s="137"/>
      <c r="EO152" s="137"/>
      <c r="EP152" s="137"/>
      <c r="EQ152" s="137"/>
      <c r="ER152" s="137"/>
      <c r="ES152" s="137"/>
      <c r="ET152" s="137"/>
      <c r="EU152" s="137"/>
      <c r="EV152" s="137"/>
      <c r="EW152" s="137"/>
      <c r="EX152" s="137"/>
      <c r="EY152" s="137"/>
      <c r="EZ152" s="137"/>
      <c r="FA152" s="137"/>
      <c r="FB152" s="137"/>
      <c r="FC152" s="137"/>
      <c r="FD152" s="137"/>
      <c r="FE152" s="137"/>
      <c r="FF152" s="137"/>
      <c r="FG152" s="137"/>
      <c r="FH152" s="137"/>
      <c r="FI152" s="137"/>
      <c r="FJ152" s="137"/>
      <c r="FK152" s="137"/>
      <c r="FL152" s="137"/>
      <c r="FM152" s="137"/>
      <c r="FN152" s="137"/>
      <c r="FO152" s="137"/>
      <c r="FP152" s="137"/>
      <c r="FQ152" s="137"/>
      <c r="FR152" s="137"/>
      <c r="FS152" s="137"/>
      <c r="FT152" s="137"/>
      <c r="FU152" s="137"/>
      <c r="FV152" s="1"/>
      <c r="FW152" s="1"/>
      <c r="FX152" s="1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1"/>
      <c r="GJ152" s="1"/>
      <c r="GK152" s="1"/>
      <c r="GL152" s="1"/>
      <c r="GM152" s="1"/>
      <c r="GN152" s="1"/>
      <c r="GO152" s="1"/>
      <c r="GP152" s="1"/>
    </row>
    <row r="153" spans="2:198" ht="23.25">
      <c r="B153" s="126" t="s">
        <v>153</v>
      </c>
      <c r="C153" s="129">
        <v>8.9306721908713471E-2</v>
      </c>
      <c r="D153" s="129" t="s">
        <v>193</v>
      </c>
      <c r="E153" s="129">
        <v>0.12472992208807908</v>
      </c>
      <c r="F153" s="129" t="s">
        <v>193</v>
      </c>
      <c r="G153" s="129">
        <v>0.1051810871211746</v>
      </c>
      <c r="H153" s="129" t="s">
        <v>193</v>
      </c>
      <c r="I153" s="129">
        <v>1.1218374459969822</v>
      </c>
      <c r="J153" s="129" t="s">
        <v>193</v>
      </c>
      <c r="K153" s="129">
        <v>0.19402373545513485</v>
      </c>
      <c r="L153" s="129" t="s">
        <v>193</v>
      </c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  <c r="BO153" s="137"/>
      <c r="BP153" s="137"/>
      <c r="BQ153" s="137"/>
      <c r="BR153" s="137"/>
      <c r="BS153" s="137"/>
      <c r="BT153" s="137"/>
      <c r="BU153" s="137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7"/>
      <c r="DB153" s="137"/>
      <c r="DC153" s="137"/>
      <c r="DD153" s="137"/>
      <c r="DE153" s="137"/>
      <c r="DF153" s="137"/>
      <c r="DG153" s="137"/>
      <c r="DH153" s="137"/>
      <c r="DI153" s="137"/>
      <c r="DJ153" s="137"/>
      <c r="DK153" s="137"/>
      <c r="DL153" s="137"/>
      <c r="DM153" s="137"/>
      <c r="DN153" s="137"/>
      <c r="DO153" s="137"/>
      <c r="DP153" s="137"/>
      <c r="DQ153" s="137"/>
      <c r="DR153" s="137"/>
      <c r="DS153" s="137"/>
      <c r="DT153" s="137"/>
      <c r="DU153" s="137"/>
      <c r="DV153" s="137"/>
      <c r="DW153" s="137"/>
      <c r="DX153" s="137"/>
      <c r="DY153" s="137"/>
      <c r="DZ153" s="137"/>
      <c r="EA153" s="137"/>
      <c r="EB153" s="137"/>
      <c r="EC153" s="137"/>
      <c r="ED153" s="137"/>
      <c r="EE153" s="137"/>
      <c r="EF153" s="137"/>
      <c r="EG153" s="137"/>
      <c r="EH153" s="137"/>
      <c r="EI153" s="137"/>
      <c r="EJ153" s="137"/>
      <c r="EK153" s="137"/>
      <c r="EL153" s="137"/>
      <c r="EM153" s="137"/>
      <c r="EN153" s="137"/>
      <c r="EO153" s="137"/>
      <c r="EP153" s="137"/>
      <c r="EQ153" s="137"/>
      <c r="ER153" s="137"/>
      <c r="ES153" s="137"/>
      <c r="ET153" s="137"/>
      <c r="EU153" s="137"/>
      <c r="EV153" s="137"/>
      <c r="EW153" s="137"/>
      <c r="EX153" s="137"/>
      <c r="EY153" s="137"/>
      <c r="EZ153" s="137"/>
      <c r="FA153" s="137"/>
      <c r="FB153" s="137"/>
      <c r="FC153" s="137"/>
      <c r="FD153" s="137"/>
      <c r="FE153" s="137"/>
      <c r="FF153" s="137"/>
      <c r="FG153" s="137"/>
      <c r="FH153" s="137"/>
      <c r="FI153" s="137"/>
      <c r="FJ153" s="137"/>
      <c r="FK153" s="137"/>
      <c r="FL153" s="137"/>
      <c r="FM153" s="137"/>
      <c r="FN153" s="137"/>
      <c r="FO153" s="137"/>
      <c r="FP153" s="137"/>
      <c r="FQ153" s="137"/>
      <c r="FR153" s="137"/>
      <c r="FS153" s="137"/>
      <c r="FT153" s="137"/>
      <c r="FU153" s="137"/>
      <c r="FV153" s="1"/>
      <c r="FW153" s="1"/>
      <c r="FX153" s="1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1"/>
      <c r="GJ153" s="1"/>
      <c r="GK153" s="1"/>
      <c r="GL153" s="1"/>
      <c r="GM153" s="1"/>
      <c r="GN153" s="1"/>
      <c r="GO153" s="1"/>
      <c r="GP153" s="1"/>
    </row>
    <row r="154" spans="2:198" ht="23.25">
      <c r="B154" s="127" t="s">
        <v>154</v>
      </c>
      <c r="C154" s="128">
        <v>8.3948318594190663E-2</v>
      </c>
      <c r="D154" s="128" t="s">
        <v>193</v>
      </c>
      <c r="E154" s="128">
        <v>0.11974072520455591</v>
      </c>
      <c r="F154" s="128" t="s">
        <v>193</v>
      </c>
      <c r="G154" s="128">
        <v>9.8870221893904126E-2</v>
      </c>
      <c r="H154" s="128" t="s">
        <v>193</v>
      </c>
      <c r="I154" s="128">
        <v>1.1096537013972838</v>
      </c>
      <c r="J154" s="128" t="s">
        <v>193</v>
      </c>
      <c r="K154" s="128">
        <v>0.17462136190962135</v>
      </c>
      <c r="L154" s="128" t="s">
        <v>193</v>
      </c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  <c r="BO154" s="137"/>
      <c r="BP154" s="137"/>
      <c r="BQ154" s="137"/>
      <c r="BR154" s="137"/>
      <c r="BS154" s="137"/>
      <c r="BT154" s="137"/>
      <c r="BU154" s="137"/>
      <c r="BV154" s="137"/>
      <c r="BW154" s="137"/>
      <c r="BX154" s="137"/>
      <c r="BY154" s="137"/>
      <c r="BZ154" s="137"/>
      <c r="CA154" s="137"/>
      <c r="CB154" s="137"/>
      <c r="CC154" s="137"/>
      <c r="CD154" s="137"/>
      <c r="CE154" s="137"/>
      <c r="CF154" s="137"/>
      <c r="CG154" s="137"/>
      <c r="CH154" s="137"/>
      <c r="CI154" s="137"/>
      <c r="CJ154" s="137"/>
      <c r="CK154" s="137"/>
      <c r="CL154" s="137"/>
      <c r="CM154" s="137"/>
      <c r="CN154" s="137"/>
      <c r="CO154" s="137"/>
      <c r="CP154" s="137"/>
      <c r="CQ154" s="137"/>
      <c r="CR154" s="137"/>
      <c r="CS154" s="137"/>
      <c r="CT154" s="137"/>
      <c r="CU154" s="137"/>
      <c r="CV154" s="137"/>
      <c r="CW154" s="137"/>
      <c r="CX154" s="137"/>
      <c r="CY154" s="137"/>
      <c r="CZ154" s="137"/>
      <c r="DA154" s="137"/>
      <c r="DB154" s="137"/>
      <c r="DC154" s="137"/>
      <c r="DD154" s="137"/>
      <c r="DE154" s="137"/>
      <c r="DF154" s="137"/>
      <c r="DG154" s="137"/>
      <c r="DH154" s="137"/>
      <c r="DI154" s="137"/>
      <c r="DJ154" s="137"/>
      <c r="DK154" s="137"/>
      <c r="DL154" s="137"/>
      <c r="DM154" s="137"/>
      <c r="DN154" s="137"/>
      <c r="DO154" s="137"/>
      <c r="DP154" s="137"/>
      <c r="DQ154" s="137"/>
      <c r="DR154" s="137"/>
      <c r="DS154" s="137"/>
      <c r="DT154" s="137"/>
      <c r="DU154" s="137"/>
      <c r="DV154" s="137"/>
      <c r="DW154" s="137"/>
      <c r="DX154" s="137"/>
      <c r="DY154" s="137"/>
      <c r="DZ154" s="137"/>
      <c r="EA154" s="137"/>
      <c r="EB154" s="137"/>
      <c r="EC154" s="137"/>
      <c r="ED154" s="137"/>
      <c r="EE154" s="137"/>
      <c r="EF154" s="137"/>
      <c r="EG154" s="137"/>
      <c r="EH154" s="137"/>
      <c r="EI154" s="137"/>
      <c r="EJ154" s="137"/>
      <c r="EK154" s="137"/>
      <c r="EL154" s="137"/>
      <c r="EM154" s="137"/>
      <c r="EN154" s="137"/>
      <c r="EO154" s="137"/>
      <c r="EP154" s="137"/>
      <c r="EQ154" s="137"/>
      <c r="ER154" s="137"/>
      <c r="ES154" s="137"/>
      <c r="ET154" s="137"/>
      <c r="EU154" s="137"/>
      <c r="EV154" s="137"/>
      <c r="EW154" s="137"/>
      <c r="EX154" s="137"/>
      <c r="EY154" s="137"/>
      <c r="EZ154" s="137"/>
      <c r="FA154" s="137"/>
      <c r="FB154" s="137"/>
      <c r="FC154" s="137"/>
      <c r="FD154" s="137"/>
      <c r="FE154" s="137"/>
      <c r="FF154" s="137"/>
      <c r="FG154" s="137"/>
      <c r="FH154" s="137"/>
      <c r="FI154" s="137"/>
      <c r="FJ154" s="137"/>
      <c r="FK154" s="137"/>
      <c r="FL154" s="137"/>
      <c r="FM154" s="137"/>
      <c r="FN154" s="137"/>
      <c r="FO154" s="137"/>
      <c r="FP154" s="137"/>
      <c r="FQ154" s="137"/>
      <c r="FR154" s="137"/>
      <c r="FS154" s="137"/>
      <c r="FT154" s="137"/>
      <c r="FU154" s="137"/>
      <c r="FV154" s="1"/>
      <c r="FW154" s="1"/>
      <c r="FX154" s="1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1"/>
      <c r="GJ154" s="1"/>
      <c r="GK154" s="1"/>
      <c r="GL154" s="1"/>
      <c r="GM154" s="1"/>
      <c r="GN154" s="1"/>
      <c r="GO154" s="1"/>
      <c r="GP154" s="1"/>
    </row>
    <row r="155" spans="2:198">
      <c r="B155" s="126" t="s">
        <v>155</v>
      </c>
      <c r="C155" s="129">
        <v>3.7776743367385794</v>
      </c>
      <c r="D155" s="129" t="s">
        <v>4</v>
      </c>
      <c r="E155" s="129">
        <v>5.5679437220118499</v>
      </c>
      <c r="F155" s="129" t="s">
        <v>4</v>
      </c>
      <c r="G155" s="129">
        <v>4.7457706509073976</v>
      </c>
      <c r="H155" s="129" t="s">
        <v>4</v>
      </c>
      <c r="I155" s="129">
        <v>6.0988971149737017</v>
      </c>
      <c r="J155" s="129" t="s">
        <v>4</v>
      </c>
      <c r="K155" s="129">
        <v>7.8579612859329613</v>
      </c>
      <c r="L155" s="129" t="s">
        <v>4</v>
      </c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  <c r="BO155" s="137"/>
      <c r="BP155" s="137"/>
      <c r="BQ155" s="137"/>
      <c r="BR155" s="137"/>
      <c r="BS155" s="137"/>
      <c r="BT155" s="137"/>
      <c r="BU155" s="137"/>
      <c r="BV155" s="137"/>
      <c r="BW155" s="137"/>
      <c r="BX155" s="137"/>
      <c r="BY155" s="137"/>
      <c r="BZ155" s="137"/>
      <c r="CA155" s="137"/>
      <c r="CB155" s="137"/>
      <c r="CC155" s="137"/>
      <c r="CD155" s="137"/>
      <c r="CE155" s="137"/>
      <c r="CF155" s="137"/>
      <c r="CG155" s="137"/>
      <c r="CH155" s="137"/>
      <c r="CI155" s="137"/>
      <c r="CJ155" s="137"/>
      <c r="CK155" s="137"/>
      <c r="CL155" s="137"/>
      <c r="CM155" s="137"/>
      <c r="CN155" s="137"/>
      <c r="CO155" s="137"/>
      <c r="CP155" s="137"/>
      <c r="CQ155" s="137"/>
      <c r="CR155" s="137"/>
      <c r="CS155" s="137"/>
      <c r="CT155" s="137"/>
      <c r="CU155" s="137"/>
      <c r="CV155" s="137"/>
      <c r="CW155" s="137"/>
      <c r="CX155" s="137"/>
      <c r="CY155" s="137"/>
      <c r="CZ155" s="137"/>
      <c r="DA155" s="137"/>
      <c r="DB155" s="137"/>
      <c r="DC155" s="137"/>
      <c r="DD155" s="137"/>
      <c r="DE155" s="137"/>
      <c r="DF155" s="137"/>
      <c r="DG155" s="137"/>
      <c r="DH155" s="137"/>
      <c r="DI155" s="137"/>
      <c r="DJ155" s="137"/>
      <c r="DK155" s="137"/>
      <c r="DL155" s="137"/>
      <c r="DM155" s="137"/>
      <c r="DN155" s="137"/>
      <c r="DO155" s="137"/>
      <c r="DP155" s="137"/>
      <c r="DQ155" s="137"/>
      <c r="DR155" s="137"/>
      <c r="DS155" s="137"/>
      <c r="DT155" s="137"/>
      <c r="DU155" s="137"/>
      <c r="DV155" s="137"/>
      <c r="DW155" s="137"/>
      <c r="DX155" s="137"/>
      <c r="DY155" s="137"/>
      <c r="DZ155" s="137"/>
      <c r="EA155" s="137"/>
      <c r="EB155" s="137"/>
      <c r="EC155" s="137"/>
      <c r="ED155" s="137"/>
      <c r="EE155" s="137"/>
      <c r="EF155" s="137"/>
      <c r="EG155" s="137"/>
      <c r="EH155" s="137"/>
      <c r="EI155" s="137"/>
      <c r="EJ155" s="137"/>
      <c r="EK155" s="137"/>
      <c r="EL155" s="137"/>
      <c r="EM155" s="137"/>
      <c r="EN155" s="137"/>
      <c r="EO155" s="137"/>
      <c r="EP155" s="137"/>
      <c r="EQ155" s="137"/>
      <c r="ER155" s="137"/>
      <c r="ES155" s="137"/>
      <c r="ET155" s="137"/>
      <c r="EU155" s="137"/>
      <c r="EV155" s="137"/>
      <c r="EW155" s="137"/>
      <c r="EX155" s="137"/>
      <c r="EY155" s="137"/>
      <c r="EZ155" s="137"/>
      <c r="FA155" s="137"/>
      <c r="FB155" s="137"/>
      <c r="FC155" s="137"/>
      <c r="FD155" s="137"/>
      <c r="FE155" s="137"/>
      <c r="FF155" s="137"/>
      <c r="FG155" s="137"/>
      <c r="FH155" s="137"/>
      <c r="FI155" s="137"/>
      <c r="FJ155" s="137"/>
      <c r="FK155" s="137"/>
      <c r="FL155" s="137"/>
      <c r="FM155" s="137"/>
      <c r="FN155" s="137"/>
      <c r="FO155" s="137"/>
      <c r="FP155" s="137"/>
      <c r="FQ155" s="137"/>
      <c r="FR155" s="137"/>
      <c r="FS155" s="137"/>
      <c r="FT155" s="137"/>
      <c r="FU155" s="137"/>
      <c r="FV155" s="1"/>
      <c r="FW155" s="1"/>
      <c r="FX155" s="1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1"/>
      <c r="GJ155" s="1"/>
      <c r="GK155" s="1"/>
      <c r="GL155" s="1"/>
      <c r="GM155" s="1"/>
      <c r="GN155" s="1"/>
      <c r="GO155" s="1"/>
      <c r="GP155" s="1"/>
    </row>
    <row r="156" spans="2:198" ht="23.25">
      <c r="B156" s="127" t="s">
        <v>156</v>
      </c>
      <c r="C156" s="128">
        <v>3.5887906199016504</v>
      </c>
      <c r="D156" s="128" t="s">
        <v>4</v>
      </c>
      <c r="E156" s="128">
        <v>5.2895465359112572</v>
      </c>
      <c r="F156" s="128" t="s">
        <v>4</v>
      </c>
      <c r="G156" s="128">
        <v>4.4135667053438796</v>
      </c>
      <c r="H156" s="128" t="s">
        <v>4</v>
      </c>
      <c r="I156" s="128">
        <v>5.7929632880752786</v>
      </c>
      <c r="J156" s="128" t="s">
        <v>4</v>
      </c>
      <c r="K156" s="128">
        <v>7.0721651573396649</v>
      </c>
      <c r="L156" s="128" t="s">
        <v>4</v>
      </c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  <c r="BV156" s="137"/>
      <c r="BW156" s="137"/>
      <c r="BX156" s="137"/>
      <c r="BY156" s="137"/>
      <c r="BZ156" s="137"/>
      <c r="CA156" s="137"/>
      <c r="CB156" s="137"/>
      <c r="CC156" s="137"/>
      <c r="CD156" s="137"/>
      <c r="CE156" s="137"/>
      <c r="CF156" s="137"/>
      <c r="CG156" s="137"/>
      <c r="CH156" s="137"/>
      <c r="CI156" s="137"/>
      <c r="CJ156" s="137"/>
      <c r="CK156" s="137"/>
      <c r="CL156" s="137"/>
      <c r="CM156" s="137"/>
      <c r="CN156" s="137"/>
      <c r="CO156" s="137"/>
      <c r="CP156" s="137"/>
      <c r="CQ156" s="137"/>
      <c r="CR156" s="137"/>
      <c r="CS156" s="137"/>
      <c r="CT156" s="137"/>
      <c r="CU156" s="137"/>
      <c r="CV156" s="137"/>
      <c r="CW156" s="137"/>
      <c r="CX156" s="137"/>
      <c r="CY156" s="137"/>
      <c r="CZ156" s="137"/>
      <c r="DA156" s="137"/>
      <c r="DB156" s="137"/>
      <c r="DC156" s="137"/>
      <c r="DD156" s="137"/>
      <c r="DE156" s="137"/>
      <c r="DF156" s="137"/>
      <c r="DG156" s="137"/>
      <c r="DH156" s="137"/>
      <c r="DI156" s="137"/>
      <c r="DJ156" s="137"/>
      <c r="DK156" s="137"/>
      <c r="DL156" s="137"/>
      <c r="DM156" s="137"/>
      <c r="DN156" s="137"/>
      <c r="DO156" s="137"/>
      <c r="DP156" s="137"/>
      <c r="DQ156" s="137"/>
      <c r="DR156" s="137"/>
      <c r="DS156" s="137"/>
      <c r="DT156" s="137"/>
      <c r="DU156" s="137"/>
      <c r="DV156" s="137"/>
      <c r="DW156" s="137"/>
      <c r="DX156" s="137"/>
      <c r="DY156" s="137"/>
      <c r="DZ156" s="137"/>
      <c r="EA156" s="137"/>
      <c r="EB156" s="137"/>
      <c r="EC156" s="137"/>
      <c r="ED156" s="137"/>
      <c r="EE156" s="137"/>
      <c r="EF156" s="137"/>
      <c r="EG156" s="137"/>
      <c r="EH156" s="137"/>
      <c r="EI156" s="137"/>
      <c r="EJ156" s="137"/>
      <c r="EK156" s="137"/>
      <c r="EL156" s="137"/>
      <c r="EM156" s="137"/>
      <c r="EN156" s="137"/>
      <c r="EO156" s="137"/>
      <c r="EP156" s="137"/>
      <c r="EQ156" s="137"/>
      <c r="ER156" s="137"/>
      <c r="ES156" s="137"/>
      <c r="ET156" s="137"/>
      <c r="EU156" s="137"/>
      <c r="EV156" s="137"/>
      <c r="EW156" s="137"/>
      <c r="EX156" s="137"/>
      <c r="EY156" s="137"/>
      <c r="EZ156" s="137"/>
      <c r="FA156" s="137"/>
      <c r="FB156" s="137"/>
      <c r="FC156" s="137"/>
      <c r="FD156" s="137"/>
      <c r="FE156" s="137"/>
      <c r="FF156" s="137"/>
      <c r="FG156" s="137"/>
      <c r="FH156" s="137"/>
      <c r="FI156" s="137"/>
      <c r="FJ156" s="137"/>
      <c r="FK156" s="137"/>
      <c r="FL156" s="137"/>
      <c r="FM156" s="137"/>
      <c r="FN156" s="137"/>
      <c r="FO156" s="137"/>
      <c r="FP156" s="137"/>
      <c r="FQ156" s="137"/>
      <c r="FR156" s="137"/>
      <c r="FS156" s="137"/>
      <c r="FT156" s="137"/>
      <c r="FU156" s="137"/>
      <c r="FV156" s="1"/>
      <c r="FW156" s="1"/>
      <c r="FX156" s="1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1"/>
      <c r="GJ156" s="1"/>
      <c r="GK156" s="1"/>
      <c r="GL156" s="1"/>
      <c r="GM156" s="1"/>
      <c r="GN156" s="1"/>
      <c r="GO156" s="1"/>
      <c r="GP156" s="1"/>
    </row>
    <row r="157" spans="2:198">
      <c r="B157" s="126" t="s">
        <v>157</v>
      </c>
      <c r="C157" s="129">
        <v>3.4093510889065679</v>
      </c>
      <c r="D157" s="129" t="s">
        <v>4</v>
      </c>
      <c r="E157" s="129">
        <v>4.8663828130383564</v>
      </c>
      <c r="F157" s="129" t="s">
        <v>4</v>
      </c>
      <c r="G157" s="129">
        <v>4.2811597041835627</v>
      </c>
      <c r="H157" s="129" t="s">
        <v>4</v>
      </c>
      <c r="I157" s="129">
        <v>5.6012447565522674</v>
      </c>
      <c r="J157" s="129" t="s">
        <v>4</v>
      </c>
      <c r="K157" s="129">
        <v>6.4356702931790952</v>
      </c>
      <c r="L157" s="129" t="s">
        <v>4</v>
      </c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  <c r="BV157" s="137"/>
      <c r="BW157" s="137"/>
      <c r="BX157" s="137"/>
      <c r="BY157" s="137"/>
      <c r="BZ157" s="137"/>
      <c r="CA157" s="137"/>
      <c r="CB157" s="137"/>
      <c r="CC157" s="137"/>
      <c r="CD157" s="137"/>
      <c r="CE157" s="137"/>
      <c r="CF157" s="137"/>
      <c r="CG157" s="137"/>
      <c r="CH157" s="137"/>
      <c r="CI157" s="137"/>
      <c r="CJ157" s="137"/>
      <c r="CK157" s="137"/>
      <c r="CL157" s="137"/>
      <c r="CM157" s="137"/>
      <c r="CN157" s="137"/>
      <c r="CO157" s="137"/>
      <c r="CP157" s="137"/>
      <c r="CQ157" s="137"/>
      <c r="CR157" s="137"/>
      <c r="CS157" s="137"/>
      <c r="CT157" s="137"/>
      <c r="CU157" s="137"/>
      <c r="CV157" s="137"/>
      <c r="CW157" s="137"/>
      <c r="CX157" s="137"/>
      <c r="CY157" s="137"/>
      <c r="CZ157" s="137"/>
      <c r="DA157" s="137"/>
      <c r="DB157" s="137"/>
      <c r="DC157" s="137"/>
      <c r="DD157" s="137"/>
      <c r="DE157" s="137"/>
      <c r="DF157" s="137"/>
      <c r="DG157" s="137"/>
      <c r="DH157" s="137"/>
      <c r="DI157" s="137"/>
      <c r="DJ157" s="137"/>
      <c r="DK157" s="137"/>
      <c r="DL157" s="137"/>
      <c r="DM157" s="137"/>
      <c r="DN157" s="137"/>
      <c r="DO157" s="137"/>
      <c r="DP157" s="137"/>
      <c r="DQ157" s="137"/>
      <c r="DR157" s="137"/>
      <c r="DS157" s="137"/>
      <c r="DT157" s="137"/>
      <c r="DU157" s="137"/>
      <c r="DV157" s="137"/>
      <c r="DW157" s="137"/>
      <c r="DX157" s="137"/>
      <c r="DY157" s="137"/>
      <c r="DZ157" s="137"/>
      <c r="EA157" s="137"/>
      <c r="EB157" s="137"/>
      <c r="EC157" s="137"/>
      <c r="ED157" s="137"/>
      <c r="EE157" s="137"/>
      <c r="EF157" s="137"/>
      <c r="EG157" s="137"/>
      <c r="EH157" s="137"/>
      <c r="EI157" s="137"/>
      <c r="EJ157" s="137"/>
      <c r="EK157" s="137"/>
      <c r="EL157" s="137"/>
      <c r="EM157" s="137"/>
      <c r="EN157" s="137"/>
      <c r="EO157" s="137"/>
      <c r="EP157" s="137"/>
      <c r="EQ157" s="137"/>
      <c r="ER157" s="137"/>
      <c r="ES157" s="137"/>
      <c r="ET157" s="137"/>
      <c r="EU157" s="137"/>
      <c r="EV157" s="137"/>
      <c r="EW157" s="137"/>
      <c r="EX157" s="137"/>
      <c r="EY157" s="137"/>
      <c r="EZ157" s="137"/>
      <c r="FA157" s="137"/>
      <c r="FB157" s="137"/>
      <c r="FC157" s="137"/>
      <c r="FD157" s="137"/>
      <c r="FE157" s="137"/>
      <c r="FF157" s="137"/>
      <c r="FG157" s="137"/>
      <c r="FH157" s="137"/>
      <c r="FI157" s="137"/>
      <c r="FJ157" s="137"/>
      <c r="FK157" s="137"/>
      <c r="FL157" s="137"/>
      <c r="FM157" s="137"/>
      <c r="FN157" s="137"/>
      <c r="FO157" s="137"/>
      <c r="FP157" s="137"/>
      <c r="FQ157" s="137"/>
      <c r="FR157" s="137"/>
      <c r="FS157" s="137"/>
      <c r="FT157" s="137"/>
      <c r="FU157" s="137"/>
      <c r="FV157" s="1"/>
      <c r="FW157" s="1"/>
      <c r="FX157" s="1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1"/>
      <c r="GJ157" s="1"/>
      <c r="GK157" s="1"/>
      <c r="GL157" s="1"/>
      <c r="GM157" s="1"/>
      <c r="GN157" s="1"/>
      <c r="GO157" s="1"/>
      <c r="GP157" s="1"/>
    </row>
    <row r="158" spans="2:198" ht="34.5">
      <c r="B158" s="127" t="s">
        <v>158</v>
      </c>
      <c r="C158" s="128">
        <v>3.2729770453503049</v>
      </c>
      <c r="D158" s="128" t="s">
        <v>4</v>
      </c>
      <c r="E158" s="128">
        <v>4.3797445317345201</v>
      </c>
      <c r="F158" s="128" t="s">
        <v>4</v>
      </c>
      <c r="G158" s="128">
        <v>3.9386669278488777</v>
      </c>
      <c r="H158" s="128" t="s">
        <v>4</v>
      </c>
      <c r="I158" s="128">
        <v>5.2331451760280867</v>
      </c>
      <c r="J158" s="128" t="s">
        <v>4</v>
      </c>
      <c r="K158" s="128">
        <v>6.1138867785201407</v>
      </c>
      <c r="L158" s="128" t="s">
        <v>4</v>
      </c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37"/>
      <c r="CA158" s="137"/>
      <c r="CB158" s="137"/>
      <c r="CC158" s="137"/>
      <c r="CD158" s="137"/>
      <c r="CE158" s="137"/>
      <c r="CF158" s="137"/>
      <c r="CG158" s="137"/>
      <c r="CH158" s="137"/>
      <c r="CI158" s="137"/>
      <c r="CJ158" s="137"/>
      <c r="CK158" s="137"/>
      <c r="CL158" s="137"/>
      <c r="CM158" s="137"/>
      <c r="CN158" s="137"/>
      <c r="CO158" s="137"/>
      <c r="CP158" s="137"/>
      <c r="CQ158" s="137"/>
      <c r="CR158" s="137"/>
      <c r="CS158" s="137"/>
      <c r="CT158" s="137"/>
      <c r="CU158" s="137"/>
      <c r="CV158" s="137"/>
      <c r="CW158" s="137"/>
      <c r="CX158" s="137"/>
      <c r="CY158" s="137"/>
      <c r="CZ158" s="137"/>
      <c r="DA158" s="137"/>
      <c r="DB158" s="137"/>
      <c r="DC158" s="137"/>
      <c r="DD158" s="137"/>
      <c r="DE158" s="137"/>
      <c r="DF158" s="137"/>
      <c r="DG158" s="137"/>
      <c r="DH158" s="137"/>
      <c r="DI158" s="137"/>
      <c r="DJ158" s="137"/>
      <c r="DK158" s="137"/>
      <c r="DL158" s="137"/>
      <c r="DM158" s="137"/>
      <c r="DN158" s="137"/>
      <c r="DO158" s="137"/>
      <c r="DP158" s="137"/>
      <c r="DQ158" s="137"/>
      <c r="DR158" s="137"/>
      <c r="DS158" s="137"/>
      <c r="DT158" s="137"/>
      <c r="DU158" s="137"/>
      <c r="DV158" s="137"/>
      <c r="DW158" s="137"/>
      <c r="DX158" s="137"/>
      <c r="DY158" s="137"/>
      <c r="DZ158" s="137"/>
      <c r="EA158" s="137"/>
      <c r="EB158" s="137"/>
      <c r="EC158" s="137"/>
      <c r="ED158" s="137"/>
      <c r="EE158" s="137"/>
      <c r="EF158" s="137"/>
      <c r="EG158" s="137"/>
      <c r="EH158" s="137"/>
      <c r="EI158" s="137"/>
      <c r="EJ158" s="137"/>
      <c r="EK158" s="137"/>
      <c r="EL158" s="137"/>
      <c r="EM158" s="137"/>
      <c r="EN158" s="137"/>
      <c r="EO158" s="137"/>
      <c r="EP158" s="137"/>
      <c r="EQ158" s="137"/>
      <c r="ER158" s="137"/>
      <c r="ES158" s="137"/>
      <c r="ET158" s="137"/>
      <c r="EU158" s="137"/>
      <c r="EV158" s="137"/>
      <c r="EW158" s="137"/>
      <c r="EX158" s="137"/>
      <c r="EY158" s="137"/>
      <c r="EZ158" s="137"/>
      <c r="FA158" s="137"/>
      <c r="FB158" s="137"/>
      <c r="FC158" s="137"/>
      <c r="FD158" s="137"/>
      <c r="FE158" s="137"/>
      <c r="FF158" s="137"/>
      <c r="FG158" s="137"/>
      <c r="FH158" s="137"/>
      <c r="FI158" s="137"/>
      <c r="FJ158" s="137"/>
      <c r="FK158" s="137"/>
      <c r="FL158" s="137"/>
      <c r="FM158" s="137"/>
      <c r="FN158" s="137"/>
      <c r="FO158" s="137"/>
      <c r="FP158" s="137"/>
      <c r="FQ158" s="137"/>
      <c r="FR158" s="137"/>
      <c r="FS158" s="137"/>
      <c r="FT158" s="137"/>
      <c r="FU158" s="137"/>
      <c r="FV158" s="1"/>
      <c r="FW158" s="1"/>
      <c r="FX158" s="1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1"/>
      <c r="GJ158" s="1"/>
      <c r="GK158" s="1"/>
      <c r="GL158" s="1"/>
      <c r="GM158" s="1"/>
      <c r="GN158" s="1"/>
      <c r="GO158" s="1"/>
      <c r="GP158" s="1"/>
    </row>
    <row r="159" spans="2:198" ht="23.25">
      <c r="B159" s="126" t="s">
        <v>159</v>
      </c>
      <c r="C159" s="129">
        <v>5.8913586816305485E-2</v>
      </c>
      <c r="D159" s="129" t="s">
        <v>193</v>
      </c>
      <c r="E159" s="129">
        <v>8.2339197196608968E-2</v>
      </c>
      <c r="F159" s="129" t="s">
        <v>193</v>
      </c>
      <c r="G159" s="129">
        <v>7.0896004701279797E-2</v>
      </c>
      <c r="H159" s="129" t="s">
        <v>193</v>
      </c>
      <c r="I159" s="129">
        <v>1.0795831293093281</v>
      </c>
      <c r="J159" s="129" t="s">
        <v>193</v>
      </c>
      <c r="K159" s="129">
        <v>0.11860940350329073</v>
      </c>
      <c r="L159" s="129" t="s">
        <v>193</v>
      </c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  <c r="BO159" s="137"/>
      <c r="BP159" s="137"/>
      <c r="BQ159" s="137"/>
      <c r="BR159" s="137"/>
      <c r="BS159" s="137"/>
      <c r="BT159" s="137"/>
      <c r="BU159" s="137"/>
      <c r="BV159" s="137"/>
      <c r="BW159" s="137"/>
      <c r="BX159" s="137"/>
      <c r="BY159" s="137"/>
      <c r="BZ159" s="137"/>
      <c r="CA159" s="137"/>
      <c r="CB159" s="137"/>
      <c r="CC159" s="137"/>
      <c r="CD159" s="137"/>
      <c r="CE159" s="137"/>
      <c r="CF159" s="137"/>
      <c r="CG159" s="137"/>
      <c r="CH159" s="137"/>
      <c r="CI159" s="137"/>
      <c r="CJ159" s="137"/>
      <c r="CK159" s="137"/>
      <c r="CL159" s="137"/>
      <c r="CM159" s="137"/>
      <c r="CN159" s="137"/>
      <c r="CO159" s="137"/>
      <c r="CP159" s="137"/>
      <c r="CQ159" s="137"/>
      <c r="CR159" s="137"/>
      <c r="CS159" s="137"/>
      <c r="CT159" s="137"/>
      <c r="CU159" s="137"/>
      <c r="CV159" s="137"/>
      <c r="CW159" s="137"/>
      <c r="CX159" s="137"/>
      <c r="CY159" s="137"/>
      <c r="CZ159" s="137"/>
      <c r="DA159" s="137"/>
      <c r="DB159" s="137"/>
      <c r="DC159" s="137"/>
      <c r="DD159" s="137"/>
      <c r="DE159" s="137"/>
      <c r="DF159" s="137"/>
      <c r="DG159" s="137"/>
      <c r="DH159" s="137"/>
      <c r="DI159" s="137"/>
      <c r="DJ159" s="137"/>
      <c r="DK159" s="137"/>
      <c r="DL159" s="137"/>
      <c r="DM159" s="137"/>
      <c r="DN159" s="137"/>
      <c r="DO159" s="137"/>
      <c r="DP159" s="137"/>
      <c r="DQ159" s="137"/>
      <c r="DR159" s="137"/>
      <c r="DS159" s="137"/>
      <c r="DT159" s="137"/>
      <c r="DU159" s="137"/>
      <c r="DV159" s="137"/>
      <c r="DW159" s="137"/>
      <c r="DX159" s="137"/>
      <c r="DY159" s="137"/>
      <c r="DZ159" s="137"/>
      <c r="EA159" s="137"/>
      <c r="EB159" s="137"/>
      <c r="EC159" s="137"/>
      <c r="ED159" s="137"/>
      <c r="EE159" s="137"/>
      <c r="EF159" s="137"/>
      <c r="EG159" s="137"/>
      <c r="EH159" s="137"/>
      <c r="EI159" s="137"/>
      <c r="EJ159" s="137"/>
      <c r="EK159" s="137"/>
      <c r="EL159" s="137"/>
      <c r="EM159" s="137"/>
      <c r="EN159" s="137"/>
      <c r="EO159" s="137"/>
      <c r="EP159" s="137"/>
      <c r="EQ159" s="137"/>
      <c r="ER159" s="137"/>
      <c r="ES159" s="137"/>
      <c r="ET159" s="137"/>
      <c r="EU159" s="137"/>
      <c r="EV159" s="137"/>
      <c r="EW159" s="137"/>
      <c r="EX159" s="137"/>
      <c r="EY159" s="137"/>
      <c r="EZ159" s="137"/>
      <c r="FA159" s="137"/>
      <c r="FB159" s="137"/>
      <c r="FC159" s="137"/>
      <c r="FD159" s="137"/>
      <c r="FE159" s="137"/>
      <c r="FF159" s="137"/>
      <c r="FG159" s="137"/>
      <c r="FH159" s="137"/>
      <c r="FI159" s="137"/>
      <c r="FJ159" s="137"/>
      <c r="FK159" s="137"/>
      <c r="FL159" s="137"/>
      <c r="FM159" s="137"/>
      <c r="FN159" s="137"/>
      <c r="FO159" s="137"/>
      <c r="FP159" s="137"/>
      <c r="FQ159" s="137"/>
      <c r="FR159" s="137"/>
      <c r="FS159" s="137"/>
      <c r="FT159" s="137"/>
      <c r="FU159" s="137"/>
      <c r="FV159" s="1"/>
      <c r="FW159" s="1"/>
      <c r="FX159" s="1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1"/>
      <c r="GJ159" s="1"/>
      <c r="GK159" s="1"/>
      <c r="GL159" s="1"/>
      <c r="GM159" s="1"/>
      <c r="GN159" s="1"/>
      <c r="GO159" s="1"/>
      <c r="GP159" s="1"/>
    </row>
    <row r="160" spans="2:198">
      <c r="B160" s="127" t="s">
        <v>160</v>
      </c>
      <c r="C160" s="128">
        <v>2.7983953737745106</v>
      </c>
      <c r="D160" s="128" t="s">
        <v>4</v>
      </c>
      <c r="E160" s="128">
        <v>3.7052638738474037</v>
      </c>
      <c r="F160" s="128" t="s">
        <v>4</v>
      </c>
      <c r="G160" s="128">
        <v>3.3321122209601501</v>
      </c>
      <c r="H160" s="128" t="s">
        <v>4</v>
      </c>
      <c r="I160" s="128">
        <v>4.7801986421930813</v>
      </c>
      <c r="J160" s="128" t="s">
        <v>4</v>
      </c>
      <c r="K160" s="128">
        <v>5.6932513681579557</v>
      </c>
      <c r="L160" s="128" t="s">
        <v>4</v>
      </c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  <c r="BV160" s="137"/>
      <c r="BW160" s="137"/>
      <c r="BX160" s="137"/>
      <c r="BY160" s="137"/>
      <c r="BZ160" s="137"/>
      <c r="CA160" s="137"/>
      <c r="CB160" s="137"/>
      <c r="CC160" s="137"/>
      <c r="CD160" s="137"/>
      <c r="CE160" s="137"/>
      <c r="CF160" s="137"/>
      <c r="CG160" s="137"/>
      <c r="CH160" s="137"/>
      <c r="CI160" s="137"/>
      <c r="CJ160" s="137"/>
      <c r="CK160" s="137"/>
      <c r="CL160" s="137"/>
      <c r="CM160" s="137"/>
      <c r="CN160" s="137"/>
      <c r="CO160" s="137"/>
      <c r="CP160" s="137"/>
      <c r="CQ160" s="137"/>
      <c r="CR160" s="137"/>
      <c r="CS160" s="137"/>
      <c r="CT160" s="137"/>
      <c r="CU160" s="137"/>
      <c r="CV160" s="137"/>
      <c r="CW160" s="137"/>
      <c r="CX160" s="137"/>
      <c r="CY160" s="137"/>
      <c r="CZ160" s="137"/>
      <c r="DA160" s="137"/>
      <c r="DB160" s="137"/>
      <c r="DC160" s="137"/>
      <c r="DD160" s="137"/>
      <c r="DE160" s="137"/>
      <c r="DF160" s="137"/>
      <c r="DG160" s="137"/>
      <c r="DH160" s="137"/>
      <c r="DI160" s="137"/>
      <c r="DJ160" s="137"/>
      <c r="DK160" s="137"/>
      <c r="DL160" s="137"/>
      <c r="DM160" s="137"/>
      <c r="DN160" s="137"/>
      <c r="DO160" s="137"/>
      <c r="DP160" s="137"/>
      <c r="DQ160" s="137"/>
      <c r="DR160" s="137"/>
      <c r="DS160" s="137"/>
      <c r="DT160" s="137"/>
      <c r="DU160" s="137"/>
      <c r="DV160" s="137"/>
      <c r="DW160" s="137"/>
      <c r="DX160" s="137"/>
      <c r="DY160" s="137"/>
      <c r="DZ160" s="137"/>
      <c r="EA160" s="137"/>
      <c r="EB160" s="137"/>
      <c r="EC160" s="137"/>
      <c r="ED160" s="137"/>
      <c r="EE160" s="137"/>
      <c r="EF160" s="137"/>
      <c r="EG160" s="137"/>
      <c r="EH160" s="137"/>
      <c r="EI160" s="137"/>
      <c r="EJ160" s="137"/>
      <c r="EK160" s="137"/>
      <c r="EL160" s="137"/>
      <c r="EM160" s="137"/>
      <c r="EN160" s="137"/>
      <c r="EO160" s="137"/>
      <c r="EP160" s="137"/>
      <c r="EQ160" s="137"/>
      <c r="ER160" s="137"/>
      <c r="ES160" s="137"/>
      <c r="ET160" s="137"/>
      <c r="EU160" s="137"/>
      <c r="EV160" s="137"/>
      <c r="EW160" s="137"/>
      <c r="EX160" s="137"/>
      <c r="EY160" s="137"/>
      <c r="EZ160" s="137"/>
      <c r="FA160" s="137"/>
      <c r="FB160" s="137"/>
      <c r="FC160" s="137"/>
      <c r="FD160" s="137"/>
      <c r="FE160" s="137"/>
      <c r="FF160" s="137"/>
      <c r="FG160" s="137"/>
      <c r="FH160" s="137"/>
      <c r="FI160" s="137"/>
      <c r="FJ160" s="137"/>
      <c r="FK160" s="137"/>
      <c r="FL160" s="137"/>
      <c r="FM160" s="137"/>
      <c r="FN160" s="137"/>
      <c r="FO160" s="137"/>
      <c r="FP160" s="137"/>
      <c r="FQ160" s="137"/>
      <c r="FR160" s="137"/>
      <c r="FS160" s="137"/>
      <c r="FT160" s="137"/>
      <c r="FU160" s="137"/>
      <c r="FV160" s="1"/>
      <c r="FW160" s="1"/>
      <c r="FX160" s="1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1"/>
      <c r="GJ160" s="1"/>
      <c r="GK160" s="1"/>
      <c r="GL160" s="1"/>
      <c r="GM160" s="1"/>
      <c r="GN160" s="1"/>
      <c r="GO160" s="1"/>
      <c r="GP160" s="1"/>
    </row>
    <row r="161" spans="2:198">
      <c r="B161" s="126" t="s">
        <v>161</v>
      </c>
      <c r="C161" s="129">
        <v>2.7144435125612749</v>
      </c>
      <c r="D161" s="129" t="s">
        <v>4</v>
      </c>
      <c r="E161" s="129">
        <v>3.4088427639396115</v>
      </c>
      <c r="F161" s="129" t="s">
        <v>4</v>
      </c>
      <c r="G161" s="129">
        <v>3.2321488543313457</v>
      </c>
      <c r="H161" s="129" t="s">
        <v>4</v>
      </c>
      <c r="I161" s="129">
        <v>4.6289906965053582</v>
      </c>
      <c r="J161" s="129" t="s">
        <v>4</v>
      </c>
      <c r="K161" s="129">
        <v>5.3516562860684784</v>
      </c>
      <c r="L161" s="129" t="s">
        <v>4</v>
      </c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  <c r="BO161" s="137"/>
      <c r="BP161" s="137"/>
      <c r="BQ161" s="137"/>
      <c r="BR161" s="137"/>
      <c r="BS161" s="137"/>
      <c r="BT161" s="137"/>
      <c r="BU161" s="137"/>
      <c r="BV161" s="137"/>
      <c r="BW161" s="137"/>
      <c r="BX161" s="137"/>
      <c r="BY161" s="137"/>
      <c r="BZ161" s="137"/>
      <c r="CA161" s="137"/>
      <c r="CB161" s="137"/>
      <c r="CC161" s="137"/>
      <c r="CD161" s="137"/>
      <c r="CE161" s="137"/>
      <c r="CF161" s="137"/>
      <c r="CG161" s="137"/>
      <c r="CH161" s="137"/>
      <c r="CI161" s="137"/>
      <c r="CJ161" s="137"/>
      <c r="CK161" s="137"/>
      <c r="CL161" s="137"/>
      <c r="CM161" s="137"/>
      <c r="CN161" s="137"/>
      <c r="CO161" s="137"/>
      <c r="CP161" s="137"/>
      <c r="CQ161" s="137"/>
      <c r="CR161" s="137"/>
      <c r="CS161" s="137"/>
      <c r="CT161" s="137"/>
      <c r="CU161" s="137"/>
      <c r="CV161" s="137"/>
      <c r="CW161" s="137"/>
      <c r="CX161" s="137"/>
      <c r="CY161" s="137"/>
      <c r="CZ161" s="137"/>
      <c r="DA161" s="137"/>
      <c r="DB161" s="137"/>
      <c r="DC161" s="137"/>
      <c r="DD161" s="137"/>
      <c r="DE161" s="137"/>
      <c r="DF161" s="137"/>
      <c r="DG161" s="137"/>
      <c r="DH161" s="137"/>
      <c r="DI161" s="137"/>
      <c r="DJ161" s="137"/>
      <c r="DK161" s="137"/>
      <c r="DL161" s="137"/>
      <c r="DM161" s="137"/>
      <c r="DN161" s="137"/>
      <c r="DO161" s="137"/>
      <c r="DP161" s="137"/>
      <c r="DQ161" s="137"/>
      <c r="DR161" s="137"/>
      <c r="DS161" s="137"/>
      <c r="DT161" s="137"/>
      <c r="DU161" s="137"/>
      <c r="DV161" s="137"/>
      <c r="DW161" s="137"/>
      <c r="DX161" s="137"/>
      <c r="DY161" s="137"/>
      <c r="DZ161" s="137"/>
      <c r="EA161" s="137"/>
      <c r="EB161" s="137"/>
      <c r="EC161" s="137"/>
      <c r="ED161" s="137"/>
      <c r="EE161" s="137"/>
      <c r="EF161" s="137"/>
      <c r="EG161" s="137"/>
      <c r="EH161" s="137"/>
      <c r="EI161" s="137"/>
      <c r="EJ161" s="137"/>
      <c r="EK161" s="137"/>
      <c r="EL161" s="137"/>
      <c r="EM161" s="137"/>
      <c r="EN161" s="137"/>
      <c r="EO161" s="137"/>
      <c r="EP161" s="137"/>
      <c r="EQ161" s="137"/>
      <c r="ER161" s="137"/>
      <c r="ES161" s="137"/>
      <c r="ET161" s="137"/>
      <c r="EU161" s="137"/>
      <c r="EV161" s="137"/>
      <c r="EW161" s="137"/>
      <c r="EX161" s="137"/>
      <c r="EY161" s="137"/>
      <c r="EZ161" s="137"/>
      <c r="FA161" s="137"/>
      <c r="FB161" s="137"/>
      <c r="FC161" s="137"/>
      <c r="FD161" s="137"/>
      <c r="FE161" s="137"/>
      <c r="FF161" s="137"/>
      <c r="FG161" s="137"/>
      <c r="FH161" s="137"/>
      <c r="FI161" s="137"/>
      <c r="FJ161" s="137"/>
      <c r="FK161" s="137"/>
      <c r="FL161" s="137"/>
      <c r="FM161" s="137"/>
      <c r="FN161" s="137"/>
      <c r="FO161" s="137"/>
      <c r="FP161" s="137"/>
      <c r="FQ161" s="137"/>
      <c r="FR161" s="137"/>
      <c r="FS161" s="137"/>
      <c r="FT161" s="137"/>
      <c r="FU161" s="137"/>
      <c r="FV161" s="1"/>
      <c r="FW161" s="1"/>
      <c r="FX161" s="1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1"/>
      <c r="GJ161" s="1"/>
      <c r="GK161" s="1"/>
      <c r="GL161" s="1"/>
      <c r="GM161" s="1"/>
      <c r="GN161" s="1"/>
      <c r="GO161" s="1"/>
      <c r="GP161" s="1"/>
    </row>
    <row r="162" spans="2:198" ht="23.25">
      <c r="B162" s="127" t="s">
        <v>162</v>
      </c>
      <c r="C162" s="128">
        <v>5.1574426738664227E-2</v>
      </c>
      <c r="D162" s="128" t="s">
        <v>193</v>
      </c>
      <c r="E162" s="128">
        <v>6.5449781067640544E-2</v>
      </c>
      <c r="F162" s="128" t="s">
        <v>193</v>
      </c>
      <c r="G162" s="128">
        <v>5.8178679377964226E-2</v>
      </c>
      <c r="H162" s="128" t="s">
        <v>193</v>
      </c>
      <c r="I162" s="128">
        <v>1.0653218325370966</v>
      </c>
      <c r="J162" s="128" t="s">
        <v>193</v>
      </c>
      <c r="K162" s="128">
        <v>9.9540806920873692E-2</v>
      </c>
      <c r="L162" s="128" t="s">
        <v>193</v>
      </c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  <c r="CC162" s="137"/>
      <c r="CD162" s="137"/>
      <c r="CE162" s="137"/>
      <c r="CF162" s="137"/>
      <c r="CG162" s="137"/>
      <c r="CH162" s="137"/>
      <c r="CI162" s="137"/>
      <c r="CJ162" s="137"/>
      <c r="CK162" s="137"/>
      <c r="CL162" s="137"/>
      <c r="CM162" s="137"/>
      <c r="CN162" s="137"/>
      <c r="CO162" s="137"/>
      <c r="CP162" s="137"/>
      <c r="CQ162" s="137"/>
      <c r="CR162" s="137"/>
      <c r="CS162" s="137"/>
      <c r="CT162" s="137"/>
      <c r="CU162" s="137"/>
      <c r="CV162" s="137"/>
      <c r="CW162" s="137"/>
      <c r="CX162" s="137"/>
      <c r="CY162" s="137"/>
      <c r="CZ162" s="137"/>
      <c r="DA162" s="137"/>
      <c r="DB162" s="137"/>
      <c r="DC162" s="137"/>
      <c r="DD162" s="137"/>
      <c r="DE162" s="137"/>
      <c r="DF162" s="137"/>
      <c r="DG162" s="137"/>
      <c r="DH162" s="137"/>
      <c r="DI162" s="137"/>
      <c r="DJ162" s="137"/>
      <c r="DK162" s="137"/>
      <c r="DL162" s="137"/>
      <c r="DM162" s="137"/>
      <c r="DN162" s="137"/>
      <c r="DO162" s="137"/>
      <c r="DP162" s="137"/>
      <c r="DQ162" s="137"/>
      <c r="DR162" s="137"/>
      <c r="DS162" s="137"/>
      <c r="DT162" s="137"/>
      <c r="DU162" s="137"/>
      <c r="DV162" s="137"/>
      <c r="DW162" s="137"/>
      <c r="DX162" s="137"/>
      <c r="DY162" s="137"/>
      <c r="DZ162" s="137"/>
      <c r="EA162" s="137"/>
      <c r="EB162" s="137"/>
      <c r="EC162" s="137"/>
      <c r="ED162" s="137"/>
      <c r="EE162" s="137"/>
      <c r="EF162" s="137"/>
      <c r="EG162" s="137"/>
      <c r="EH162" s="137"/>
      <c r="EI162" s="137"/>
      <c r="EJ162" s="137"/>
      <c r="EK162" s="137"/>
      <c r="EL162" s="137"/>
      <c r="EM162" s="137"/>
      <c r="EN162" s="137"/>
      <c r="EO162" s="137"/>
      <c r="EP162" s="137"/>
      <c r="EQ162" s="137"/>
      <c r="ER162" s="137"/>
      <c r="ES162" s="137"/>
      <c r="ET162" s="137"/>
      <c r="EU162" s="137"/>
      <c r="EV162" s="137"/>
      <c r="EW162" s="137"/>
      <c r="EX162" s="137"/>
      <c r="EY162" s="137"/>
      <c r="EZ162" s="137"/>
      <c r="FA162" s="137"/>
      <c r="FB162" s="137"/>
      <c r="FC162" s="137"/>
      <c r="FD162" s="137"/>
      <c r="FE162" s="137"/>
      <c r="FF162" s="137"/>
      <c r="FG162" s="137"/>
      <c r="FH162" s="137"/>
      <c r="FI162" s="137"/>
      <c r="FJ162" s="137"/>
      <c r="FK162" s="137"/>
      <c r="FL162" s="137"/>
      <c r="FM162" s="137"/>
      <c r="FN162" s="137"/>
      <c r="FO162" s="137"/>
      <c r="FP162" s="137"/>
      <c r="FQ162" s="137"/>
      <c r="FR162" s="137"/>
      <c r="FS162" s="137"/>
      <c r="FT162" s="137"/>
      <c r="FU162" s="137"/>
      <c r="FV162" s="1"/>
      <c r="FW162" s="1"/>
      <c r="FX162" s="1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1"/>
      <c r="GJ162" s="1"/>
      <c r="GK162" s="1"/>
      <c r="GL162" s="1"/>
      <c r="GM162" s="1"/>
      <c r="GN162" s="1"/>
      <c r="GO162" s="1"/>
      <c r="GP162" s="1"/>
    </row>
    <row r="163" spans="2:198" ht="23.25">
      <c r="B163" s="126" t="s">
        <v>163</v>
      </c>
      <c r="C163" s="129">
        <v>4.7964216866957725E-2</v>
      </c>
      <c r="D163" s="129" t="s">
        <v>193</v>
      </c>
      <c r="E163" s="129">
        <v>6.2831789824934911E-2</v>
      </c>
      <c r="F163" s="129" t="s">
        <v>193</v>
      </c>
      <c r="G163" s="129">
        <v>5.5269745409066012E-2</v>
      </c>
      <c r="H163" s="129" t="s">
        <v>193</v>
      </c>
      <c r="I163" s="129">
        <v>1.0614025225848707</v>
      </c>
      <c r="J163" s="129" t="s">
        <v>193</v>
      </c>
      <c r="K163" s="129">
        <v>9.1577542367203807E-2</v>
      </c>
      <c r="L163" s="129" t="s">
        <v>193</v>
      </c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  <c r="BO163" s="137"/>
      <c r="BP163" s="137"/>
      <c r="BQ163" s="137"/>
      <c r="BR163" s="137"/>
      <c r="BS163" s="137"/>
      <c r="BT163" s="137"/>
      <c r="BU163" s="137"/>
      <c r="BV163" s="137"/>
      <c r="BW163" s="137"/>
      <c r="BX163" s="137"/>
      <c r="BY163" s="137"/>
      <c r="BZ163" s="137"/>
      <c r="CA163" s="137"/>
      <c r="CB163" s="137"/>
      <c r="CC163" s="137"/>
      <c r="CD163" s="137"/>
      <c r="CE163" s="137"/>
      <c r="CF163" s="137"/>
      <c r="CG163" s="137"/>
      <c r="CH163" s="137"/>
      <c r="CI163" s="137"/>
      <c r="CJ163" s="137"/>
      <c r="CK163" s="137"/>
      <c r="CL163" s="137"/>
      <c r="CM163" s="137"/>
      <c r="CN163" s="137"/>
      <c r="CO163" s="137"/>
      <c r="CP163" s="137"/>
      <c r="CQ163" s="137"/>
      <c r="CR163" s="137"/>
      <c r="CS163" s="137"/>
      <c r="CT163" s="137"/>
      <c r="CU163" s="137"/>
      <c r="CV163" s="137"/>
      <c r="CW163" s="137"/>
      <c r="CX163" s="137"/>
      <c r="CY163" s="137"/>
      <c r="CZ163" s="137"/>
      <c r="DA163" s="137"/>
      <c r="DB163" s="137"/>
      <c r="DC163" s="137"/>
      <c r="DD163" s="137"/>
      <c r="DE163" s="137"/>
      <c r="DF163" s="137"/>
      <c r="DG163" s="137"/>
      <c r="DH163" s="137"/>
      <c r="DI163" s="137"/>
      <c r="DJ163" s="137"/>
      <c r="DK163" s="137"/>
      <c r="DL163" s="137"/>
      <c r="DM163" s="137"/>
      <c r="DN163" s="137"/>
      <c r="DO163" s="137"/>
      <c r="DP163" s="137"/>
      <c r="DQ163" s="137"/>
      <c r="DR163" s="137"/>
      <c r="DS163" s="137"/>
      <c r="DT163" s="137"/>
      <c r="DU163" s="137"/>
      <c r="DV163" s="137"/>
      <c r="DW163" s="137"/>
      <c r="DX163" s="137"/>
      <c r="DY163" s="137"/>
      <c r="DZ163" s="137"/>
      <c r="EA163" s="137"/>
      <c r="EB163" s="137"/>
      <c r="EC163" s="137"/>
      <c r="ED163" s="137"/>
      <c r="EE163" s="137"/>
      <c r="EF163" s="137"/>
      <c r="EG163" s="137"/>
      <c r="EH163" s="137"/>
      <c r="EI163" s="137"/>
      <c r="EJ163" s="137"/>
      <c r="EK163" s="137"/>
      <c r="EL163" s="137"/>
      <c r="EM163" s="137"/>
      <c r="EN163" s="137"/>
      <c r="EO163" s="137"/>
      <c r="EP163" s="137"/>
      <c r="EQ163" s="137"/>
      <c r="ER163" s="137"/>
      <c r="ES163" s="137"/>
      <c r="ET163" s="137"/>
      <c r="EU163" s="137"/>
      <c r="EV163" s="137"/>
      <c r="EW163" s="137"/>
      <c r="EX163" s="137"/>
      <c r="EY163" s="137"/>
      <c r="EZ163" s="137"/>
      <c r="FA163" s="137"/>
      <c r="FB163" s="137"/>
      <c r="FC163" s="137"/>
      <c r="FD163" s="137"/>
      <c r="FE163" s="137"/>
      <c r="FF163" s="137"/>
      <c r="FG163" s="137"/>
      <c r="FH163" s="137"/>
      <c r="FI163" s="137"/>
      <c r="FJ163" s="137"/>
      <c r="FK163" s="137"/>
      <c r="FL163" s="137"/>
      <c r="FM163" s="137"/>
      <c r="FN163" s="137"/>
      <c r="FO163" s="137"/>
      <c r="FP163" s="137"/>
      <c r="FQ163" s="137"/>
      <c r="FR163" s="137"/>
      <c r="FS163" s="137"/>
      <c r="FT163" s="137"/>
      <c r="FU163" s="137"/>
      <c r="FV163" s="1"/>
      <c r="FW163" s="1"/>
      <c r="FX163" s="1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1"/>
      <c r="GJ163" s="1"/>
      <c r="GK163" s="1"/>
      <c r="GL163" s="1"/>
      <c r="GM163" s="1"/>
      <c r="GN163" s="1"/>
      <c r="GO163" s="1"/>
      <c r="GP163" s="1"/>
    </row>
    <row r="164" spans="2:198" ht="23.25">
      <c r="B164" s="127" t="s">
        <v>164</v>
      </c>
      <c r="C164" s="128">
        <v>4.3647437348931534E-2</v>
      </c>
      <c r="D164" s="128" t="s">
        <v>193</v>
      </c>
      <c r="E164" s="128">
        <v>5.6548610842441421E-2</v>
      </c>
      <c r="F164" s="128" t="s">
        <v>193</v>
      </c>
      <c r="G164" s="128">
        <v>5.2506258138612712E-2</v>
      </c>
      <c r="H164" s="128" t="s">
        <v>193</v>
      </c>
      <c r="I164" s="128">
        <v>1.0564903207780809</v>
      </c>
      <c r="J164" s="128" t="s">
        <v>193</v>
      </c>
      <c r="K164" s="128">
        <v>8.5167114401499544E-2</v>
      </c>
      <c r="L164" s="128" t="s">
        <v>193</v>
      </c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  <c r="BO164" s="137"/>
      <c r="BP164" s="137"/>
      <c r="BQ164" s="137"/>
      <c r="BR164" s="137"/>
      <c r="BS164" s="137"/>
      <c r="BT164" s="137"/>
      <c r="BU164" s="137"/>
      <c r="BV164" s="137"/>
      <c r="BW164" s="137"/>
      <c r="BX164" s="137"/>
      <c r="BY164" s="137"/>
      <c r="BZ164" s="137"/>
      <c r="CA164" s="137"/>
      <c r="CB164" s="137"/>
      <c r="CC164" s="137"/>
      <c r="CD164" s="137"/>
      <c r="CE164" s="137"/>
      <c r="CF164" s="137"/>
      <c r="CG164" s="137"/>
      <c r="CH164" s="137"/>
      <c r="CI164" s="137"/>
      <c r="CJ164" s="137"/>
      <c r="CK164" s="137"/>
      <c r="CL164" s="137"/>
      <c r="CM164" s="137"/>
      <c r="CN164" s="137"/>
      <c r="CO164" s="137"/>
      <c r="CP164" s="137"/>
      <c r="CQ164" s="137"/>
      <c r="CR164" s="137"/>
      <c r="CS164" s="137"/>
      <c r="CT164" s="137"/>
      <c r="CU164" s="137"/>
      <c r="CV164" s="137"/>
      <c r="CW164" s="137"/>
      <c r="CX164" s="137"/>
      <c r="CY164" s="137"/>
      <c r="CZ164" s="137"/>
      <c r="DA164" s="137"/>
      <c r="DB164" s="137"/>
      <c r="DC164" s="137"/>
      <c r="DD164" s="137"/>
      <c r="DE164" s="137"/>
      <c r="DF164" s="137"/>
      <c r="DG164" s="137"/>
      <c r="DH164" s="137"/>
      <c r="DI164" s="137"/>
      <c r="DJ164" s="137"/>
      <c r="DK164" s="137"/>
      <c r="DL164" s="137"/>
      <c r="DM164" s="137"/>
      <c r="DN164" s="137"/>
      <c r="DO164" s="137"/>
      <c r="DP164" s="137"/>
      <c r="DQ164" s="137"/>
      <c r="DR164" s="137"/>
      <c r="DS164" s="137"/>
      <c r="DT164" s="137"/>
      <c r="DU164" s="137"/>
      <c r="DV164" s="137"/>
      <c r="DW164" s="137"/>
      <c r="DX164" s="137"/>
      <c r="DY164" s="137"/>
      <c r="DZ164" s="137"/>
      <c r="EA164" s="137"/>
      <c r="EB164" s="137"/>
      <c r="EC164" s="137"/>
      <c r="ED164" s="137"/>
      <c r="EE164" s="137"/>
      <c r="EF164" s="137"/>
      <c r="EG164" s="137"/>
      <c r="EH164" s="137"/>
      <c r="EI164" s="137"/>
      <c r="EJ164" s="137"/>
      <c r="EK164" s="137"/>
      <c r="EL164" s="137"/>
      <c r="EM164" s="137"/>
      <c r="EN164" s="137"/>
      <c r="EO164" s="137"/>
      <c r="EP164" s="137"/>
      <c r="EQ164" s="137"/>
      <c r="ER164" s="137"/>
      <c r="ES164" s="137"/>
      <c r="ET164" s="137"/>
      <c r="EU164" s="137"/>
      <c r="EV164" s="137"/>
      <c r="EW164" s="137"/>
      <c r="EX164" s="137"/>
      <c r="EY164" s="137"/>
      <c r="EZ164" s="137"/>
      <c r="FA164" s="137"/>
      <c r="FB164" s="137"/>
      <c r="FC164" s="137"/>
      <c r="FD164" s="137"/>
      <c r="FE164" s="137"/>
      <c r="FF164" s="137"/>
      <c r="FG164" s="137"/>
      <c r="FH164" s="137"/>
      <c r="FI164" s="137"/>
      <c r="FJ164" s="137"/>
      <c r="FK164" s="137"/>
      <c r="FL164" s="137"/>
      <c r="FM164" s="137"/>
      <c r="FN164" s="137"/>
      <c r="FO164" s="137"/>
      <c r="FP164" s="137"/>
      <c r="FQ164" s="137"/>
      <c r="FR164" s="137"/>
      <c r="FS164" s="137"/>
      <c r="FT164" s="137"/>
      <c r="FU164" s="137"/>
      <c r="FV164" s="10"/>
      <c r="FW164" s="10"/>
      <c r="FX164" s="10"/>
      <c r="FY164" s="114"/>
      <c r="FZ164" s="114"/>
      <c r="GA164" s="114"/>
      <c r="GB164" s="114"/>
      <c r="GC164" s="114"/>
      <c r="GD164" s="114"/>
      <c r="GE164" s="114"/>
      <c r="GF164" s="114"/>
      <c r="GG164" s="114"/>
      <c r="GH164" s="10"/>
      <c r="GI164" s="10"/>
      <c r="GJ164" s="10"/>
      <c r="GK164" s="10"/>
      <c r="GL164" s="10"/>
      <c r="GM164" s="10"/>
      <c r="GN164" s="10"/>
      <c r="GO164" s="10"/>
      <c r="GP164" s="10"/>
    </row>
    <row r="165" spans="2:198" ht="23.25">
      <c r="B165" s="126" t="s">
        <v>165</v>
      </c>
      <c r="C165" s="129">
        <v>4.2338014228463589E-2</v>
      </c>
      <c r="D165" s="129" t="s">
        <v>193</v>
      </c>
      <c r="E165" s="129">
        <v>5.4286666408743758E-2</v>
      </c>
      <c r="F165" s="129" t="s">
        <v>193</v>
      </c>
      <c r="G165" s="129">
        <v>5.0406007813068206E-2</v>
      </c>
      <c r="H165" s="129" t="s">
        <v>193</v>
      </c>
      <c r="I165" s="129">
        <v>1.0531009015313961</v>
      </c>
      <c r="J165" s="129" t="s">
        <v>193</v>
      </c>
      <c r="K165" s="129">
        <v>7.8353745249379589E-2</v>
      </c>
      <c r="L165" s="129" t="s">
        <v>193</v>
      </c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  <c r="BO165" s="137"/>
      <c r="BP165" s="137"/>
      <c r="BQ165" s="137"/>
      <c r="BR165" s="137"/>
      <c r="BS165" s="137"/>
      <c r="BT165" s="137"/>
      <c r="BU165" s="137"/>
      <c r="BV165" s="137"/>
      <c r="BW165" s="137"/>
      <c r="BX165" s="137"/>
      <c r="BY165" s="137"/>
      <c r="BZ165" s="137"/>
      <c r="CA165" s="137"/>
      <c r="CB165" s="137"/>
      <c r="CC165" s="137"/>
      <c r="CD165" s="137"/>
      <c r="CE165" s="137"/>
      <c r="CF165" s="137"/>
      <c r="CG165" s="137"/>
      <c r="CH165" s="137"/>
      <c r="CI165" s="137"/>
      <c r="CJ165" s="137"/>
      <c r="CK165" s="137"/>
      <c r="CL165" s="137"/>
      <c r="CM165" s="137"/>
      <c r="CN165" s="137"/>
      <c r="CO165" s="137"/>
      <c r="CP165" s="137"/>
      <c r="CQ165" s="137"/>
      <c r="CR165" s="137"/>
      <c r="CS165" s="137"/>
      <c r="CT165" s="137"/>
      <c r="CU165" s="137"/>
      <c r="CV165" s="137"/>
      <c r="CW165" s="137"/>
      <c r="CX165" s="137"/>
      <c r="CY165" s="137"/>
      <c r="CZ165" s="137"/>
      <c r="DA165" s="137"/>
      <c r="DB165" s="137"/>
      <c r="DC165" s="137"/>
      <c r="DD165" s="137"/>
      <c r="DE165" s="137"/>
      <c r="DF165" s="137"/>
      <c r="DG165" s="137"/>
      <c r="DH165" s="137"/>
      <c r="DI165" s="137"/>
      <c r="DJ165" s="137"/>
      <c r="DK165" s="137"/>
      <c r="DL165" s="137"/>
      <c r="DM165" s="137"/>
      <c r="DN165" s="137"/>
      <c r="DO165" s="137"/>
      <c r="DP165" s="137"/>
      <c r="DQ165" s="137"/>
      <c r="DR165" s="137"/>
      <c r="DS165" s="137"/>
      <c r="DT165" s="137"/>
      <c r="DU165" s="137"/>
      <c r="DV165" s="137"/>
      <c r="DW165" s="137"/>
      <c r="DX165" s="137"/>
      <c r="DY165" s="137"/>
      <c r="DZ165" s="137"/>
      <c r="EA165" s="137"/>
      <c r="EB165" s="137"/>
      <c r="EC165" s="137"/>
      <c r="ED165" s="137"/>
      <c r="EE165" s="137"/>
      <c r="EF165" s="137"/>
      <c r="EG165" s="137"/>
      <c r="EH165" s="137"/>
      <c r="EI165" s="137"/>
      <c r="EJ165" s="137"/>
      <c r="EK165" s="137"/>
      <c r="EL165" s="137"/>
      <c r="EM165" s="137"/>
      <c r="EN165" s="137"/>
      <c r="EO165" s="137"/>
      <c r="EP165" s="137"/>
      <c r="EQ165" s="137"/>
      <c r="ER165" s="137"/>
      <c r="ES165" s="137"/>
      <c r="ET165" s="137"/>
      <c r="EU165" s="137"/>
      <c r="EV165" s="137"/>
      <c r="EW165" s="137"/>
      <c r="EX165" s="137"/>
      <c r="EY165" s="137"/>
      <c r="EZ165" s="137"/>
      <c r="FA165" s="137"/>
      <c r="FB165" s="137"/>
      <c r="FC165" s="137"/>
      <c r="FD165" s="137"/>
      <c r="FE165" s="137"/>
      <c r="FF165" s="137"/>
      <c r="FG165" s="137"/>
      <c r="FH165" s="137"/>
      <c r="FI165" s="137"/>
      <c r="FJ165" s="137"/>
      <c r="FK165" s="137"/>
      <c r="FL165" s="137"/>
      <c r="FM165" s="137"/>
      <c r="FN165" s="137"/>
      <c r="FO165" s="137"/>
      <c r="FP165" s="137"/>
      <c r="FQ165" s="137"/>
      <c r="FR165" s="137"/>
      <c r="FS165" s="137"/>
      <c r="FT165" s="137"/>
      <c r="FU165" s="137"/>
      <c r="FV165" s="1"/>
      <c r="FW165" s="1"/>
      <c r="FX165" s="1"/>
      <c r="FY165" s="2"/>
      <c r="FZ165" s="2"/>
      <c r="GA165" s="2"/>
      <c r="GB165" s="2"/>
      <c r="GC165" s="2"/>
      <c r="GD165" s="2"/>
      <c r="GE165" s="2"/>
      <c r="GF165" s="2"/>
      <c r="GG165" s="2"/>
      <c r="GH165" s="1"/>
      <c r="GI165" s="1"/>
      <c r="GJ165" s="1"/>
      <c r="GK165" s="1"/>
      <c r="GL165" s="1"/>
      <c r="GM165" s="1"/>
      <c r="GN165" s="1"/>
      <c r="GO165" s="1"/>
      <c r="GP165" s="1"/>
    </row>
    <row r="166" spans="2:198" ht="23.25">
      <c r="B166" s="127" t="s">
        <v>166</v>
      </c>
      <c r="C166" s="128">
        <v>2.0533936900804837</v>
      </c>
      <c r="D166" s="128" t="s">
        <v>4</v>
      </c>
      <c r="E166" s="128">
        <v>2.632903320824072</v>
      </c>
      <c r="F166" s="128" t="s">
        <v>4</v>
      </c>
      <c r="G166" s="128">
        <v>2.3690823672142058</v>
      </c>
      <c r="H166" s="128" t="s">
        <v>4</v>
      </c>
      <c r="I166" s="128">
        <v>3.4957423719756182</v>
      </c>
      <c r="J166" s="128" t="s">
        <v>4</v>
      </c>
      <c r="K166" s="128">
        <v>3.6434491540961504</v>
      </c>
      <c r="L166" s="128" t="s">
        <v>4</v>
      </c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  <c r="BO166" s="137"/>
      <c r="BP166" s="137"/>
      <c r="BQ166" s="137"/>
      <c r="BR166" s="137"/>
      <c r="BS166" s="137"/>
      <c r="BT166" s="137"/>
      <c r="BU166" s="137"/>
      <c r="BV166" s="137"/>
      <c r="BW166" s="137"/>
      <c r="BX166" s="137"/>
      <c r="BY166" s="137"/>
      <c r="BZ166" s="137"/>
      <c r="CA166" s="137"/>
      <c r="CB166" s="137"/>
      <c r="CC166" s="137"/>
      <c r="CD166" s="137"/>
      <c r="CE166" s="137"/>
      <c r="CF166" s="137"/>
      <c r="CG166" s="137"/>
      <c r="CH166" s="137"/>
      <c r="CI166" s="137"/>
      <c r="CJ166" s="137"/>
      <c r="CK166" s="137"/>
      <c r="CL166" s="137"/>
      <c r="CM166" s="137"/>
      <c r="CN166" s="137"/>
      <c r="CO166" s="137"/>
      <c r="CP166" s="137"/>
      <c r="CQ166" s="137"/>
      <c r="CR166" s="137"/>
      <c r="CS166" s="137"/>
      <c r="CT166" s="137"/>
      <c r="CU166" s="137"/>
      <c r="CV166" s="137"/>
      <c r="CW166" s="137"/>
      <c r="CX166" s="137"/>
      <c r="CY166" s="137"/>
      <c r="CZ166" s="137"/>
      <c r="DA166" s="137"/>
      <c r="DB166" s="137"/>
      <c r="DC166" s="137"/>
      <c r="DD166" s="137"/>
      <c r="DE166" s="137"/>
      <c r="DF166" s="137"/>
      <c r="DG166" s="137"/>
      <c r="DH166" s="137"/>
      <c r="DI166" s="137"/>
      <c r="DJ166" s="137"/>
      <c r="DK166" s="137"/>
      <c r="DL166" s="137"/>
      <c r="DM166" s="137"/>
      <c r="DN166" s="137"/>
      <c r="DO166" s="137"/>
      <c r="DP166" s="137"/>
      <c r="DQ166" s="137"/>
      <c r="DR166" s="137"/>
      <c r="DS166" s="137"/>
      <c r="DT166" s="137"/>
      <c r="DU166" s="137"/>
      <c r="DV166" s="137"/>
      <c r="DW166" s="137"/>
      <c r="DX166" s="137"/>
      <c r="DY166" s="137"/>
      <c r="DZ166" s="137"/>
      <c r="EA166" s="137"/>
      <c r="EB166" s="137"/>
      <c r="EC166" s="137"/>
      <c r="ED166" s="137"/>
      <c r="EE166" s="137"/>
      <c r="EF166" s="137"/>
      <c r="EG166" s="137"/>
      <c r="EH166" s="137"/>
      <c r="EI166" s="137"/>
      <c r="EJ166" s="137"/>
      <c r="EK166" s="137"/>
      <c r="EL166" s="137"/>
      <c r="EM166" s="137"/>
      <c r="EN166" s="137"/>
      <c r="EO166" s="137"/>
      <c r="EP166" s="137"/>
      <c r="EQ166" s="137"/>
      <c r="ER166" s="137"/>
      <c r="ES166" s="137"/>
      <c r="ET166" s="137"/>
      <c r="EU166" s="137"/>
      <c r="EV166" s="137"/>
      <c r="EW166" s="137"/>
      <c r="EX166" s="137"/>
      <c r="EY166" s="137"/>
      <c r="EZ166" s="137"/>
      <c r="FA166" s="137"/>
      <c r="FB166" s="137"/>
      <c r="FC166" s="137"/>
      <c r="FD166" s="137"/>
      <c r="FE166" s="137"/>
      <c r="FF166" s="137"/>
      <c r="FG166" s="137"/>
      <c r="FH166" s="137"/>
      <c r="FI166" s="137"/>
      <c r="FJ166" s="137"/>
      <c r="FK166" s="137"/>
      <c r="FL166" s="137"/>
      <c r="FM166" s="137"/>
      <c r="FN166" s="137"/>
      <c r="FO166" s="137"/>
      <c r="FP166" s="137"/>
      <c r="FQ166" s="137"/>
      <c r="FR166" s="137"/>
      <c r="FS166" s="137"/>
      <c r="FT166" s="137"/>
      <c r="FU166" s="137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</row>
    <row r="167" spans="2:198" ht="23.25">
      <c r="B167" s="126" t="s">
        <v>167</v>
      </c>
      <c r="C167" s="129">
        <v>1.8685882579732402</v>
      </c>
      <c r="D167" s="129" t="s">
        <v>4</v>
      </c>
      <c r="E167" s="129">
        <v>2.448600088366387</v>
      </c>
      <c r="F167" s="129" t="s">
        <v>4</v>
      </c>
      <c r="G167" s="129">
        <v>2.2032466015092114</v>
      </c>
      <c r="H167" s="129" t="s">
        <v>4</v>
      </c>
      <c r="I167" s="129">
        <v>3.3709552533768372</v>
      </c>
      <c r="J167" s="129" t="s">
        <v>4</v>
      </c>
      <c r="K167" s="129">
        <v>3.424842204850381</v>
      </c>
      <c r="L167" s="129" t="s">
        <v>4</v>
      </c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  <c r="BO167" s="137"/>
      <c r="BP167" s="137"/>
      <c r="BQ167" s="137"/>
      <c r="BR167" s="137"/>
      <c r="BS167" s="137"/>
      <c r="BT167" s="137"/>
      <c r="BU167" s="137"/>
      <c r="BV167" s="137"/>
      <c r="BW167" s="137"/>
      <c r="BX167" s="137"/>
      <c r="BY167" s="137"/>
      <c r="BZ167" s="137"/>
      <c r="CA167" s="137"/>
      <c r="CB167" s="137"/>
      <c r="CC167" s="137"/>
      <c r="CD167" s="137"/>
      <c r="CE167" s="137"/>
      <c r="CF167" s="137"/>
      <c r="CG167" s="137"/>
      <c r="CH167" s="137"/>
      <c r="CI167" s="137"/>
      <c r="CJ167" s="137"/>
      <c r="CK167" s="137"/>
      <c r="CL167" s="137"/>
      <c r="CM167" s="137"/>
      <c r="CN167" s="137"/>
      <c r="CO167" s="137"/>
      <c r="CP167" s="137"/>
      <c r="CQ167" s="137"/>
      <c r="CR167" s="137"/>
      <c r="CS167" s="137"/>
      <c r="CT167" s="137"/>
      <c r="CU167" s="137"/>
      <c r="CV167" s="137"/>
      <c r="CW167" s="137"/>
      <c r="CX167" s="137"/>
      <c r="CY167" s="137"/>
      <c r="CZ167" s="137"/>
      <c r="DA167" s="137"/>
      <c r="DB167" s="137"/>
      <c r="DC167" s="137"/>
      <c r="DD167" s="137"/>
      <c r="DE167" s="137"/>
      <c r="DF167" s="137"/>
      <c r="DG167" s="137"/>
      <c r="DH167" s="137"/>
      <c r="DI167" s="137"/>
      <c r="DJ167" s="137"/>
      <c r="DK167" s="137"/>
      <c r="DL167" s="137"/>
      <c r="DM167" s="137"/>
      <c r="DN167" s="137"/>
      <c r="DO167" s="137"/>
      <c r="DP167" s="137"/>
      <c r="DQ167" s="137"/>
      <c r="DR167" s="137"/>
      <c r="DS167" s="137"/>
      <c r="DT167" s="137"/>
      <c r="DU167" s="137"/>
      <c r="DV167" s="137"/>
      <c r="DW167" s="137"/>
      <c r="DX167" s="137"/>
      <c r="DY167" s="137"/>
      <c r="DZ167" s="137"/>
      <c r="EA167" s="137"/>
      <c r="EB167" s="137"/>
      <c r="EC167" s="137"/>
      <c r="ED167" s="137"/>
      <c r="EE167" s="137"/>
      <c r="EF167" s="137"/>
      <c r="EG167" s="137"/>
      <c r="EH167" s="137"/>
      <c r="EI167" s="137"/>
      <c r="EJ167" s="137"/>
      <c r="EK167" s="137"/>
      <c r="EL167" s="137"/>
      <c r="EM167" s="137"/>
      <c r="EN167" s="137"/>
      <c r="EO167" s="137"/>
      <c r="EP167" s="137"/>
      <c r="EQ167" s="137"/>
      <c r="ER167" s="137"/>
      <c r="ES167" s="137"/>
      <c r="ET167" s="137"/>
      <c r="EU167" s="137"/>
      <c r="EV167" s="137"/>
      <c r="EW167" s="137"/>
      <c r="EX167" s="137"/>
      <c r="EY167" s="137"/>
      <c r="EZ167" s="137"/>
      <c r="FA167" s="137"/>
      <c r="FB167" s="137"/>
      <c r="FC167" s="137"/>
      <c r="FD167" s="137"/>
      <c r="FE167" s="137"/>
      <c r="FF167" s="137"/>
      <c r="FG167" s="137"/>
      <c r="FH167" s="137"/>
      <c r="FI167" s="137"/>
      <c r="FJ167" s="137"/>
      <c r="FK167" s="137"/>
      <c r="FL167" s="137"/>
      <c r="FM167" s="137"/>
      <c r="FN167" s="137"/>
      <c r="FO167" s="137"/>
      <c r="FP167" s="137"/>
      <c r="FQ167" s="137"/>
      <c r="FR167" s="137"/>
      <c r="FS167" s="137"/>
      <c r="FT167" s="137"/>
      <c r="FU167" s="137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 s="10"/>
      <c r="GM167" s="10"/>
      <c r="GN167" s="10"/>
      <c r="GO167" s="10"/>
      <c r="GP167" s="10"/>
    </row>
    <row r="168" spans="2:198" ht="23.25">
      <c r="B168" s="127" t="s">
        <v>168</v>
      </c>
      <c r="C168" s="128">
        <v>3.5129459249896917E-2</v>
      </c>
      <c r="D168" s="128" t="s">
        <v>193</v>
      </c>
      <c r="E168" s="128">
        <v>4.5543961643614794E-2</v>
      </c>
      <c r="F168" s="128" t="s">
        <v>193</v>
      </c>
      <c r="G168" s="128">
        <v>4.0099088147467647E-2</v>
      </c>
      <c r="H168" s="128" t="s">
        <v>193</v>
      </c>
      <c r="I168" s="128">
        <v>1.0431513856114585</v>
      </c>
      <c r="J168" s="128" t="s">
        <v>193</v>
      </c>
      <c r="K168" s="128">
        <v>6.2332128128276938E-2</v>
      </c>
      <c r="L168" s="128" t="s">
        <v>193</v>
      </c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  <c r="BO168" s="137"/>
      <c r="BP168" s="137"/>
      <c r="BQ168" s="137"/>
      <c r="BR168" s="137"/>
      <c r="BS168" s="137"/>
      <c r="BT168" s="137"/>
      <c r="BU168" s="137"/>
      <c r="BV168" s="137"/>
      <c r="BW168" s="137"/>
      <c r="BX168" s="137"/>
      <c r="BY168" s="137"/>
      <c r="BZ168" s="137"/>
      <c r="CA168" s="137"/>
      <c r="CB168" s="137"/>
      <c r="CC168" s="137"/>
      <c r="CD168" s="137"/>
      <c r="CE168" s="137"/>
      <c r="CF168" s="137"/>
      <c r="CG168" s="137"/>
      <c r="CH168" s="137"/>
      <c r="CI168" s="137"/>
      <c r="CJ168" s="137"/>
      <c r="CK168" s="137"/>
      <c r="CL168" s="137"/>
      <c r="CM168" s="137"/>
      <c r="CN168" s="137"/>
      <c r="CO168" s="137"/>
      <c r="CP168" s="137"/>
      <c r="CQ168" s="137"/>
      <c r="CR168" s="137"/>
      <c r="CS168" s="137"/>
      <c r="CT168" s="137"/>
      <c r="CU168" s="137"/>
      <c r="CV168" s="137"/>
      <c r="CW168" s="137"/>
      <c r="CX168" s="137"/>
      <c r="CY168" s="137"/>
      <c r="CZ168" s="137"/>
      <c r="DA168" s="137"/>
      <c r="DB168" s="137"/>
      <c r="DC168" s="137"/>
      <c r="DD168" s="137"/>
      <c r="DE168" s="137"/>
      <c r="DF168" s="137"/>
      <c r="DG168" s="137"/>
      <c r="DH168" s="137"/>
      <c r="DI168" s="137"/>
      <c r="DJ168" s="137"/>
      <c r="DK168" s="137"/>
      <c r="DL168" s="137"/>
      <c r="DM168" s="137"/>
      <c r="DN168" s="137"/>
      <c r="DO168" s="137"/>
      <c r="DP168" s="137"/>
      <c r="DQ168" s="137"/>
      <c r="DR168" s="137"/>
      <c r="DS168" s="137"/>
      <c r="DT168" s="137"/>
      <c r="DU168" s="137"/>
      <c r="DV168" s="137"/>
      <c r="DW168" s="137"/>
      <c r="DX168" s="137"/>
      <c r="DY168" s="137"/>
      <c r="DZ168" s="137"/>
      <c r="EA168" s="137"/>
      <c r="EB168" s="137"/>
      <c r="EC168" s="137"/>
      <c r="ED168" s="137"/>
      <c r="EE168" s="137"/>
      <c r="EF168" s="137"/>
      <c r="EG168" s="137"/>
      <c r="EH168" s="137"/>
      <c r="EI168" s="137"/>
      <c r="EJ168" s="137"/>
      <c r="EK168" s="137"/>
      <c r="EL168" s="137"/>
      <c r="EM168" s="137"/>
      <c r="EN168" s="137"/>
      <c r="EO168" s="137"/>
      <c r="EP168" s="137"/>
      <c r="EQ168" s="137"/>
      <c r="ER168" s="137"/>
      <c r="ES168" s="137"/>
      <c r="ET168" s="137"/>
      <c r="EU168" s="137"/>
      <c r="EV168" s="137"/>
      <c r="EW168" s="137"/>
      <c r="EX168" s="137"/>
      <c r="EY168" s="137"/>
      <c r="EZ168" s="137"/>
      <c r="FA168" s="137"/>
      <c r="FB168" s="137"/>
      <c r="FC168" s="137"/>
      <c r="FD168" s="137"/>
      <c r="FE168" s="137"/>
      <c r="FF168" s="137"/>
      <c r="FG168" s="137"/>
      <c r="FH168" s="137"/>
      <c r="FI168" s="137"/>
      <c r="FJ168" s="137"/>
      <c r="FK168" s="137"/>
      <c r="FL168" s="137"/>
      <c r="FM168" s="137"/>
      <c r="FN168" s="137"/>
      <c r="FO168" s="137"/>
      <c r="FP168" s="137"/>
      <c r="FQ168" s="137"/>
      <c r="FR168" s="137"/>
      <c r="FS168" s="137"/>
      <c r="FT168" s="137"/>
      <c r="FU168" s="137"/>
      <c r="FV168" s="1"/>
      <c r="FW168" s="1"/>
      <c r="FX168" s="1"/>
      <c r="FY168" s="2"/>
      <c r="FZ168" s="2"/>
      <c r="GA168" s="2"/>
      <c r="GB168" s="2"/>
      <c r="GC168" s="2"/>
      <c r="GD168" s="2"/>
      <c r="GE168" s="2"/>
      <c r="GF168" s="2"/>
      <c r="GG168" s="2"/>
      <c r="GH168" s="1"/>
      <c r="GI168" s="1"/>
      <c r="GJ168" s="1"/>
      <c r="GK168" s="1"/>
      <c r="GL168" s="1"/>
      <c r="GM168" s="1"/>
      <c r="GN168" s="1"/>
      <c r="GO168" s="1"/>
      <c r="GP168" s="1"/>
    </row>
    <row r="169" spans="2:198" ht="23.25">
      <c r="B169" s="126" t="s">
        <v>169</v>
      </c>
      <c r="C169" s="129">
        <v>3.2670397102404131E-2</v>
      </c>
      <c r="D169" s="129" t="s">
        <v>193</v>
      </c>
      <c r="E169" s="129">
        <v>4.1900444712125617E-2</v>
      </c>
      <c r="F169" s="129" t="s">
        <v>193</v>
      </c>
      <c r="G169" s="129">
        <v>3.8495124621568934E-2</v>
      </c>
      <c r="H169" s="129" t="s">
        <v>193</v>
      </c>
      <c r="I169" s="129">
        <v>1.0401307886186564</v>
      </c>
      <c r="J169" s="129" t="s">
        <v>193</v>
      </c>
      <c r="K169" s="129">
        <v>5.6098915315449249E-2</v>
      </c>
      <c r="L169" s="129" t="s">
        <v>193</v>
      </c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  <c r="BO169" s="137"/>
      <c r="BP169" s="137"/>
      <c r="BQ169" s="137"/>
      <c r="BR169" s="137"/>
      <c r="BS169" s="137"/>
      <c r="BT169" s="137"/>
      <c r="BU169" s="137"/>
      <c r="BV169" s="137"/>
      <c r="BW169" s="137"/>
      <c r="BX169" s="137"/>
      <c r="BY169" s="137"/>
      <c r="BZ169" s="137"/>
      <c r="CA169" s="137"/>
      <c r="CB169" s="137"/>
      <c r="CC169" s="137"/>
      <c r="CD169" s="137"/>
      <c r="CE169" s="137"/>
      <c r="CF169" s="137"/>
      <c r="CG169" s="137"/>
      <c r="CH169" s="137"/>
      <c r="CI169" s="137"/>
      <c r="CJ169" s="137"/>
      <c r="CK169" s="137"/>
      <c r="CL169" s="137"/>
      <c r="CM169" s="137"/>
      <c r="CN169" s="137"/>
      <c r="CO169" s="137"/>
      <c r="CP169" s="137"/>
      <c r="CQ169" s="137"/>
      <c r="CR169" s="137"/>
      <c r="CS169" s="137"/>
      <c r="CT169" s="137"/>
      <c r="CU169" s="137"/>
      <c r="CV169" s="137"/>
      <c r="CW169" s="137"/>
      <c r="CX169" s="137"/>
      <c r="CY169" s="137"/>
      <c r="CZ169" s="137"/>
      <c r="DA169" s="137"/>
      <c r="DB169" s="137"/>
      <c r="DC169" s="137"/>
      <c r="DD169" s="137"/>
      <c r="DE169" s="137"/>
      <c r="DF169" s="137"/>
      <c r="DG169" s="137"/>
      <c r="DH169" s="137"/>
      <c r="DI169" s="137"/>
      <c r="DJ169" s="137"/>
      <c r="DK169" s="137"/>
      <c r="DL169" s="137"/>
      <c r="DM169" s="137"/>
      <c r="DN169" s="137"/>
      <c r="DO169" s="137"/>
      <c r="DP169" s="137"/>
      <c r="DQ169" s="137"/>
      <c r="DR169" s="137"/>
      <c r="DS169" s="137"/>
      <c r="DT169" s="137"/>
      <c r="DU169" s="137"/>
      <c r="DV169" s="137"/>
      <c r="DW169" s="137"/>
      <c r="DX169" s="137"/>
      <c r="DY169" s="137"/>
      <c r="DZ169" s="137"/>
      <c r="EA169" s="137"/>
      <c r="EB169" s="137"/>
      <c r="EC169" s="137"/>
      <c r="ED169" s="137"/>
      <c r="EE169" s="137"/>
      <c r="EF169" s="137"/>
      <c r="EG169" s="137"/>
      <c r="EH169" s="137"/>
      <c r="EI169" s="137"/>
      <c r="EJ169" s="137"/>
      <c r="EK169" s="137"/>
      <c r="EL169" s="137"/>
      <c r="EM169" s="137"/>
      <c r="EN169" s="137"/>
      <c r="EO169" s="137"/>
      <c r="EP169" s="137"/>
      <c r="EQ169" s="137"/>
      <c r="ER169" s="137"/>
      <c r="ES169" s="137"/>
      <c r="ET169" s="137"/>
      <c r="EU169" s="137"/>
      <c r="EV169" s="137"/>
      <c r="EW169" s="137"/>
      <c r="EX169" s="137"/>
      <c r="EY169" s="137"/>
      <c r="EZ169" s="137"/>
      <c r="FA169" s="137"/>
      <c r="FB169" s="137"/>
      <c r="FC169" s="137"/>
      <c r="FD169" s="137"/>
      <c r="FE169" s="137"/>
      <c r="FF169" s="137"/>
      <c r="FG169" s="137"/>
      <c r="FH169" s="137"/>
      <c r="FI169" s="137"/>
      <c r="FJ169" s="137"/>
      <c r="FK169" s="137"/>
      <c r="FL169" s="137"/>
      <c r="FM169" s="137"/>
      <c r="FN169" s="137"/>
      <c r="FO169" s="137"/>
      <c r="FP169" s="137"/>
      <c r="FQ169" s="137"/>
      <c r="FR169" s="137"/>
      <c r="FS169" s="137"/>
      <c r="FT169" s="137"/>
      <c r="FU169" s="137"/>
      <c r="FV169" s="1"/>
      <c r="FW169" s="1"/>
      <c r="FX169" s="1"/>
      <c r="FY169" s="2"/>
      <c r="FZ169" s="2"/>
      <c r="GA169" s="2"/>
      <c r="GB169" s="2"/>
      <c r="GC169" s="2"/>
      <c r="GD169" s="2"/>
      <c r="GE169" s="2"/>
      <c r="GF169" s="2"/>
      <c r="GG169" s="2"/>
      <c r="GH169" s="1"/>
      <c r="GI169" s="1"/>
      <c r="GJ169" s="1"/>
      <c r="GK169" s="1"/>
      <c r="GL169" s="1"/>
      <c r="GM169" s="1"/>
      <c r="GN169" s="1"/>
      <c r="GO169" s="1"/>
      <c r="GP169" s="1"/>
    </row>
    <row r="170" spans="2:198" ht="23.25">
      <c r="B170" s="127" t="s">
        <v>170</v>
      </c>
      <c r="C170" s="128">
        <v>1.5518438623641961</v>
      </c>
      <c r="D170" s="128" t="s">
        <v>4</v>
      </c>
      <c r="E170" s="128">
        <v>1.9274204567577784</v>
      </c>
      <c r="F170" s="128" t="s">
        <v>4</v>
      </c>
      <c r="G170" s="128">
        <v>1.8670135441460933</v>
      </c>
      <c r="H170" s="128" t="s">
        <v>4</v>
      </c>
      <c r="I170" s="128">
        <v>2.846016276458192</v>
      </c>
      <c r="J170" s="128" t="s">
        <v>4</v>
      </c>
      <c r="K170" s="128">
        <v>2.6366490198261148</v>
      </c>
      <c r="L170" s="128" t="s">
        <v>4</v>
      </c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  <c r="BO170" s="137"/>
      <c r="BP170" s="137"/>
      <c r="BQ170" s="137"/>
      <c r="BR170" s="137"/>
      <c r="BS170" s="137"/>
      <c r="BT170" s="137"/>
      <c r="BU170" s="137"/>
      <c r="BV170" s="137"/>
      <c r="BW170" s="137"/>
      <c r="BX170" s="137"/>
      <c r="BY170" s="137"/>
      <c r="BZ170" s="137"/>
      <c r="CA170" s="137"/>
      <c r="CB170" s="137"/>
      <c r="CC170" s="137"/>
      <c r="CD170" s="137"/>
      <c r="CE170" s="137"/>
      <c r="CF170" s="137"/>
      <c r="CG170" s="137"/>
      <c r="CH170" s="137"/>
      <c r="CI170" s="137"/>
      <c r="CJ170" s="137"/>
      <c r="CK170" s="137"/>
      <c r="CL170" s="137"/>
      <c r="CM170" s="137"/>
      <c r="CN170" s="137"/>
      <c r="CO170" s="137"/>
      <c r="CP170" s="137"/>
      <c r="CQ170" s="137"/>
      <c r="CR170" s="137"/>
      <c r="CS170" s="137"/>
      <c r="CT170" s="137"/>
      <c r="CU170" s="137"/>
      <c r="CV170" s="137"/>
      <c r="CW170" s="137"/>
      <c r="CX170" s="137"/>
      <c r="CY170" s="137"/>
      <c r="CZ170" s="137"/>
      <c r="DA170" s="137"/>
      <c r="DB170" s="137"/>
      <c r="DC170" s="137"/>
      <c r="DD170" s="137"/>
      <c r="DE170" s="137"/>
      <c r="DF170" s="137"/>
      <c r="DG170" s="137"/>
      <c r="DH170" s="137"/>
      <c r="DI170" s="137"/>
      <c r="DJ170" s="137"/>
      <c r="DK170" s="137"/>
      <c r="DL170" s="137"/>
      <c r="DM170" s="137"/>
      <c r="DN170" s="137"/>
      <c r="DO170" s="137"/>
      <c r="DP170" s="137"/>
      <c r="DQ170" s="137"/>
      <c r="DR170" s="137"/>
      <c r="DS170" s="137"/>
      <c r="DT170" s="137"/>
      <c r="DU170" s="137"/>
      <c r="DV170" s="137"/>
      <c r="DW170" s="137"/>
      <c r="DX170" s="137"/>
      <c r="DY170" s="137"/>
      <c r="DZ170" s="137"/>
      <c r="EA170" s="137"/>
      <c r="EB170" s="137"/>
      <c r="EC170" s="137"/>
      <c r="ED170" s="137"/>
      <c r="EE170" s="137"/>
      <c r="EF170" s="137"/>
      <c r="EG170" s="137"/>
      <c r="EH170" s="137"/>
      <c r="EI170" s="137"/>
      <c r="EJ170" s="137"/>
      <c r="EK170" s="137"/>
      <c r="EL170" s="137"/>
      <c r="EM170" s="137"/>
      <c r="EN170" s="137"/>
      <c r="EO170" s="137"/>
      <c r="EP170" s="137"/>
      <c r="EQ170" s="137"/>
      <c r="ER170" s="137"/>
      <c r="ES170" s="137"/>
      <c r="ET170" s="137"/>
      <c r="EU170" s="137"/>
      <c r="EV170" s="137"/>
      <c r="EW170" s="137"/>
      <c r="EX170" s="137"/>
      <c r="EY170" s="137"/>
      <c r="EZ170" s="137"/>
      <c r="FA170" s="137"/>
      <c r="FB170" s="137"/>
      <c r="FC170" s="137"/>
      <c r="FD170" s="137"/>
      <c r="FE170" s="137"/>
      <c r="FF170" s="137"/>
      <c r="FG170" s="137"/>
      <c r="FH170" s="137"/>
      <c r="FI170" s="137"/>
      <c r="FJ170" s="137"/>
      <c r="FK170" s="137"/>
      <c r="FL170" s="137"/>
      <c r="FM170" s="137"/>
      <c r="FN170" s="137"/>
      <c r="FO170" s="137"/>
      <c r="FP170" s="137"/>
      <c r="FQ170" s="137"/>
      <c r="FR170" s="137"/>
      <c r="FS170" s="137"/>
      <c r="FT170" s="137"/>
      <c r="FU170" s="137"/>
      <c r="FV170" s="1"/>
      <c r="FW170" s="1"/>
      <c r="FX170" s="1"/>
      <c r="FY170" s="2"/>
      <c r="FZ170" s="2"/>
      <c r="GA170" s="2"/>
      <c r="GB170" s="2"/>
      <c r="GC170" s="2"/>
      <c r="GD170" s="2"/>
      <c r="GE170" s="2"/>
      <c r="GF170" s="2"/>
      <c r="GG170" s="2"/>
      <c r="GH170" s="1"/>
      <c r="GI170" s="1"/>
      <c r="GJ170" s="1"/>
      <c r="GK170" s="1"/>
      <c r="GL170" s="1"/>
      <c r="GM170" s="1"/>
      <c r="GN170" s="1"/>
      <c r="GO170" s="1"/>
      <c r="GP170" s="1"/>
    </row>
    <row r="171" spans="2:198" ht="23.25">
      <c r="B171" s="126" t="s">
        <v>171</v>
      </c>
      <c r="C171" s="129">
        <v>2.9174664612446888E-2</v>
      </c>
      <c r="D171" s="129" t="s">
        <v>193</v>
      </c>
      <c r="E171" s="129">
        <v>3.6235504587046233E-2</v>
      </c>
      <c r="F171" s="129" t="s">
        <v>193</v>
      </c>
      <c r="G171" s="129">
        <v>3.5846660047604992E-2</v>
      </c>
      <c r="H171" s="129" t="s">
        <v>193</v>
      </c>
      <c r="I171" s="129">
        <v>1.0354435125079973</v>
      </c>
      <c r="J171" s="129" t="s">
        <v>193</v>
      </c>
      <c r="K171" s="129">
        <v>5.062366118066141E-2</v>
      </c>
      <c r="L171" s="129" t="s">
        <v>193</v>
      </c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  <c r="BO171" s="137"/>
      <c r="BP171" s="137"/>
      <c r="BQ171" s="137"/>
      <c r="BR171" s="137"/>
      <c r="BS171" s="137"/>
      <c r="BT171" s="137"/>
      <c r="BU171" s="137"/>
      <c r="BV171" s="137"/>
      <c r="BW171" s="137"/>
      <c r="BX171" s="137"/>
      <c r="BY171" s="137"/>
      <c r="BZ171" s="137"/>
      <c r="CA171" s="137"/>
      <c r="CB171" s="137"/>
      <c r="CC171" s="137"/>
      <c r="CD171" s="137"/>
      <c r="CE171" s="137"/>
      <c r="CF171" s="137"/>
      <c r="CG171" s="137"/>
      <c r="CH171" s="137"/>
      <c r="CI171" s="137"/>
      <c r="CJ171" s="137"/>
      <c r="CK171" s="137"/>
      <c r="CL171" s="137"/>
      <c r="CM171" s="137"/>
      <c r="CN171" s="137"/>
      <c r="CO171" s="137"/>
      <c r="CP171" s="137"/>
      <c r="CQ171" s="137"/>
      <c r="CR171" s="137"/>
      <c r="CS171" s="137"/>
      <c r="CT171" s="137"/>
      <c r="CU171" s="137"/>
      <c r="CV171" s="137"/>
      <c r="CW171" s="137"/>
      <c r="CX171" s="137"/>
      <c r="CY171" s="137"/>
      <c r="CZ171" s="137"/>
      <c r="DA171" s="137"/>
      <c r="DB171" s="137"/>
      <c r="DC171" s="137"/>
      <c r="DD171" s="137"/>
      <c r="DE171" s="137"/>
      <c r="DF171" s="137"/>
      <c r="DG171" s="137"/>
      <c r="DH171" s="137"/>
      <c r="DI171" s="137"/>
      <c r="DJ171" s="137"/>
      <c r="DK171" s="137"/>
      <c r="DL171" s="137"/>
      <c r="DM171" s="137"/>
      <c r="DN171" s="137"/>
      <c r="DO171" s="137"/>
      <c r="DP171" s="137"/>
      <c r="DQ171" s="137"/>
      <c r="DR171" s="137"/>
      <c r="DS171" s="137"/>
      <c r="DT171" s="137"/>
      <c r="DU171" s="137"/>
      <c r="DV171" s="137"/>
      <c r="DW171" s="137"/>
      <c r="DX171" s="137"/>
      <c r="DY171" s="137"/>
      <c r="DZ171" s="137"/>
      <c r="EA171" s="137"/>
      <c r="EB171" s="137"/>
      <c r="EC171" s="137"/>
      <c r="ED171" s="137"/>
      <c r="EE171" s="137"/>
      <c r="EF171" s="137"/>
      <c r="EG171" s="137"/>
      <c r="EH171" s="137"/>
      <c r="EI171" s="137"/>
      <c r="EJ171" s="137"/>
      <c r="EK171" s="137"/>
      <c r="EL171" s="137"/>
      <c r="EM171" s="137"/>
      <c r="EN171" s="137"/>
      <c r="EO171" s="137"/>
      <c r="EP171" s="137"/>
      <c r="EQ171" s="137"/>
      <c r="ER171" s="137"/>
      <c r="ES171" s="137"/>
      <c r="ET171" s="137"/>
      <c r="EU171" s="137"/>
      <c r="EV171" s="137"/>
      <c r="EW171" s="137"/>
      <c r="EX171" s="137"/>
      <c r="EY171" s="137"/>
      <c r="EZ171" s="137"/>
      <c r="FA171" s="137"/>
      <c r="FB171" s="137"/>
      <c r="FC171" s="137"/>
      <c r="FD171" s="137"/>
      <c r="FE171" s="137"/>
      <c r="FF171" s="137"/>
      <c r="FG171" s="137"/>
      <c r="FH171" s="137"/>
      <c r="FI171" s="137"/>
      <c r="FJ171" s="137"/>
      <c r="FK171" s="137"/>
      <c r="FL171" s="137"/>
      <c r="FM171" s="137"/>
      <c r="FN171" s="137"/>
      <c r="FO171" s="137"/>
      <c r="FP171" s="137"/>
      <c r="FQ171" s="137"/>
      <c r="FR171" s="137"/>
      <c r="FS171" s="137"/>
      <c r="FT171" s="137"/>
      <c r="FU171" s="137"/>
      <c r="FV171" s="1"/>
      <c r="FW171" s="1"/>
      <c r="FX171" s="1"/>
      <c r="FY171" s="2"/>
      <c r="FZ171" s="2"/>
      <c r="GA171" s="2"/>
      <c r="GB171" s="2"/>
      <c r="GC171" s="2"/>
      <c r="GD171" s="2"/>
      <c r="GE171" s="2"/>
      <c r="GF171" s="2"/>
      <c r="GG171" s="2"/>
      <c r="GH171" s="1"/>
      <c r="GI171" s="1"/>
      <c r="GJ171" s="1"/>
      <c r="GK171" s="1"/>
      <c r="GL171" s="1"/>
      <c r="GM171" s="1"/>
      <c r="GN171" s="1"/>
      <c r="GO171" s="1"/>
      <c r="GP171" s="1"/>
    </row>
    <row r="172" spans="2:198" ht="23.25">
      <c r="B172" s="127" t="s">
        <v>172</v>
      </c>
      <c r="C172" s="128">
        <v>2.8007678027949009E-2</v>
      </c>
      <c r="D172" s="128" t="s">
        <v>193</v>
      </c>
      <c r="E172" s="128">
        <v>3.4786084403564385E-2</v>
      </c>
      <c r="F172" s="128" t="s">
        <v>193</v>
      </c>
      <c r="G172" s="128">
        <v>3.4412793645700789E-2</v>
      </c>
      <c r="H172" s="128" t="s">
        <v>193</v>
      </c>
      <c r="I172" s="128">
        <v>1.0343802071327572</v>
      </c>
      <c r="J172" s="128" t="s">
        <v>193</v>
      </c>
      <c r="K172" s="128">
        <v>4.7586241509821728E-2</v>
      </c>
      <c r="L172" s="128" t="s">
        <v>193</v>
      </c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  <c r="BO172" s="137"/>
      <c r="BP172" s="137"/>
      <c r="BQ172" s="137"/>
      <c r="BR172" s="137"/>
      <c r="BS172" s="137"/>
      <c r="BT172" s="137"/>
      <c r="BU172" s="137"/>
      <c r="BV172" s="137"/>
      <c r="BW172" s="137"/>
      <c r="BX172" s="137"/>
      <c r="BY172" s="137"/>
      <c r="BZ172" s="137"/>
      <c r="CA172" s="137"/>
      <c r="CB172" s="137"/>
      <c r="CC172" s="137"/>
      <c r="CD172" s="137"/>
      <c r="CE172" s="137"/>
      <c r="CF172" s="137"/>
      <c r="CG172" s="137"/>
      <c r="CH172" s="137"/>
      <c r="CI172" s="137"/>
      <c r="CJ172" s="137"/>
      <c r="CK172" s="137"/>
      <c r="CL172" s="137"/>
      <c r="CM172" s="137"/>
      <c r="CN172" s="137"/>
      <c r="CO172" s="137"/>
      <c r="CP172" s="137"/>
      <c r="CQ172" s="137"/>
      <c r="CR172" s="137"/>
      <c r="CS172" s="137"/>
      <c r="CT172" s="137"/>
      <c r="CU172" s="137"/>
      <c r="CV172" s="137"/>
      <c r="CW172" s="137"/>
      <c r="CX172" s="137"/>
      <c r="CY172" s="137"/>
      <c r="CZ172" s="137"/>
      <c r="DA172" s="137"/>
      <c r="DB172" s="137"/>
      <c r="DC172" s="137"/>
      <c r="DD172" s="137"/>
      <c r="DE172" s="137"/>
      <c r="DF172" s="137"/>
      <c r="DG172" s="137"/>
      <c r="DH172" s="137"/>
      <c r="DI172" s="137"/>
      <c r="DJ172" s="137"/>
      <c r="DK172" s="137"/>
      <c r="DL172" s="137"/>
      <c r="DM172" s="137"/>
      <c r="DN172" s="137"/>
      <c r="DO172" s="137"/>
      <c r="DP172" s="137"/>
      <c r="DQ172" s="137"/>
      <c r="DR172" s="137"/>
      <c r="DS172" s="137"/>
      <c r="DT172" s="137"/>
      <c r="DU172" s="137"/>
      <c r="DV172" s="137"/>
      <c r="DW172" s="137"/>
      <c r="DX172" s="137"/>
      <c r="DY172" s="137"/>
      <c r="DZ172" s="137"/>
      <c r="EA172" s="137"/>
      <c r="EB172" s="137"/>
      <c r="EC172" s="137"/>
      <c r="ED172" s="137"/>
      <c r="EE172" s="137"/>
      <c r="EF172" s="137"/>
      <c r="EG172" s="137"/>
      <c r="EH172" s="137"/>
      <c r="EI172" s="137"/>
      <c r="EJ172" s="137"/>
      <c r="EK172" s="137"/>
      <c r="EL172" s="137"/>
      <c r="EM172" s="137"/>
      <c r="EN172" s="137"/>
      <c r="EO172" s="137"/>
      <c r="EP172" s="137"/>
      <c r="EQ172" s="137"/>
      <c r="ER172" s="137"/>
      <c r="ES172" s="137"/>
      <c r="ET172" s="137"/>
      <c r="EU172" s="137"/>
      <c r="EV172" s="137"/>
      <c r="EW172" s="137"/>
      <c r="EX172" s="137"/>
      <c r="EY172" s="137"/>
      <c r="EZ172" s="137"/>
      <c r="FA172" s="137"/>
      <c r="FB172" s="137"/>
      <c r="FC172" s="137"/>
      <c r="FD172" s="137"/>
      <c r="FE172" s="137"/>
      <c r="FF172" s="137"/>
      <c r="FG172" s="137"/>
      <c r="FH172" s="137"/>
      <c r="FI172" s="137"/>
      <c r="FJ172" s="137"/>
      <c r="FK172" s="137"/>
      <c r="FL172" s="137"/>
      <c r="FM172" s="137"/>
      <c r="FN172" s="137"/>
      <c r="FO172" s="137"/>
      <c r="FP172" s="137"/>
      <c r="FQ172" s="137"/>
      <c r="FR172" s="137"/>
      <c r="FS172" s="137"/>
      <c r="FT172" s="137"/>
      <c r="FU172" s="137"/>
      <c r="FV172" s="1"/>
      <c r="FW172" s="1"/>
      <c r="FX172" s="1"/>
      <c r="FY172" s="2"/>
      <c r="FZ172" s="2"/>
      <c r="GA172" s="2"/>
      <c r="GB172" s="2"/>
      <c r="GC172" s="2"/>
      <c r="GD172" s="2"/>
      <c r="GE172" s="2"/>
      <c r="GF172" s="2"/>
      <c r="GG172" s="2"/>
      <c r="GH172" s="1"/>
      <c r="GI172" s="1"/>
      <c r="GJ172" s="1"/>
      <c r="GK172" s="1"/>
      <c r="GL172" s="1"/>
      <c r="GM172" s="1"/>
      <c r="GN172" s="1"/>
      <c r="GO172" s="1"/>
      <c r="GP172" s="1"/>
    </row>
    <row r="173" spans="2:198" ht="34.5">
      <c r="B173" s="126" t="s">
        <v>173</v>
      </c>
      <c r="C173" s="129">
        <v>1.3443685453415524</v>
      </c>
      <c r="D173" s="129" t="s">
        <v>4</v>
      </c>
      <c r="E173" s="129">
        <v>1.6697320513710903</v>
      </c>
      <c r="F173" s="129" t="s">
        <v>4</v>
      </c>
      <c r="G173" s="129">
        <v>1.5657821108793859</v>
      </c>
      <c r="H173" s="129" t="s">
        <v>4</v>
      </c>
      <c r="I173" s="129">
        <v>2.5471093209740809</v>
      </c>
      <c r="J173" s="129" t="s">
        <v>4</v>
      </c>
      <c r="K173" s="129">
        <v>2.1413808679419777</v>
      </c>
      <c r="L173" s="129" t="s">
        <v>4</v>
      </c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  <c r="BO173" s="137"/>
      <c r="BP173" s="137"/>
      <c r="BQ173" s="137"/>
      <c r="BR173" s="137"/>
      <c r="BS173" s="137"/>
      <c r="BT173" s="137"/>
      <c r="BU173" s="137"/>
      <c r="BV173" s="137"/>
      <c r="BW173" s="137"/>
      <c r="BX173" s="137"/>
      <c r="BY173" s="137"/>
      <c r="BZ173" s="137"/>
      <c r="CA173" s="137"/>
      <c r="CB173" s="137"/>
      <c r="CC173" s="137"/>
      <c r="CD173" s="137"/>
      <c r="CE173" s="137"/>
      <c r="CF173" s="137"/>
      <c r="CG173" s="137"/>
      <c r="CH173" s="137"/>
      <c r="CI173" s="137"/>
      <c r="CJ173" s="137"/>
      <c r="CK173" s="137"/>
      <c r="CL173" s="137"/>
      <c r="CM173" s="137"/>
      <c r="CN173" s="137"/>
      <c r="CO173" s="137"/>
      <c r="CP173" s="137"/>
      <c r="CQ173" s="137"/>
      <c r="CR173" s="137"/>
      <c r="CS173" s="137"/>
      <c r="CT173" s="137"/>
      <c r="CU173" s="137"/>
      <c r="CV173" s="137"/>
      <c r="CW173" s="137"/>
      <c r="CX173" s="137"/>
      <c r="CY173" s="137"/>
      <c r="CZ173" s="137"/>
      <c r="DA173" s="137"/>
      <c r="DB173" s="137"/>
      <c r="DC173" s="137"/>
      <c r="DD173" s="137"/>
      <c r="DE173" s="137"/>
      <c r="DF173" s="137"/>
      <c r="DG173" s="137"/>
      <c r="DH173" s="137"/>
      <c r="DI173" s="137"/>
      <c r="DJ173" s="137"/>
      <c r="DK173" s="137"/>
      <c r="DL173" s="137"/>
      <c r="DM173" s="137"/>
      <c r="DN173" s="137"/>
      <c r="DO173" s="137"/>
      <c r="DP173" s="137"/>
      <c r="DQ173" s="137"/>
      <c r="DR173" s="137"/>
      <c r="DS173" s="137"/>
      <c r="DT173" s="137"/>
      <c r="DU173" s="137"/>
      <c r="DV173" s="137"/>
      <c r="DW173" s="137"/>
      <c r="DX173" s="137"/>
      <c r="DY173" s="137"/>
      <c r="DZ173" s="137"/>
      <c r="EA173" s="137"/>
      <c r="EB173" s="137"/>
      <c r="EC173" s="137"/>
      <c r="ED173" s="137"/>
      <c r="EE173" s="137"/>
      <c r="EF173" s="137"/>
      <c r="EG173" s="137"/>
      <c r="EH173" s="137"/>
      <c r="EI173" s="137"/>
      <c r="EJ173" s="137"/>
      <c r="EK173" s="137"/>
      <c r="EL173" s="137"/>
      <c r="EM173" s="137"/>
      <c r="EN173" s="137"/>
      <c r="EO173" s="137"/>
      <c r="EP173" s="137"/>
      <c r="EQ173" s="137"/>
      <c r="ER173" s="137"/>
      <c r="ES173" s="137"/>
      <c r="ET173" s="137"/>
      <c r="EU173" s="137"/>
      <c r="EV173" s="137"/>
      <c r="EW173" s="137"/>
      <c r="EX173" s="137"/>
      <c r="EY173" s="137"/>
      <c r="EZ173" s="137"/>
      <c r="FA173" s="137"/>
      <c r="FB173" s="137"/>
      <c r="FC173" s="137"/>
      <c r="FD173" s="137"/>
      <c r="FE173" s="137"/>
      <c r="FF173" s="137"/>
      <c r="FG173" s="137"/>
      <c r="FH173" s="137"/>
      <c r="FI173" s="137"/>
      <c r="FJ173" s="137"/>
      <c r="FK173" s="137"/>
      <c r="FL173" s="137"/>
      <c r="FM173" s="137"/>
      <c r="FN173" s="137"/>
      <c r="FO173" s="137"/>
      <c r="FP173" s="137"/>
      <c r="FQ173" s="137"/>
      <c r="FR173" s="137"/>
      <c r="FS173" s="137"/>
      <c r="FT173" s="137"/>
      <c r="FU173" s="137"/>
      <c r="FV173" s="1"/>
      <c r="FW173" s="1"/>
      <c r="FX173" s="1"/>
      <c r="FY173" s="2"/>
      <c r="FZ173" s="2"/>
      <c r="GA173" s="2"/>
      <c r="GB173" s="2"/>
      <c r="GC173" s="2"/>
      <c r="GD173" s="2"/>
      <c r="GE173" s="2"/>
      <c r="GF173" s="2"/>
      <c r="GG173" s="2"/>
      <c r="GH173" s="1"/>
      <c r="GI173" s="1"/>
      <c r="GJ173" s="1"/>
      <c r="GK173" s="1"/>
      <c r="GL173" s="1"/>
      <c r="GM173" s="1"/>
      <c r="GN173" s="1"/>
      <c r="GO173" s="1"/>
      <c r="GP173" s="1"/>
    </row>
    <row r="174" spans="2:198">
      <c r="B174" s="127" t="s">
        <v>174</v>
      </c>
      <c r="C174" s="128">
        <v>1.2637064326210592</v>
      </c>
      <c r="D174" s="128" t="s">
        <v>4</v>
      </c>
      <c r="E174" s="128">
        <v>1.5027588462339814</v>
      </c>
      <c r="F174" s="128" t="s">
        <v>4</v>
      </c>
      <c r="G174" s="128">
        <v>1.5188086475530043</v>
      </c>
      <c r="H174" s="128" t="s">
        <v>4</v>
      </c>
      <c r="I174" s="128">
        <v>2.4388116685058954</v>
      </c>
      <c r="J174" s="128" t="s">
        <v>4</v>
      </c>
      <c r="K174" s="128">
        <v>1.9272427811477799</v>
      </c>
      <c r="L174" s="128" t="s">
        <v>4</v>
      </c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  <c r="BO174" s="137"/>
      <c r="BP174" s="137"/>
      <c r="BQ174" s="137"/>
      <c r="BR174" s="137"/>
      <c r="BS174" s="137"/>
      <c r="BT174" s="137"/>
      <c r="BU174" s="137"/>
      <c r="BV174" s="137"/>
      <c r="BW174" s="137"/>
      <c r="BX174" s="137"/>
      <c r="BY174" s="137"/>
      <c r="BZ174" s="137"/>
      <c r="CA174" s="137"/>
      <c r="CB174" s="137"/>
      <c r="CC174" s="137"/>
      <c r="CD174" s="137"/>
      <c r="CE174" s="137"/>
      <c r="CF174" s="137"/>
      <c r="CG174" s="137"/>
      <c r="CH174" s="137"/>
      <c r="CI174" s="137"/>
      <c r="CJ174" s="137"/>
      <c r="CK174" s="137"/>
      <c r="CL174" s="137"/>
      <c r="CM174" s="137"/>
      <c r="CN174" s="137"/>
      <c r="CO174" s="137"/>
      <c r="CP174" s="137"/>
      <c r="CQ174" s="137"/>
      <c r="CR174" s="137"/>
      <c r="CS174" s="137"/>
      <c r="CT174" s="137"/>
      <c r="CU174" s="137"/>
      <c r="CV174" s="137"/>
      <c r="CW174" s="137"/>
      <c r="CX174" s="137"/>
      <c r="CY174" s="137"/>
      <c r="CZ174" s="137"/>
      <c r="DA174" s="137"/>
      <c r="DB174" s="137"/>
      <c r="DC174" s="137"/>
      <c r="DD174" s="137"/>
      <c r="DE174" s="137"/>
      <c r="DF174" s="137"/>
      <c r="DG174" s="137"/>
      <c r="DH174" s="137"/>
      <c r="DI174" s="137"/>
      <c r="DJ174" s="137"/>
      <c r="DK174" s="137"/>
      <c r="DL174" s="137"/>
      <c r="DM174" s="137"/>
      <c r="DN174" s="137"/>
      <c r="DO174" s="137"/>
      <c r="DP174" s="137"/>
      <c r="DQ174" s="137"/>
      <c r="DR174" s="137"/>
      <c r="DS174" s="137"/>
      <c r="DT174" s="137"/>
      <c r="DU174" s="137"/>
      <c r="DV174" s="137"/>
      <c r="DW174" s="137"/>
      <c r="DX174" s="137"/>
      <c r="DY174" s="137"/>
      <c r="DZ174" s="137"/>
      <c r="EA174" s="137"/>
      <c r="EB174" s="137"/>
      <c r="EC174" s="137"/>
      <c r="ED174" s="137"/>
      <c r="EE174" s="137"/>
      <c r="EF174" s="137"/>
      <c r="EG174" s="137"/>
      <c r="EH174" s="137"/>
      <c r="EI174" s="137"/>
      <c r="EJ174" s="137"/>
      <c r="EK174" s="137"/>
      <c r="EL174" s="137"/>
      <c r="EM174" s="137"/>
      <c r="EN174" s="137"/>
      <c r="EO174" s="137"/>
      <c r="EP174" s="137"/>
      <c r="EQ174" s="137"/>
      <c r="ER174" s="137"/>
      <c r="ES174" s="137"/>
      <c r="ET174" s="137"/>
      <c r="EU174" s="137"/>
      <c r="EV174" s="137"/>
      <c r="EW174" s="137"/>
      <c r="EX174" s="137"/>
      <c r="EY174" s="137"/>
      <c r="EZ174" s="137"/>
      <c r="FA174" s="137"/>
      <c r="FB174" s="137"/>
      <c r="FC174" s="137"/>
      <c r="FD174" s="137"/>
      <c r="FE174" s="137"/>
      <c r="FF174" s="137"/>
      <c r="FG174" s="137"/>
      <c r="FH174" s="137"/>
      <c r="FI174" s="137"/>
      <c r="FJ174" s="137"/>
      <c r="FK174" s="137"/>
      <c r="FL174" s="137"/>
      <c r="FM174" s="137"/>
      <c r="FN174" s="137"/>
      <c r="FO174" s="137"/>
      <c r="FP174" s="137"/>
      <c r="FQ174" s="137"/>
      <c r="FR174" s="137"/>
      <c r="FS174" s="137"/>
      <c r="FT174" s="137"/>
      <c r="FU174" s="137"/>
      <c r="FV174" s="1"/>
      <c r="FW174" s="1"/>
      <c r="FX174" s="1"/>
      <c r="FY174" s="2"/>
      <c r="FZ174" s="2"/>
      <c r="GA174" s="2"/>
      <c r="GB174" s="2"/>
      <c r="GC174" s="2"/>
      <c r="GD174" s="2"/>
      <c r="GE174" s="2"/>
      <c r="GF174" s="2"/>
      <c r="GG174" s="2"/>
      <c r="GH174" s="1"/>
      <c r="GI174" s="1"/>
      <c r="GJ174" s="1"/>
      <c r="GK174" s="1"/>
      <c r="GL174" s="1"/>
      <c r="GM174" s="1"/>
      <c r="GN174" s="1"/>
      <c r="GO174" s="1"/>
      <c r="GP174" s="1"/>
    </row>
    <row r="175" spans="2:198" ht="34.5">
      <c r="B175" s="126" t="s">
        <v>175</v>
      </c>
      <c r="C175" s="129">
        <v>1.1752469823375851</v>
      </c>
      <c r="D175" s="129" t="s">
        <v>4</v>
      </c>
      <c r="E175" s="129">
        <v>1.3524829616105833</v>
      </c>
      <c r="F175" s="129" t="s">
        <v>4</v>
      </c>
      <c r="G175" s="129">
        <v>1.4276801286998242</v>
      </c>
      <c r="H175" s="129" t="s">
        <v>4</v>
      </c>
      <c r="I175" s="129">
        <v>2.366871085080601</v>
      </c>
      <c r="J175" s="129" t="s">
        <v>4</v>
      </c>
      <c r="K175" s="129">
        <v>1.7923357864674352</v>
      </c>
      <c r="L175" s="129" t="s">
        <v>4</v>
      </c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  <c r="BO175" s="137"/>
      <c r="BP175" s="137"/>
      <c r="BQ175" s="137"/>
      <c r="BR175" s="137"/>
      <c r="BS175" s="137"/>
      <c r="BT175" s="137"/>
      <c r="BU175" s="137"/>
      <c r="BV175" s="137"/>
      <c r="BW175" s="137"/>
      <c r="BX175" s="137"/>
      <c r="BY175" s="137"/>
      <c r="BZ175" s="137"/>
      <c r="CA175" s="137"/>
      <c r="CB175" s="137"/>
      <c r="CC175" s="137"/>
      <c r="CD175" s="137"/>
      <c r="CE175" s="137"/>
      <c r="CF175" s="137"/>
      <c r="CG175" s="137"/>
      <c r="CH175" s="137"/>
      <c r="CI175" s="137"/>
      <c r="CJ175" s="137"/>
      <c r="CK175" s="137"/>
      <c r="CL175" s="137"/>
      <c r="CM175" s="137"/>
      <c r="CN175" s="137"/>
      <c r="CO175" s="137"/>
      <c r="CP175" s="137"/>
      <c r="CQ175" s="137"/>
      <c r="CR175" s="137"/>
      <c r="CS175" s="137"/>
      <c r="CT175" s="137"/>
      <c r="CU175" s="137"/>
      <c r="CV175" s="137"/>
      <c r="CW175" s="137"/>
      <c r="CX175" s="137"/>
      <c r="CY175" s="137"/>
      <c r="CZ175" s="137"/>
      <c r="DA175" s="137"/>
      <c r="DB175" s="137"/>
      <c r="DC175" s="137"/>
      <c r="DD175" s="137"/>
      <c r="DE175" s="137"/>
      <c r="DF175" s="137"/>
      <c r="DG175" s="137"/>
      <c r="DH175" s="137"/>
      <c r="DI175" s="137"/>
      <c r="DJ175" s="137"/>
      <c r="DK175" s="137"/>
      <c r="DL175" s="137"/>
      <c r="DM175" s="137"/>
      <c r="DN175" s="137"/>
      <c r="DO175" s="137"/>
      <c r="DP175" s="137"/>
      <c r="DQ175" s="137"/>
      <c r="DR175" s="137"/>
      <c r="DS175" s="137"/>
      <c r="DT175" s="137"/>
      <c r="DU175" s="137"/>
      <c r="DV175" s="137"/>
      <c r="DW175" s="137"/>
      <c r="DX175" s="137"/>
      <c r="DY175" s="137"/>
      <c r="DZ175" s="137"/>
      <c r="EA175" s="137"/>
      <c r="EB175" s="137"/>
      <c r="EC175" s="137"/>
      <c r="ED175" s="137"/>
      <c r="EE175" s="137"/>
      <c r="EF175" s="137"/>
      <c r="EG175" s="137"/>
      <c r="EH175" s="137"/>
      <c r="EI175" s="137"/>
      <c r="EJ175" s="137"/>
      <c r="EK175" s="137"/>
      <c r="EL175" s="137"/>
      <c r="EM175" s="137"/>
      <c r="EN175" s="137"/>
      <c r="EO175" s="137"/>
      <c r="EP175" s="137"/>
      <c r="EQ175" s="137"/>
      <c r="ER175" s="137"/>
      <c r="ES175" s="137"/>
      <c r="ET175" s="137"/>
      <c r="EU175" s="137"/>
      <c r="EV175" s="137"/>
      <c r="EW175" s="137"/>
      <c r="EX175" s="137"/>
      <c r="EY175" s="137"/>
      <c r="EZ175" s="137"/>
      <c r="FA175" s="137"/>
      <c r="FB175" s="137"/>
      <c r="FC175" s="137"/>
      <c r="FD175" s="137"/>
      <c r="FE175" s="137"/>
      <c r="FF175" s="137"/>
      <c r="FG175" s="137"/>
      <c r="FH175" s="137"/>
      <c r="FI175" s="137"/>
      <c r="FJ175" s="137"/>
      <c r="FK175" s="137"/>
      <c r="FL175" s="137"/>
      <c r="FM175" s="137"/>
      <c r="FN175" s="137"/>
      <c r="FO175" s="137"/>
      <c r="FP175" s="137"/>
      <c r="FQ175" s="137"/>
      <c r="FR175" s="137"/>
      <c r="FS175" s="137"/>
      <c r="FT175" s="137"/>
      <c r="FU175" s="137"/>
      <c r="FV175" s="1"/>
      <c r="FW175" s="1"/>
      <c r="FX175" s="1"/>
      <c r="FY175" s="2"/>
      <c r="FZ175" s="2"/>
      <c r="GA175" s="2"/>
      <c r="GB175" s="2"/>
      <c r="GC175" s="2"/>
      <c r="GD175" s="2"/>
      <c r="GE175" s="2"/>
      <c r="GF175" s="2"/>
      <c r="GG175" s="2"/>
      <c r="GH175" s="1"/>
      <c r="GI175" s="1"/>
      <c r="GJ175" s="1"/>
      <c r="GK175" s="1"/>
      <c r="GL175" s="1"/>
      <c r="GM175" s="1"/>
      <c r="GN175" s="1"/>
      <c r="GO175" s="1"/>
      <c r="GP175" s="1"/>
    </row>
    <row r="176" spans="2:198">
      <c r="B176" s="127" t="s">
        <v>176</v>
      </c>
      <c r="C176" s="128">
        <v>1.1282371030440816</v>
      </c>
      <c r="D176" s="128" t="s">
        <v>4</v>
      </c>
      <c r="E176" s="128">
        <v>1.2848588135300543</v>
      </c>
      <c r="F176" s="128" t="s">
        <v>4</v>
      </c>
      <c r="G176" s="128">
        <v>1.3277425196908366</v>
      </c>
      <c r="H176" s="128" t="s">
        <v>4</v>
      </c>
      <c r="I176" s="128">
        <v>2.3121962416773769</v>
      </c>
      <c r="J176" s="128" t="s">
        <v>4</v>
      </c>
      <c r="K176" s="128">
        <v>1.6668722814147148</v>
      </c>
      <c r="L176" s="128" t="s">
        <v>4</v>
      </c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  <c r="BO176" s="137"/>
      <c r="BP176" s="137"/>
      <c r="BQ176" s="137"/>
      <c r="BR176" s="137"/>
      <c r="BS176" s="137"/>
      <c r="BT176" s="137"/>
      <c r="BU176" s="137"/>
      <c r="BV176" s="137"/>
      <c r="BW176" s="137"/>
      <c r="BX176" s="137"/>
      <c r="BY176" s="137"/>
      <c r="BZ176" s="137"/>
      <c r="CA176" s="137"/>
      <c r="CB176" s="137"/>
      <c r="CC176" s="137"/>
      <c r="CD176" s="137"/>
      <c r="CE176" s="137"/>
      <c r="CF176" s="137"/>
      <c r="CG176" s="137"/>
      <c r="CH176" s="137"/>
      <c r="CI176" s="137"/>
      <c r="CJ176" s="137"/>
      <c r="CK176" s="137"/>
      <c r="CL176" s="137"/>
      <c r="CM176" s="137"/>
      <c r="CN176" s="137"/>
      <c r="CO176" s="137"/>
      <c r="CP176" s="137"/>
      <c r="CQ176" s="137"/>
      <c r="CR176" s="137"/>
      <c r="CS176" s="137"/>
      <c r="CT176" s="137"/>
      <c r="CU176" s="137"/>
      <c r="CV176" s="137"/>
      <c r="CW176" s="137"/>
      <c r="CX176" s="137"/>
      <c r="CY176" s="137"/>
      <c r="CZ176" s="137"/>
      <c r="DA176" s="137"/>
      <c r="DB176" s="137"/>
      <c r="DC176" s="137"/>
      <c r="DD176" s="137"/>
      <c r="DE176" s="137"/>
      <c r="DF176" s="137"/>
      <c r="DG176" s="137"/>
      <c r="DH176" s="137"/>
      <c r="DI176" s="137"/>
      <c r="DJ176" s="137"/>
      <c r="DK176" s="137"/>
      <c r="DL176" s="137"/>
      <c r="DM176" s="137"/>
      <c r="DN176" s="137"/>
      <c r="DO176" s="137"/>
      <c r="DP176" s="137"/>
      <c r="DQ176" s="137"/>
      <c r="DR176" s="137"/>
      <c r="DS176" s="137"/>
      <c r="DT176" s="137"/>
      <c r="DU176" s="137"/>
      <c r="DV176" s="137"/>
      <c r="DW176" s="137"/>
      <c r="DX176" s="137"/>
      <c r="DY176" s="137"/>
      <c r="DZ176" s="137"/>
      <c r="EA176" s="137"/>
      <c r="EB176" s="137"/>
      <c r="EC176" s="137"/>
      <c r="ED176" s="137"/>
      <c r="EE176" s="137"/>
      <c r="EF176" s="137"/>
      <c r="EG176" s="137"/>
      <c r="EH176" s="137"/>
      <c r="EI176" s="137"/>
      <c r="EJ176" s="137"/>
      <c r="EK176" s="137"/>
      <c r="EL176" s="137"/>
      <c r="EM176" s="137"/>
      <c r="EN176" s="137"/>
      <c r="EO176" s="137"/>
      <c r="EP176" s="137"/>
      <c r="EQ176" s="137"/>
      <c r="ER176" s="137"/>
      <c r="ES176" s="137"/>
      <c r="ET176" s="137"/>
      <c r="EU176" s="137"/>
      <c r="EV176" s="137"/>
      <c r="EW176" s="137"/>
      <c r="EX176" s="137"/>
      <c r="EY176" s="137"/>
      <c r="EZ176" s="137"/>
      <c r="FA176" s="137"/>
      <c r="FB176" s="137"/>
      <c r="FC176" s="137"/>
      <c r="FD176" s="137"/>
      <c r="FE176" s="137"/>
      <c r="FF176" s="137"/>
      <c r="FG176" s="137"/>
      <c r="FH176" s="137"/>
      <c r="FI176" s="137"/>
      <c r="FJ176" s="137"/>
      <c r="FK176" s="137"/>
      <c r="FL176" s="137"/>
      <c r="FM176" s="137"/>
      <c r="FN176" s="137"/>
      <c r="FO176" s="137"/>
      <c r="FP176" s="137"/>
      <c r="FQ176" s="137"/>
      <c r="FR176" s="137"/>
      <c r="FS176" s="137"/>
      <c r="FT176" s="137"/>
      <c r="FU176" s="137"/>
      <c r="FV176" s="1"/>
      <c r="FW176" s="1"/>
      <c r="FX176" s="1"/>
      <c r="FY176" s="2"/>
      <c r="FZ176" s="2"/>
      <c r="GA176" s="2"/>
      <c r="GB176" s="2"/>
      <c r="GC176" s="2"/>
      <c r="GD176" s="2"/>
      <c r="GE176" s="2"/>
      <c r="GF176" s="2"/>
      <c r="GG176" s="2"/>
      <c r="GH176" s="1"/>
      <c r="GI176" s="1"/>
      <c r="GJ176" s="1"/>
      <c r="GK176" s="1"/>
      <c r="GL176" s="1"/>
      <c r="GM176" s="1"/>
      <c r="GN176" s="1"/>
      <c r="GO176" s="1"/>
      <c r="GP176" s="1"/>
    </row>
    <row r="177" spans="2:198">
      <c r="B177" s="126" t="s">
        <v>177</v>
      </c>
      <c r="C177" s="129">
        <v>1.0154133927396736</v>
      </c>
      <c r="D177" s="129" t="s">
        <v>4</v>
      </c>
      <c r="E177" s="129">
        <v>1.2206158728535517</v>
      </c>
      <c r="F177" s="129" t="s">
        <v>4</v>
      </c>
      <c r="G177" s="129">
        <v>1.2613553937062947</v>
      </c>
      <c r="H177" s="129" t="s">
        <v>4</v>
      </c>
      <c r="I177" s="129">
        <v>2.194098579926413</v>
      </c>
      <c r="J177" s="129" t="s">
        <v>4</v>
      </c>
      <c r="K177" s="129">
        <v>1.6168661129722732</v>
      </c>
      <c r="L177" s="129" t="s">
        <v>4</v>
      </c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  <c r="BO177" s="137"/>
      <c r="BP177" s="137"/>
      <c r="BQ177" s="137"/>
      <c r="BR177" s="137"/>
      <c r="BS177" s="137"/>
      <c r="BT177" s="137"/>
      <c r="BU177" s="137"/>
      <c r="BV177" s="137"/>
      <c r="BW177" s="137"/>
      <c r="BX177" s="137"/>
      <c r="BY177" s="137"/>
      <c r="BZ177" s="137"/>
      <c r="CA177" s="137"/>
      <c r="CB177" s="137"/>
      <c r="CC177" s="137"/>
      <c r="CD177" s="137"/>
      <c r="CE177" s="137"/>
      <c r="CF177" s="137"/>
      <c r="CG177" s="137"/>
      <c r="CH177" s="137"/>
      <c r="CI177" s="137"/>
      <c r="CJ177" s="137"/>
      <c r="CK177" s="137"/>
      <c r="CL177" s="137"/>
      <c r="CM177" s="137"/>
      <c r="CN177" s="137"/>
      <c r="CO177" s="137"/>
      <c r="CP177" s="137"/>
      <c r="CQ177" s="137"/>
      <c r="CR177" s="137"/>
      <c r="CS177" s="137"/>
      <c r="CT177" s="137"/>
      <c r="CU177" s="137"/>
      <c r="CV177" s="137"/>
      <c r="CW177" s="137"/>
      <c r="CX177" s="137"/>
      <c r="CY177" s="137"/>
      <c r="CZ177" s="137"/>
      <c r="DA177" s="137"/>
      <c r="DB177" s="137"/>
      <c r="DC177" s="137"/>
      <c r="DD177" s="137"/>
      <c r="DE177" s="137"/>
      <c r="DF177" s="137"/>
      <c r="DG177" s="137"/>
      <c r="DH177" s="137"/>
      <c r="DI177" s="137"/>
      <c r="DJ177" s="137"/>
      <c r="DK177" s="137"/>
      <c r="DL177" s="137"/>
      <c r="DM177" s="137"/>
      <c r="DN177" s="137"/>
      <c r="DO177" s="137"/>
      <c r="DP177" s="137"/>
      <c r="DQ177" s="137"/>
      <c r="DR177" s="137"/>
      <c r="DS177" s="137"/>
      <c r="DT177" s="137"/>
      <c r="DU177" s="137"/>
      <c r="DV177" s="137"/>
      <c r="DW177" s="137"/>
      <c r="DX177" s="137"/>
      <c r="DY177" s="137"/>
      <c r="DZ177" s="137"/>
      <c r="EA177" s="137"/>
      <c r="EB177" s="137"/>
      <c r="EC177" s="137"/>
      <c r="ED177" s="137"/>
      <c r="EE177" s="137"/>
      <c r="EF177" s="137"/>
      <c r="EG177" s="137"/>
      <c r="EH177" s="137"/>
      <c r="EI177" s="137"/>
      <c r="EJ177" s="137"/>
      <c r="EK177" s="137"/>
      <c r="EL177" s="137"/>
      <c r="EM177" s="137"/>
      <c r="EN177" s="137"/>
      <c r="EO177" s="137"/>
      <c r="EP177" s="137"/>
      <c r="EQ177" s="137"/>
      <c r="ER177" s="137"/>
      <c r="ES177" s="137"/>
      <c r="ET177" s="137"/>
      <c r="EU177" s="137"/>
      <c r="EV177" s="137"/>
      <c r="EW177" s="137"/>
      <c r="EX177" s="137"/>
      <c r="EY177" s="137"/>
      <c r="EZ177" s="137"/>
      <c r="FA177" s="137"/>
      <c r="FB177" s="137"/>
      <c r="FC177" s="137"/>
      <c r="FD177" s="137"/>
      <c r="FE177" s="137"/>
      <c r="FF177" s="137"/>
      <c r="FG177" s="137"/>
      <c r="FH177" s="137"/>
      <c r="FI177" s="137"/>
      <c r="FJ177" s="137"/>
      <c r="FK177" s="137"/>
      <c r="FL177" s="137"/>
      <c r="FM177" s="137"/>
      <c r="FN177" s="137"/>
      <c r="FO177" s="137"/>
      <c r="FP177" s="137"/>
      <c r="FQ177" s="137"/>
      <c r="FR177" s="137"/>
      <c r="FS177" s="137"/>
      <c r="FT177" s="137"/>
      <c r="FU177" s="137"/>
      <c r="FV177" s="1"/>
      <c r="FW177" s="1"/>
      <c r="FX177" s="1"/>
      <c r="FY177" s="2"/>
      <c r="FZ177" s="2"/>
      <c r="GA177" s="2"/>
      <c r="GB177" s="2"/>
      <c r="GC177" s="2"/>
      <c r="GD177" s="2"/>
      <c r="GE177" s="2"/>
      <c r="GF177" s="2"/>
      <c r="GG177" s="2"/>
      <c r="GH177" s="1"/>
      <c r="GI177" s="1"/>
      <c r="GJ177" s="1"/>
      <c r="GK177" s="1"/>
      <c r="GL177" s="1"/>
      <c r="GM177" s="1"/>
      <c r="GN177" s="1"/>
      <c r="GO177" s="1"/>
      <c r="GP177" s="1"/>
    </row>
    <row r="178" spans="2:198" ht="23.25">
      <c r="B178" s="127" t="s">
        <v>178</v>
      </c>
      <c r="C178" s="128">
        <v>1.9495937140601733E-2</v>
      </c>
      <c r="D178" s="128" t="s">
        <v>193</v>
      </c>
      <c r="E178" s="128">
        <v>2.3679947933358904E-2</v>
      </c>
      <c r="F178" s="128" t="s">
        <v>193</v>
      </c>
      <c r="G178" s="128">
        <v>2.3713481401678341E-2</v>
      </c>
      <c r="H178" s="128" t="s">
        <v>193</v>
      </c>
      <c r="I178" s="128">
        <v>1.0219714138706459</v>
      </c>
      <c r="J178" s="128" t="s">
        <v>193</v>
      </c>
      <c r="K178" s="128">
        <v>3.0073709701284281E-2</v>
      </c>
      <c r="L178" s="128" t="s">
        <v>193</v>
      </c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  <c r="BV178" s="137"/>
      <c r="BW178" s="137"/>
      <c r="BX178" s="137"/>
      <c r="BY178" s="137"/>
      <c r="BZ178" s="137"/>
      <c r="CA178" s="137"/>
      <c r="CB178" s="137"/>
      <c r="CC178" s="137"/>
      <c r="CD178" s="137"/>
      <c r="CE178" s="137"/>
      <c r="CF178" s="137"/>
      <c r="CG178" s="137"/>
      <c r="CH178" s="137"/>
      <c r="CI178" s="137"/>
      <c r="CJ178" s="137"/>
      <c r="CK178" s="137"/>
      <c r="CL178" s="137"/>
      <c r="CM178" s="137"/>
      <c r="CN178" s="137"/>
      <c r="CO178" s="137"/>
      <c r="CP178" s="137"/>
      <c r="CQ178" s="137"/>
      <c r="CR178" s="137"/>
      <c r="CS178" s="137"/>
      <c r="CT178" s="137"/>
      <c r="CU178" s="137"/>
      <c r="CV178" s="137"/>
      <c r="CW178" s="137"/>
      <c r="CX178" s="137"/>
      <c r="CY178" s="137"/>
      <c r="CZ178" s="137"/>
      <c r="DA178" s="137"/>
      <c r="DB178" s="137"/>
      <c r="DC178" s="137"/>
      <c r="DD178" s="137"/>
      <c r="DE178" s="137"/>
      <c r="DF178" s="137"/>
      <c r="DG178" s="137"/>
      <c r="DH178" s="137"/>
      <c r="DI178" s="137"/>
      <c r="DJ178" s="137"/>
      <c r="DK178" s="137"/>
      <c r="DL178" s="137"/>
      <c r="DM178" s="137"/>
      <c r="DN178" s="137"/>
      <c r="DO178" s="137"/>
      <c r="DP178" s="137"/>
      <c r="DQ178" s="137"/>
      <c r="DR178" s="137"/>
      <c r="DS178" s="137"/>
      <c r="DT178" s="137"/>
      <c r="DU178" s="137"/>
      <c r="DV178" s="137"/>
      <c r="DW178" s="137"/>
      <c r="DX178" s="137"/>
      <c r="DY178" s="137"/>
      <c r="DZ178" s="137"/>
      <c r="EA178" s="137"/>
      <c r="EB178" s="137"/>
      <c r="EC178" s="137"/>
      <c r="ED178" s="137"/>
      <c r="EE178" s="137"/>
      <c r="EF178" s="137"/>
      <c r="EG178" s="137"/>
      <c r="EH178" s="137"/>
      <c r="EI178" s="137"/>
      <c r="EJ178" s="137"/>
      <c r="EK178" s="137"/>
      <c r="EL178" s="137"/>
      <c r="EM178" s="137"/>
      <c r="EN178" s="137"/>
      <c r="EO178" s="137"/>
      <c r="EP178" s="137"/>
      <c r="EQ178" s="137"/>
      <c r="ER178" s="137"/>
      <c r="ES178" s="137"/>
      <c r="ET178" s="137"/>
      <c r="EU178" s="137"/>
      <c r="EV178" s="137"/>
      <c r="EW178" s="137"/>
      <c r="EX178" s="137"/>
      <c r="EY178" s="137"/>
      <c r="EZ178" s="137"/>
      <c r="FA178" s="137"/>
      <c r="FB178" s="137"/>
      <c r="FC178" s="137"/>
      <c r="FD178" s="137"/>
      <c r="FE178" s="137"/>
      <c r="FF178" s="137"/>
      <c r="FG178" s="137"/>
      <c r="FH178" s="137"/>
      <c r="FI178" s="137"/>
      <c r="FJ178" s="137"/>
      <c r="FK178" s="137"/>
      <c r="FL178" s="137"/>
      <c r="FM178" s="137"/>
      <c r="FN178" s="137"/>
      <c r="FO178" s="137"/>
      <c r="FP178" s="137"/>
      <c r="FQ178" s="137"/>
      <c r="FR178" s="137"/>
      <c r="FS178" s="137"/>
      <c r="FT178" s="137"/>
      <c r="FU178" s="137"/>
      <c r="FV178" s="1"/>
      <c r="FW178" s="1"/>
      <c r="FX178" s="1"/>
      <c r="FY178" s="2"/>
      <c r="FZ178" s="2"/>
      <c r="GA178" s="2"/>
      <c r="GB178" s="2"/>
      <c r="GC178" s="2"/>
      <c r="GD178" s="2"/>
      <c r="GE178" s="2"/>
      <c r="GF178" s="2"/>
      <c r="GG178" s="2"/>
      <c r="GH178" s="1"/>
      <c r="GI178" s="1"/>
      <c r="GJ178" s="1"/>
      <c r="GK178" s="1"/>
      <c r="GL178" s="1"/>
      <c r="GM178" s="1"/>
      <c r="GN178" s="1"/>
      <c r="GO178" s="1"/>
      <c r="GP178" s="1"/>
    </row>
    <row r="179" spans="2:198" ht="34.5">
      <c r="B179" s="126" t="s">
        <v>179</v>
      </c>
      <c r="C179" s="131">
        <v>0.8870651398973789</v>
      </c>
      <c r="D179" s="131" t="s">
        <v>4</v>
      </c>
      <c r="E179" s="131">
        <v>1.1247975268345478</v>
      </c>
      <c r="F179" s="131" t="s">
        <v>4</v>
      </c>
      <c r="G179" s="131">
        <v>1.0789634037763645</v>
      </c>
      <c r="H179" s="131" t="s">
        <v>4</v>
      </c>
      <c r="I179" s="131">
        <v>2.0216707449850388</v>
      </c>
      <c r="J179" s="131" t="s">
        <v>4</v>
      </c>
      <c r="K179" s="131">
        <v>1.3984275011097191</v>
      </c>
      <c r="L179" s="131" t="s">
        <v>4</v>
      </c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  <c r="BO179" s="137"/>
      <c r="BP179" s="137"/>
      <c r="BQ179" s="137"/>
      <c r="BR179" s="137"/>
      <c r="BS179" s="137"/>
      <c r="BT179" s="137"/>
      <c r="BU179" s="137"/>
      <c r="BV179" s="137"/>
      <c r="BW179" s="137"/>
      <c r="BX179" s="137"/>
      <c r="BY179" s="137"/>
      <c r="BZ179" s="137"/>
      <c r="CA179" s="137"/>
      <c r="CB179" s="137"/>
      <c r="CC179" s="137"/>
      <c r="CD179" s="137"/>
      <c r="CE179" s="137"/>
      <c r="CF179" s="137"/>
      <c r="CG179" s="137"/>
      <c r="CH179" s="137"/>
      <c r="CI179" s="137"/>
      <c r="CJ179" s="137"/>
      <c r="CK179" s="137"/>
      <c r="CL179" s="137"/>
      <c r="CM179" s="137"/>
      <c r="CN179" s="137"/>
      <c r="CO179" s="137"/>
      <c r="CP179" s="137"/>
      <c r="CQ179" s="137"/>
      <c r="CR179" s="137"/>
      <c r="CS179" s="137"/>
      <c r="CT179" s="137"/>
      <c r="CU179" s="137"/>
      <c r="CV179" s="137"/>
      <c r="CW179" s="137"/>
      <c r="CX179" s="137"/>
      <c r="CY179" s="137"/>
      <c r="CZ179" s="137"/>
      <c r="DA179" s="137"/>
      <c r="DB179" s="137"/>
      <c r="DC179" s="137"/>
      <c r="DD179" s="137"/>
      <c r="DE179" s="137"/>
      <c r="DF179" s="137"/>
      <c r="DG179" s="137"/>
      <c r="DH179" s="137"/>
      <c r="DI179" s="137"/>
      <c r="DJ179" s="137"/>
      <c r="DK179" s="137"/>
      <c r="DL179" s="137"/>
      <c r="DM179" s="137"/>
      <c r="DN179" s="137"/>
      <c r="DO179" s="137"/>
      <c r="DP179" s="137"/>
      <c r="DQ179" s="137"/>
      <c r="DR179" s="137"/>
      <c r="DS179" s="137"/>
      <c r="DT179" s="137"/>
      <c r="DU179" s="137"/>
      <c r="DV179" s="137"/>
      <c r="DW179" s="137"/>
      <c r="DX179" s="137"/>
      <c r="DY179" s="137"/>
      <c r="DZ179" s="137"/>
      <c r="EA179" s="137"/>
      <c r="EB179" s="137"/>
      <c r="EC179" s="137"/>
      <c r="ED179" s="137"/>
      <c r="EE179" s="137"/>
      <c r="EF179" s="137"/>
      <c r="EG179" s="137"/>
      <c r="EH179" s="137"/>
      <c r="EI179" s="137"/>
      <c r="EJ179" s="137"/>
      <c r="EK179" s="137"/>
      <c r="EL179" s="137"/>
      <c r="EM179" s="137"/>
      <c r="EN179" s="137"/>
      <c r="EO179" s="137"/>
      <c r="EP179" s="137"/>
      <c r="EQ179" s="137"/>
      <c r="ER179" s="137"/>
      <c r="ES179" s="137"/>
      <c r="ET179" s="137"/>
      <c r="EU179" s="137"/>
      <c r="EV179" s="137"/>
      <c r="EW179" s="137"/>
      <c r="EX179" s="137"/>
      <c r="EY179" s="137"/>
      <c r="EZ179" s="137"/>
      <c r="FA179" s="137"/>
      <c r="FB179" s="137"/>
      <c r="FC179" s="137"/>
      <c r="FD179" s="137"/>
      <c r="FE179" s="137"/>
      <c r="FF179" s="137"/>
      <c r="FG179" s="137"/>
      <c r="FH179" s="137"/>
      <c r="FI179" s="137"/>
      <c r="FJ179" s="137"/>
      <c r="FK179" s="137"/>
      <c r="FL179" s="137"/>
      <c r="FM179" s="137"/>
      <c r="FN179" s="137"/>
      <c r="FO179" s="137"/>
      <c r="FP179" s="137"/>
      <c r="FQ179" s="137"/>
      <c r="FR179" s="137"/>
      <c r="FS179" s="137"/>
      <c r="FT179" s="137"/>
      <c r="FU179" s="137"/>
      <c r="FV179" s="1"/>
      <c r="FW179" s="1"/>
      <c r="FX179" s="1"/>
      <c r="FY179" s="2"/>
      <c r="FZ179" s="2"/>
      <c r="GA179" s="2"/>
      <c r="GB179" s="2"/>
      <c r="GC179" s="2"/>
      <c r="GD179" s="2"/>
      <c r="GE179" s="2"/>
      <c r="GF179" s="2"/>
      <c r="GG179" s="2"/>
      <c r="GH179" s="1"/>
      <c r="GI179" s="1"/>
      <c r="GJ179" s="1"/>
      <c r="GK179" s="1"/>
      <c r="GL179" s="1"/>
      <c r="GM179" s="1"/>
      <c r="GN179" s="1"/>
      <c r="GO179" s="1"/>
      <c r="GP179" s="1"/>
    </row>
    <row r="180" spans="2:198" ht="23.25">
      <c r="B180" s="127" t="s">
        <v>180</v>
      </c>
      <c r="C180" s="128">
        <v>1.7209063714009151E-2</v>
      </c>
      <c r="D180" s="128" t="s">
        <v>193</v>
      </c>
      <c r="E180" s="128">
        <v>2.159611251522332E-2</v>
      </c>
      <c r="F180" s="128" t="s">
        <v>193</v>
      </c>
      <c r="G180" s="128">
        <v>1.9852926629485106E-2</v>
      </c>
      <c r="H180" s="128" t="s">
        <v>193</v>
      </c>
      <c r="I180" s="128">
        <v>1.0183900734097306</v>
      </c>
      <c r="J180" s="128" t="s">
        <v>193</v>
      </c>
      <c r="K180" s="128">
        <v>2.7129493521528554E-2</v>
      </c>
      <c r="L180" s="128" t="s">
        <v>193</v>
      </c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  <c r="BV180" s="137"/>
      <c r="BW180" s="137"/>
      <c r="BX180" s="137"/>
      <c r="BY180" s="137"/>
      <c r="BZ180" s="137"/>
      <c r="CA180" s="137"/>
      <c r="CB180" s="137"/>
      <c r="CC180" s="137"/>
      <c r="CD180" s="137"/>
      <c r="CE180" s="137"/>
      <c r="CF180" s="137"/>
      <c r="CG180" s="137"/>
      <c r="CH180" s="137"/>
      <c r="CI180" s="137"/>
      <c r="CJ180" s="137"/>
      <c r="CK180" s="137"/>
      <c r="CL180" s="137"/>
      <c r="CM180" s="137"/>
      <c r="CN180" s="137"/>
      <c r="CO180" s="137"/>
      <c r="CP180" s="137"/>
      <c r="CQ180" s="137"/>
      <c r="CR180" s="137"/>
      <c r="CS180" s="137"/>
      <c r="CT180" s="137"/>
      <c r="CU180" s="137"/>
      <c r="CV180" s="137"/>
      <c r="CW180" s="137"/>
      <c r="CX180" s="137"/>
      <c r="CY180" s="137"/>
      <c r="CZ180" s="137"/>
      <c r="DA180" s="137"/>
      <c r="DB180" s="137"/>
      <c r="DC180" s="137"/>
      <c r="DD180" s="137"/>
      <c r="DE180" s="137"/>
      <c r="DF180" s="137"/>
      <c r="DG180" s="137"/>
      <c r="DH180" s="137"/>
      <c r="DI180" s="137"/>
      <c r="DJ180" s="137"/>
      <c r="DK180" s="137"/>
      <c r="DL180" s="137"/>
      <c r="DM180" s="137"/>
      <c r="DN180" s="137"/>
      <c r="DO180" s="137"/>
      <c r="DP180" s="137"/>
      <c r="DQ180" s="137"/>
      <c r="DR180" s="137"/>
      <c r="DS180" s="137"/>
      <c r="DT180" s="137"/>
      <c r="DU180" s="137"/>
      <c r="DV180" s="137"/>
      <c r="DW180" s="137"/>
      <c r="DX180" s="137"/>
      <c r="DY180" s="137"/>
      <c r="DZ180" s="137"/>
      <c r="EA180" s="137"/>
      <c r="EB180" s="137"/>
      <c r="EC180" s="137"/>
      <c r="ED180" s="137"/>
      <c r="EE180" s="137"/>
      <c r="EF180" s="137"/>
      <c r="EG180" s="137"/>
      <c r="EH180" s="137"/>
      <c r="EI180" s="137"/>
      <c r="EJ180" s="137"/>
      <c r="EK180" s="137"/>
      <c r="EL180" s="137"/>
      <c r="EM180" s="137"/>
      <c r="EN180" s="137"/>
      <c r="EO180" s="137"/>
      <c r="EP180" s="137"/>
      <c r="EQ180" s="137"/>
      <c r="ER180" s="137"/>
      <c r="ES180" s="137"/>
      <c r="ET180" s="137"/>
      <c r="EU180" s="137"/>
      <c r="EV180" s="137"/>
      <c r="EW180" s="137"/>
      <c r="EX180" s="137"/>
      <c r="EY180" s="137"/>
      <c r="EZ180" s="137"/>
      <c r="FA180" s="137"/>
      <c r="FB180" s="137"/>
      <c r="FC180" s="137"/>
      <c r="FD180" s="137"/>
      <c r="FE180" s="137"/>
      <c r="FF180" s="137"/>
      <c r="FG180" s="137"/>
      <c r="FH180" s="137"/>
      <c r="FI180" s="137"/>
      <c r="FJ180" s="137"/>
      <c r="FK180" s="137"/>
      <c r="FL180" s="137"/>
      <c r="FM180" s="137"/>
      <c r="FN180" s="137"/>
      <c r="FO180" s="137"/>
      <c r="FP180" s="137"/>
      <c r="FQ180" s="137"/>
      <c r="FR180" s="137"/>
      <c r="FS180" s="137"/>
      <c r="FT180" s="137"/>
      <c r="FU180" s="137"/>
      <c r="FV180" s="1"/>
      <c r="FW180" s="1"/>
      <c r="FX180" s="1"/>
      <c r="FY180" s="2"/>
      <c r="FZ180" s="2"/>
      <c r="GA180" s="2"/>
      <c r="GB180" s="2"/>
      <c r="GC180" s="2"/>
      <c r="GD180" s="2"/>
      <c r="GE180" s="2"/>
      <c r="GF180" s="2"/>
      <c r="GG180" s="2"/>
      <c r="GH180" s="1"/>
      <c r="GI180" s="1"/>
      <c r="GJ180" s="1"/>
      <c r="GK180" s="1"/>
      <c r="GL180" s="1"/>
      <c r="GM180" s="1"/>
      <c r="GN180" s="1"/>
      <c r="GO180" s="1"/>
      <c r="GP180" s="1"/>
    </row>
    <row r="181" spans="2:198" ht="57">
      <c r="B181" s="126" t="s">
        <v>181</v>
      </c>
      <c r="C181" s="131">
        <v>1.6692791802588872E-2</v>
      </c>
      <c r="D181" s="131" t="s">
        <v>193</v>
      </c>
      <c r="E181" s="131">
        <v>1.9436501263700987E-2</v>
      </c>
      <c r="F181" s="131" t="s">
        <v>193</v>
      </c>
      <c r="G181" s="131">
        <v>1.8860280298010849E-2</v>
      </c>
      <c r="H181" s="131" t="s">
        <v>193</v>
      </c>
      <c r="I181" s="131">
        <v>1.0171027682710496</v>
      </c>
      <c r="J181" s="131" t="s">
        <v>193</v>
      </c>
      <c r="K181" s="131">
        <v>2.4687839104590985E-2</v>
      </c>
      <c r="L181" s="131" t="s">
        <v>193</v>
      </c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  <c r="BO181" s="137"/>
      <c r="BP181" s="137"/>
      <c r="BQ181" s="137"/>
      <c r="BR181" s="137"/>
      <c r="BS181" s="137"/>
      <c r="BT181" s="137"/>
      <c r="BU181" s="137"/>
      <c r="BV181" s="137"/>
      <c r="BW181" s="137"/>
      <c r="BX181" s="137"/>
      <c r="BY181" s="137"/>
      <c r="BZ181" s="137"/>
      <c r="CA181" s="137"/>
      <c r="CB181" s="137"/>
      <c r="CC181" s="137"/>
      <c r="CD181" s="137"/>
      <c r="CE181" s="137"/>
      <c r="CF181" s="137"/>
      <c r="CG181" s="137"/>
      <c r="CH181" s="137"/>
      <c r="CI181" s="137"/>
      <c r="CJ181" s="137"/>
      <c r="CK181" s="137"/>
      <c r="CL181" s="137"/>
      <c r="CM181" s="137"/>
      <c r="CN181" s="137"/>
      <c r="CO181" s="137"/>
      <c r="CP181" s="137"/>
      <c r="CQ181" s="137"/>
      <c r="CR181" s="137"/>
      <c r="CS181" s="137"/>
      <c r="CT181" s="137"/>
      <c r="CU181" s="137"/>
      <c r="CV181" s="137"/>
      <c r="CW181" s="137"/>
      <c r="CX181" s="137"/>
      <c r="CY181" s="137"/>
      <c r="CZ181" s="137"/>
      <c r="DA181" s="137"/>
      <c r="DB181" s="137"/>
      <c r="DC181" s="137"/>
      <c r="DD181" s="137"/>
      <c r="DE181" s="137"/>
      <c r="DF181" s="137"/>
      <c r="DG181" s="137"/>
      <c r="DH181" s="137"/>
      <c r="DI181" s="137"/>
      <c r="DJ181" s="137"/>
      <c r="DK181" s="137"/>
      <c r="DL181" s="137"/>
      <c r="DM181" s="137"/>
      <c r="DN181" s="137"/>
      <c r="DO181" s="137"/>
      <c r="DP181" s="137"/>
      <c r="DQ181" s="137"/>
      <c r="DR181" s="137"/>
      <c r="DS181" s="137"/>
      <c r="DT181" s="137"/>
      <c r="DU181" s="137"/>
      <c r="DV181" s="137"/>
      <c r="DW181" s="137"/>
      <c r="DX181" s="137"/>
      <c r="DY181" s="137"/>
      <c r="DZ181" s="137"/>
      <c r="EA181" s="137"/>
      <c r="EB181" s="137"/>
      <c r="EC181" s="137"/>
      <c r="ED181" s="137"/>
      <c r="EE181" s="137"/>
      <c r="EF181" s="137"/>
      <c r="EG181" s="137"/>
      <c r="EH181" s="137"/>
      <c r="EI181" s="137"/>
      <c r="EJ181" s="137"/>
      <c r="EK181" s="137"/>
      <c r="EL181" s="137"/>
      <c r="EM181" s="137"/>
      <c r="EN181" s="137"/>
      <c r="EO181" s="137"/>
      <c r="EP181" s="137"/>
      <c r="EQ181" s="137"/>
      <c r="ER181" s="137"/>
      <c r="ES181" s="137"/>
      <c r="ET181" s="137"/>
      <c r="EU181" s="137"/>
      <c r="EV181" s="137"/>
      <c r="EW181" s="137"/>
      <c r="EX181" s="137"/>
      <c r="EY181" s="137"/>
      <c r="EZ181" s="137"/>
      <c r="FA181" s="137"/>
      <c r="FB181" s="137"/>
      <c r="FC181" s="137"/>
      <c r="FD181" s="137"/>
      <c r="FE181" s="137"/>
      <c r="FF181" s="137"/>
      <c r="FG181" s="137"/>
      <c r="FH181" s="137"/>
      <c r="FI181" s="137"/>
      <c r="FJ181" s="137"/>
      <c r="FK181" s="137"/>
      <c r="FL181" s="137"/>
      <c r="FM181" s="137"/>
      <c r="FN181" s="137"/>
      <c r="FO181" s="137"/>
      <c r="FP181" s="137"/>
      <c r="FQ181" s="137"/>
      <c r="FR181" s="137"/>
      <c r="FS181" s="137"/>
      <c r="FT181" s="137"/>
      <c r="FU181" s="137"/>
      <c r="FV181" s="1"/>
      <c r="FW181" s="1"/>
      <c r="FX181" s="1"/>
      <c r="FY181" s="2"/>
      <c r="FZ181" s="2"/>
      <c r="GA181" s="2"/>
      <c r="GB181" s="2"/>
      <c r="GC181" s="2"/>
      <c r="GD181" s="2"/>
      <c r="GE181" s="2"/>
      <c r="GF181" s="2"/>
      <c r="GG181" s="2"/>
      <c r="GH181" s="1"/>
      <c r="GI181" s="1"/>
      <c r="GJ181" s="1"/>
      <c r="GK181" s="1"/>
      <c r="GL181" s="1"/>
      <c r="GM181" s="1"/>
      <c r="GN181" s="1"/>
      <c r="GO181" s="1"/>
      <c r="GP181" s="1"/>
    </row>
    <row r="182" spans="2:198">
      <c r="B182" s="127" t="s">
        <v>182</v>
      </c>
      <c r="C182" s="128">
        <v>0.79290761062297155</v>
      </c>
      <c r="D182" s="128" t="s">
        <v>4</v>
      </c>
      <c r="E182" s="128">
        <v>0.89407905813024546</v>
      </c>
      <c r="F182" s="128" t="s">
        <v>4</v>
      </c>
      <c r="G182" s="128">
        <v>0.89586331415551546</v>
      </c>
      <c r="H182" s="128" t="s">
        <v>4</v>
      </c>
      <c r="I182" s="128">
        <v>1.8038301087393289</v>
      </c>
      <c r="J182" s="128" t="s">
        <v>4</v>
      </c>
      <c r="K182" s="128">
        <v>1.1109527597065942</v>
      </c>
      <c r="L182" s="128" t="s">
        <v>4</v>
      </c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  <c r="BO182" s="137"/>
      <c r="BP182" s="137"/>
      <c r="BQ182" s="137"/>
      <c r="BR182" s="137"/>
      <c r="BS182" s="137"/>
      <c r="BT182" s="137"/>
      <c r="BU182" s="137"/>
      <c r="BV182" s="137"/>
      <c r="BW182" s="137"/>
      <c r="BX182" s="137"/>
      <c r="BY182" s="137"/>
      <c r="BZ182" s="137"/>
      <c r="CA182" s="137"/>
      <c r="CB182" s="137"/>
      <c r="CC182" s="137"/>
      <c r="CD182" s="137"/>
      <c r="CE182" s="137"/>
      <c r="CF182" s="137"/>
      <c r="CG182" s="137"/>
      <c r="CH182" s="137"/>
      <c r="CI182" s="137"/>
      <c r="CJ182" s="137"/>
      <c r="CK182" s="137"/>
      <c r="CL182" s="137"/>
      <c r="CM182" s="137"/>
      <c r="CN182" s="137"/>
      <c r="CO182" s="137"/>
      <c r="CP182" s="137"/>
      <c r="CQ182" s="137"/>
      <c r="CR182" s="137"/>
      <c r="CS182" s="137"/>
      <c r="CT182" s="137"/>
      <c r="CU182" s="137"/>
      <c r="CV182" s="137"/>
      <c r="CW182" s="137"/>
      <c r="CX182" s="137"/>
      <c r="CY182" s="137"/>
      <c r="CZ182" s="137"/>
      <c r="DA182" s="137"/>
      <c r="DB182" s="137"/>
      <c r="DC182" s="137"/>
      <c r="DD182" s="137"/>
      <c r="DE182" s="137"/>
      <c r="DF182" s="137"/>
      <c r="DG182" s="137"/>
      <c r="DH182" s="137"/>
      <c r="DI182" s="137"/>
      <c r="DJ182" s="137"/>
      <c r="DK182" s="137"/>
      <c r="DL182" s="137"/>
      <c r="DM182" s="137"/>
      <c r="DN182" s="137"/>
      <c r="DO182" s="137"/>
      <c r="DP182" s="137"/>
      <c r="DQ182" s="137"/>
      <c r="DR182" s="137"/>
      <c r="DS182" s="137"/>
      <c r="DT182" s="137"/>
      <c r="DU182" s="137"/>
      <c r="DV182" s="137"/>
      <c r="DW182" s="137"/>
      <c r="DX182" s="137"/>
      <c r="DY182" s="137"/>
      <c r="DZ182" s="137"/>
      <c r="EA182" s="137"/>
      <c r="EB182" s="137"/>
      <c r="EC182" s="137"/>
      <c r="ED182" s="137"/>
      <c r="EE182" s="137"/>
      <c r="EF182" s="137"/>
      <c r="EG182" s="137"/>
      <c r="EH182" s="137"/>
      <c r="EI182" s="137"/>
      <c r="EJ182" s="137"/>
      <c r="EK182" s="137"/>
      <c r="EL182" s="137"/>
      <c r="EM182" s="137"/>
      <c r="EN182" s="137"/>
      <c r="EO182" s="137"/>
      <c r="EP182" s="137"/>
      <c r="EQ182" s="137"/>
      <c r="ER182" s="137"/>
      <c r="ES182" s="137"/>
      <c r="ET182" s="137"/>
      <c r="EU182" s="137"/>
      <c r="EV182" s="137"/>
      <c r="EW182" s="137"/>
      <c r="EX182" s="137"/>
      <c r="EY182" s="137"/>
      <c r="EZ182" s="137"/>
      <c r="FA182" s="137"/>
      <c r="FB182" s="137"/>
      <c r="FC182" s="137"/>
      <c r="FD182" s="137"/>
      <c r="FE182" s="137"/>
      <c r="FF182" s="137"/>
      <c r="FG182" s="137"/>
      <c r="FH182" s="137"/>
      <c r="FI182" s="137"/>
      <c r="FJ182" s="137"/>
      <c r="FK182" s="137"/>
      <c r="FL182" s="137"/>
      <c r="FM182" s="137"/>
      <c r="FN182" s="137"/>
      <c r="FO182" s="137"/>
      <c r="FP182" s="137"/>
      <c r="FQ182" s="137"/>
      <c r="FR182" s="137"/>
      <c r="FS182" s="137"/>
      <c r="FT182" s="137"/>
      <c r="FU182" s="137"/>
      <c r="FV182" s="1"/>
      <c r="FW182" s="1"/>
      <c r="FX182" s="1"/>
      <c r="FY182" s="2"/>
      <c r="FZ182" s="2"/>
      <c r="GA182" s="2"/>
      <c r="GB182" s="2"/>
      <c r="GC182" s="2"/>
      <c r="GD182" s="2"/>
      <c r="GE182" s="2"/>
      <c r="GF182" s="2"/>
      <c r="GG182" s="2"/>
      <c r="GH182" s="1"/>
      <c r="GI182" s="1"/>
      <c r="GJ182" s="1"/>
      <c r="GK182" s="1"/>
      <c r="GL182" s="1"/>
      <c r="GM182" s="1"/>
      <c r="GN182" s="1"/>
      <c r="GO182" s="1"/>
      <c r="GP182" s="1"/>
    </row>
    <row r="183" spans="2:198" ht="23.25">
      <c r="B183" s="126" t="s">
        <v>183</v>
      </c>
      <c r="C183" s="129">
        <v>1.5382407646085648E-2</v>
      </c>
      <c r="D183" s="129" t="s">
        <v>193</v>
      </c>
      <c r="E183" s="129">
        <v>1.6808686292848613E-2</v>
      </c>
      <c r="F183" s="129" t="s">
        <v>193</v>
      </c>
      <c r="G183" s="129">
        <v>1.7200575631785897E-2</v>
      </c>
      <c r="H183" s="129" t="s">
        <v>193</v>
      </c>
      <c r="I183" s="129">
        <v>1.015433538087795</v>
      </c>
      <c r="J183" s="129" t="s">
        <v>193</v>
      </c>
      <c r="K183" s="129">
        <v>2.0441530778601332E-2</v>
      </c>
      <c r="L183" s="129" t="s">
        <v>193</v>
      </c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  <c r="BO183" s="137"/>
      <c r="BP183" s="137"/>
      <c r="BQ183" s="137"/>
      <c r="BR183" s="137"/>
      <c r="BS183" s="137"/>
      <c r="BT183" s="137"/>
      <c r="BU183" s="137"/>
      <c r="BV183" s="137"/>
      <c r="BW183" s="137"/>
      <c r="BX183" s="137"/>
      <c r="BY183" s="137"/>
      <c r="BZ183" s="137"/>
      <c r="CA183" s="137"/>
      <c r="CB183" s="137"/>
      <c r="CC183" s="137"/>
      <c r="CD183" s="137"/>
      <c r="CE183" s="137"/>
      <c r="CF183" s="137"/>
      <c r="CG183" s="137"/>
      <c r="CH183" s="137"/>
      <c r="CI183" s="137"/>
      <c r="CJ183" s="137"/>
      <c r="CK183" s="137"/>
      <c r="CL183" s="137"/>
      <c r="CM183" s="137"/>
      <c r="CN183" s="137"/>
      <c r="CO183" s="137"/>
      <c r="CP183" s="137"/>
      <c r="CQ183" s="137"/>
      <c r="CR183" s="137"/>
      <c r="CS183" s="137"/>
      <c r="CT183" s="137"/>
      <c r="CU183" s="137"/>
      <c r="CV183" s="137"/>
      <c r="CW183" s="137"/>
      <c r="CX183" s="137"/>
      <c r="CY183" s="137"/>
      <c r="CZ183" s="137"/>
      <c r="DA183" s="137"/>
      <c r="DB183" s="137"/>
      <c r="DC183" s="137"/>
      <c r="DD183" s="137"/>
      <c r="DE183" s="137"/>
      <c r="DF183" s="137"/>
      <c r="DG183" s="137"/>
      <c r="DH183" s="137"/>
      <c r="DI183" s="137"/>
      <c r="DJ183" s="137"/>
      <c r="DK183" s="137"/>
      <c r="DL183" s="137"/>
      <c r="DM183" s="137"/>
      <c r="DN183" s="137"/>
      <c r="DO183" s="137"/>
      <c r="DP183" s="137"/>
      <c r="DQ183" s="137"/>
      <c r="DR183" s="137"/>
      <c r="DS183" s="137"/>
      <c r="DT183" s="137"/>
      <c r="DU183" s="137"/>
      <c r="DV183" s="137"/>
      <c r="DW183" s="137"/>
      <c r="DX183" s="137"/>
      <c r="DY183" s="137"/>
      <c r="DZ183" s="137"/>
      <c r="EA183" s="137"/>
      <c r="EB183" s="137"/>
      <c r="EC183" s="137"/>
      <c r="ED183" s="137"/>
      <c r="EE183" s="137"/>
      <c r="EF183" s="137"/>
      <c r="EG183" s="137"/>
      <c r="EH183" s="137"/>
      <c r="EI183" s="137"/>
      <c r="EJ183" s="137"/>
      <c r="EK183" s="137"/>
      <c r="EL183" s="137"/>
      <c r="EM183" s="137"/>
      <c r="EN183" s="137"/>
      <c r="EO183" s="137"/>
      <c r="EP183" s="137"/>
      <c r="EQ183" s="137"/>
      <c r="ER183" s="137"/>
      <c r="ES183" s="137"/>
      <c r="ET183" s="137"/>
      <c r="EU183" s="137"/>
      <c r="EV183" s="137"/>
      <c r="EW183" s="137"/>
      <c r="EX183" s="137"/>
      <c r="EY183" s="137"/>
      <c r="EZ183" s="137"/>
      <c r="FA183" s="137"/>
      <c r="FB183" s="137"/>
      <c r="FC183" s="137"/>
      <c r="FD183" s="137"/>
      <c r="FE183" s="137"/>
      <c r="FF183" s="137"/>
      <c r="FG183" s="137"/>
      <c r="FH183" s="137"/>
      <c r="FI183" s="137"/>
      <c r="FJ183" s="137"/>
      <c r="FK183" s="137"/>
      <c r="FL183" s="137"/>
      <c r="FM183" s="137"/>
      <c r="FN183" s="137"/>
      <c r="FO183" s="137"/>
      <c r="FP183" s="137"/>
      <c r="FQ183" s="137"/>
      <c r="FR183" s="137"/>
      <c r="FS183" s="137"/>
      <c r="FT183" s="137"/>
      <c r="FU183" s="137"/>
      <c r="FV183" s="1"/>
      <c r="FW183" s="1"/>
      <c r="FX183" s="1"/>
      <c r="FY183" s="2"/>
      <c r="FZ183" s="2"/>
      <c r="GA183" s="2"/>
      <c r="GB183" s="2"/>
      <c r="GC183" s="2"/>
      <c r="GD183" s="2"/>
      <c r="GE183" s="2"/>
      <c r="GF183" s="2"/>
      <c r="GG183" s="2"/>
      <c r="GH183" s="1"/>
      <c r="GI183" s="1"/>
      <c r="GJ183" s="1"/>
      <c r="GK183" s="1"/>
      <c r="GL183" s="1"/>
      <c r="GM183" s="1"/>
      <c r="GN183" s="1"/>
      <c r="GO183" s="1"/>
      <c r="GP183" s="1"/>
    </row>
    <row r="184" spans="2:198" ht="45.75">
      <c r="B184" s="127" t="s">
        <v>184</v>
      </c>
      <c r="C184" s="128">
        <v>1.3997990957937937E-2</v>
      </c>
      <c r="D184" s="128" t="s">
        <v>193</v>
      </c>
      <c r="E184" s="128">
        <v>1.5632078252349212E-2</v>
      </c>
      <c r="F184" s="128" t="s">
        <v>193</v>
      </c>
      <c r="G184" s="128">
        <v>1.5996535337560888E-2</v>
      </c>
      <c r="H184" s="128" t="s">
        <v>193</v>
      </c>
      <c r="I184" s="128">
        <v>1.0141988550407715</v>
      </c>
      <c r="J184" s="128" t="s">
        <v>193</v>
      </c>
      <c r="K184" s="128">
        <v>1.8806208316313227E-2</v>
      </c>
      <c r="L184" s="128" t="s">
        <v>193</v>
      </c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  <c r="BO184" s="137"/>
      <c r="BP184" s="137"/>
      <c r="BQ184" s="137"/>
      <c r="BR184" s="137"/>
      <c r="BS184" s="137"/>
      <c r="BT184" s="137"/>
      <c r="BU184" s="137"/>
      <c r="BV184" s="137"/>
      <c r="BW184" s="137"/>
      <c r="BX184" s="137"/>
      <c r="BY184" s="137"/>
      <c r="BZ184" s="137"/>
      <c r="CA184" s="137"/>
      <c r="CB184" s="137"/>
      <c r="CC184" s="137"/>
      <c r="CD184" s="137"/>
      <c r="CE184" s="137"/>
      <c r="CF184" s="137"/>
      <c r="CG184" s="137"/>
      <c r="CH184" s="137"/>
      <c r="CI184" s="137"/>
      <c r="CJ184" s="137"/>
      <c r="CK184" s="137"/>
      <c r="CL184" s="137"/>
      <c r="CM184" s="137"/>
      <c r="CN184" s="137"/>
      <c r="CO184" s="137"/>
      <c r="CP184" s="137"/>
      <c r="CQ184" s="137"/>
      <c r="CR184" s="137"/>
      <c r="CS184" s="137"/>
      <c r="CT184" s="137"/>
      <c r="CU184" s="137"/>
      <c r="CV184" s="137"/>
      <c r="CW184" s="137"/>
      <c r="CX184" s="137"/>
      <c r="CY184" s="137"/>
      <c r="CZ184" s="137"/>
      <c r="DA184" s="137"/>
      <c r="DB184" s="137"/>
      <c r="DC184" s="137"/>
      <c r="DD184" s="137"/>
      <c r="DE184" s="137"/>
      <c r="DF184" s="137"/>
      <c r="DG184" s="137"/>
      <c r="DH184" s="137"/>
      <c r="DI184" s="137"/>
      <c r="DJ184" s="137"/>
      <c r="DK184" s="137"/>
      <c r="DL184" s="137"/>
      <c r="DM184" s="137"/>
      <c r="DN184" s="137"/>
      <c r="DO184" s="137"/>
      <c r="DP184" s="137"/>
      <c r="DQ184" s="137"/>
      <c r="DR184" s="137"/>
      <c r="DS184" s="137"/>
      <c r="DT184" s="137"/>
      <c r="DU184" s="137"/>
      <c r="DV184" s="137"/>
      <c r="DW184" s="137"/>
      <c r="DX184" s="137"/>
      <c r="DY184" s="137"/>
      <c r="DZ184" s="137"/>
      <c r="EA184" s="137"/>
      <c r="EB184" s="137"/>
      <c r="EC184" s="137"/>
      <c r="ED184" s="137"/>
      <c r="EE184" s="137"/>
      <c r="EF184" s="137"/>
      <c r="EG184" s="137"/>
      <c r="EH184" s="137"/>
      <c r="EI184" s="137"/>
      <c r="EJ184" s="137"/>
      <c r="EK184" s="137"/>
      <c r="EL184" s="137"/>
      <c r="EM184" s="137"/>
      <c r="EN184" s="137"/>
      <c r="EO184" s="137"/>
      <c r="EP184" s="137"/>
      <c r="EQ184" s="137"/>
      <c r="ER184" s="137"/>
      <c r="ES184" s="137"/>
      <c r="ET184" s="137"/>
      <c r="EU184" s="137"/>
      <c r="EV184" s="137"/>
      <c r="EW184" s="137"/>
      <c r="EX184" s="137"/>
      <c r="EY184" s="137"/>
      <c r="EZ184" s="137"/>
      <c r="FA184" s="137"/>
      <c r="FB184" s="137"/>
      <c r="FC184" s="137"/>
      <c r="FD184" s="137"/>
      <c r="FE184" s="137"/>
      <c r="FF184" s="137"/>
      <c r="FG184" s="137"/>
      <c r="FH184" s="137"/>
      <c r="FI184" s="137"/>
      <c r="FJ184" s="137"/>
      <c r="FK184" s="137"/>
      <c r="FL184" s="137"/>
      <c r="FM184" s="137"/>
      <c r="FN184" s="137"/>
      <c r="FO184" s="137"/>
      <c r="FP184" s="137"/>
      <c r="FQ184" s="137"/>
      <c r="FR184" s="137"/>
      <c r="FS184" s="137"/>
      <c r="FT184" s="137"/>
      <c r="FU184" s="137"/>
      <c r="FV184" s="10"/>
      <c r="FW184" s="10"/>
      <c r="FX184" s="10"/>
      <c r="FY184" s="114"/>
      <c r="FZ184" s="114"/>
      <c r="GA184" s="114"/>
      <c r="GB184" s="114"/>
      <c r="GC184" s="114"/>
      <c r="GD184" s="114"/>
      <c r="GE184" s="114"/>
      <c r="GF184" s="114"/>
      <c r="GG184" s="114"/>
      <c r="GH184" s="10"/>
      <c r="GI184" s="10"/>
      <c r="GJ184" s="10"/>
      <c r="GK184" s="10"/>
      <c r="GL184" s="10"/>
      <c r="GM184" s="10"/>
      <c r="GN184" s="10"/>
      <c r="GO184" s="10"/>
      <c r="GP184" s="10"/>
    </row>
    <row r="185" spans="2:198" ht="23.25">
      <c r="B185" s="126" t="s">
        <v>185</v>
      </c>
      <c r="C185" s="131">
        <v>0.657905575023083</v>
      </c>
      <c r="D185" s="131" t="s">
        <v>4</v>
      </c>
      <c r="E185" s="131">
        <v>0.7112595604818891</v>
      </c>
      <c r="F185" s="131" t="s">
        <v>4</v>
      </c>
      <c r="G185" s="131">
        <v>0.73584062552780083</v>
      </c>
      <c r="H185" s="131" t="s">
        <v>4</v>
      </c>
      <c r="I185" s="131">
        <v>1.6460479043551035</v>
      </c>
      <c r="J185" s="131" t="s">
        <v>4</v>
      </c>
      <c r="K185" s="131">
        <v>0.85568247839225176</v>
      </c>
      <c r="L185" s="131" t="s">
        <v>4</v>
      </c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  <c r="BO185" s="137"/>
      <c r="BP185" s="137"/>
      <c r="BQ185" s="137"/>
      <c r="BR185" s="137"/>
      <c r="BS185" s="137"/>
      <c r="BT185" s="137"/>
      <c r="BU185" s="137"/>
      <c r="BV185" s="137"/>
      <c r="BW185" s="137"/>
      <c r="BX185" s="137"/>
      <c r="BY185" s="137"/>
      <c r="BZ185" s="137"/>
      <c r="CA185" s="137"/>
      <c r="CB185" s="137"/>
      <c r="CC185" s="137"/>
      <c r="CD185" s="137"/>
      <c r="CE185" s="137"/>
      <c r="CF185" s="137"/>
      <c r="CG185" s="137"/>
      <c r="CH185" s="137"/>
      <c r="CI185" s="137"/>
      <c r="CJ185" s="137"/>
      <c r="CK185" s="137"/>
      <c r="CL185" s="137"/>
      <c r="CM185" s="137"/>
      <c r="CN185" s="137"/>
      <c r="CO185" s="137"/>
      <c r="CP185" s="137"/>
      <c r="CQ185" s="137"/>
      <c r="CR185" s="137"/>
      <c r="CS185" s="137"/>
      <c r="CT185" s="137"/>
      <c r="CU185" s="137"/>
      <c r="CV185" s="137"/>
      <c r="CW185" s="137"/>
      <c r="CX185" s="137"/>
      <c r="CY185" s="137"/>
      <c r="CZ185" s="137"/>
      <c r="DA185" s="137"/>
      <c r="DB185" s="137"/>
      <c r="DC185" s="137"/>
      <c r="DD185" s="137"/>
      <c r="DE185" s="137"/>
      <c r="DF185" s="137"/>
      <c r="DG185" s="137"/>
      <c r="DH185" s="137"/>
      <c r="DI185" s="137"/>
      <c r="DJ185" s="137"/>
      <c r="DK185" s="137"/>
      <c r="DL185" s="137"/>
      <c r="DM185" s="137"/>
      <c r="DN185" s="137"/>
      <c r="DO185" s="137"/>
      <c r="DP185" s="137"/>
      <c r="DQ185" s="137"/>
      <c r="DR185" s="137"/>
      <c r="DS185" s="137"/>
      <c r="DT185" s="137"/>
      <c r="DU185" s="137"/>
      <c r="DV185" s="137"/>
      <c r="DW185" s="137"/>
      <c r="DX185" s="137"/>
      <c r="DY185" s="137"/>
      <c r="DZ185" s="137"/>
      <c r="EA185" s="137"/>
      <c r="EB185" s="137"/>
      <c r="EC185" s="137"/>
      <c r="ED185" s="137"/>
      <c r="EE185" s="137"/>
      <c r="EF185" s="137"/>
      <c r="EG185" s="137"/>
      <c r="EH185" s="137"/>
      <c r="EI185" s="137"/>
      <c r="EJ185" s="137"/>
      <c r="EK185" s="137"/>
      <c r="EL185" s="137"/>
      <c r="EM185" s="137"/>
      <c r="EN185" s="137"/>
      <c r="EO185" s="137"/>
      <c r="EP185" s="137"/>
      <c r="EQ185" s="137"/>
      <c r="ER185" s="137"/>
      <c r="ES185" s="137"/>
      <c r="ET185" s="137"/>
      <c r="EU185" s="137"/>
      <c r="EV185" s="137"/>
      <c r="EW185" s="137"/>
      <c r="EX185" s="137"/>
      <c r="EY185" s="137"/>
      <c r="EZ185" s="137"/>
      <c r="FA185" s="137"/>
      <c r="FB185" s="137"/>
      <c r="FC185" s="137"/>
      <c r="FD185" s="137"/>
      <c r="FE185" s="137"/>
      <c r="FF185" s="137"/>
      <c r="FG185" s="137"/>
      <c r="FH185" s="137"/>
      <c r="FI185" s="137"/>
      <c r="FJ185" s="137"/>
      <c r="FK185" s="137"/>
      <c r="FL185" s="137"/>
      <c r="FM185" s="137"/>
      <c r="FN185" s="137"/>
      <c r="FO185" s="137"/>
      <c r="FP185" s="137"/>
      <c r="FQ185" s="137"/>
      <c r="FR185" s="137"/>
      <c r="FS185" s="137"/>
      <c r="FT185" s="137"/>
      <c r="FU185" s="137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</row>
    <row r="186" spans="2:198" ht="45.75">
      <c r="B186" s="127" t="s">
        <v>186</v>
      </c>
      <c r="C186" s="128">
        <v>1.2631787040443194E-2</v>
      </c>
      <c r="D186" s="128" t="s">
        <v>193</v>
      </c>
      <c r="E186" s="128">
        <v>1.3371679737059515E-2</v>
      </c>
      <c r="F186" s="128" t="s">
        <v>193</v>
      </c>
      <c r="G186" s="128">
        <v>1.3833803759922656E-2</v>
      </c>
      <c r="H186" s="128" t="s">
        <v>193</v>
      </c>
      <c r="I186" s="128">
        <v>1.0117580718592629</v>
      </c>
      <c r="J186" s="128" t="s">
        <v>193</v>
      </c>
      <c r="K186" s="128">
        <v>1.6257967089452784E-2</v>
      </c>
      <c r="L186" s="128" t="s">
        <v>193</v>
      </c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  <c r="BV186" s="137"/>
      <c r="BW186" s="137"/>
      <c r="BX186" s="137"/>
      <c r="BY186" s="137"/>
      <c r="BZ186" s="137"/>
      <c r="CA186" s="137"/>
      <c r="CB186" s="137"/>
      <c r="CC186" s="137"/>
      <c r="CD186" s="137"/>
      <c r="CE186" s="137"/>
      <c r="CF186" s="137"/>
      <c r="CG186" s="137"/>
      <c r="CH186" s="137"/>
      <c r="CI186" s="137"/>
      <c r="CJ186" s="137"/>
      <c r="CK186" s="137"/>
      <c r="CL186" s="137"/>
      <c r="CM186" s="137"/>
      <c r="CN186" s="137"/>
      <c r="CO186" s="137"/>
      <c r="CP186" s="137"/>
      <c r="CQ186" s="137"/>
      <c r="CR186" s="137"/>
      <c r="CS186" s="137"/>
      <c r="CT186" s="137"/>
      <c r="CU186" s="137"/>
      <c r="CV186" s="137"/>
      <c r="CW186" s="137"/>
      <c r="CX186" s="137"/>
      <c r="CY186" s="137"/>
      <c r="CZ186" s="137"/>
      <c r="DA186" s="137"/>
      <c r="DB186" s="137"/>
      <c r="DC186" s="137"/>
      <c r="DD186" s="137"/>
      <c r="DE186" s="137"/>
      <c r="DF186" s="137"/>
      <c r="DG186" s="137"/>
      <c r="DH186" s="137"/>
      <c r="DI186" s="137"/>
      <c r="DJ186" s="137"/>
      <c r="DK186" s="137"/>
      <c r="DL186" s="137"/>
      <c r="DM186" s="137"/>
      <c r="DN186" s="137"/>
      <c r="DO186" s="137"/>
      <c r="DP186" s="137"/>
      <c r="DQ186" s="137"/>
      <c r="DR186" s="137"/>
      <c r="DS186" s="137"/>
      <c r="DT186" s="137"/>
      <c r="DU186" s="137"/>
      <c r="DV186" s="137"/>
      <c r="DW186" s="137"/>
      <c r="DX186" s="137"/>
      <c r="DY186" s="137"/>
      <c r="DZ186" s="137"/>
      <c r="EA186" s="137"/>
      <c r="EB186" s="137"/>
      <c r="EC186" s="137"/>
      <c r="ED186" s="137"/>
      <c r="EE186" s="137"/>
      <c r="EF186" s="137"/>
      <c r="EG186" s="137"/>
      <c r="EH186" s="137"/>
      <c r="EI186" s="137"/>
      <c r="EJ186" s="137"/>
      <c r="EK186" s="137"/>
      <c r="EL186" s="137"/>
      <c r="EM186" s="137"/>
      <c r="EN186" s="137"/>
      <c r="EO186" s="137"/>
      <c r="EP186" s="137"/>
      <c r="EQ186" s="137"/>
      <c r="ER186" s="137"/>
      <c r="ES186" s="137"/>
      <c r="ET186" s="137"/>
      <c r="EU186" s="137"/>
      <c r="EV186" s="137"/>
      <c r="EW186" s="137"/>
      <c r="EX186" s="137"/>
      <c r="EY186" s="137"/>
      <c r="EZ186" s="137"/>
      <c r="FA186" s="137"/>
      <c r="FB186" s="137"/>
      <c r="FC186" s="137"/>
      <c r="FD186" s="137"/>
      <c r="FE186" s="137"/>
      <c r="FF186" s="137"/>
      <c r="FG186" s="137"/>
      <c r="FH186" s="137"/>
      <c r="FI186" s="137"/>
      <c r="FJ186" s="137"/>
      <c r="FK186" s="137"/>
      <c r="FL186" s="137"/>
      <c r="FM186" s="137"/>
      <c r="FN186" s="137"/>
      <c r="FO186" s="137"/>
      <c r="FP186" s="137"/>
      <c r="FQ186" s="137"/>
      <c r="FR186" s="137"/>
      <c r="FS186" s="137"/>
      <c r="FT186" s="137"/>
      <c r="FU186" s="137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  <c r="GP186" s="10"/>
    </row>
    <row r="187" spans="2:198" ht="45.75">
      <c r="B187" s="126" t="s">
        <v>187</v>
      </c>
      <c r="C187" s="131">
        <v>0.60632577794127329</v>
      </c>
      <c r="D187" s="131" t="s">
        <v>4</v>
      </c>
      <c r="E187" s="131">
        <v>0.62846894764179717</v>
      </c>
      <c r="F187" s="131" t="s">
        <v>4</v>
      </c>
      <c r="G187" s="131">
        <v>0.66402258047628748</v>
      </c>
      <c r="H187" s="131" t="s">
        <v>4</v>
      </c>
      <c r="I187" s="131">
        <v>1.5643874492446184</v>
      </c>
      <c r="J187" s="131" t="s">
        <v>4</v>
      </c>
      <c r="K187" s="131">
        <v>0.73160851902537516</v>
      </c>
      <c r="L187" s="131" t="s">
        <v>4</v>
      </c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  <c r="BO187" s="137"/>
      <c r="BP187" s="137"/>
      <c r="BQ187" s="137"/>
      <c r="BR187" s="137"/>
      <c r="BS187" s="137"/>
      <c r="BT187" s="137"/>
      <c r="BU187" s="137"/>
      <c r="BV187" s="137"/>
      <c r="BW187" s="137"/>
      <c r="BX187" s="137"/>
      <c r="BY187" s="137"/>
      <c r="BZ187" s="137"/>
      <c r="CA187" s="137"/>
      <c r="CB187" s="137"/>
      <c r="CC187" s="137"/>
      <c r="CD187" s="137"/>
      <c r="CE187" s="137"/>
      <c r="CF187" s="137"/>
      <c r="CG187" s="137"/>
      <c r="CH187" s="137"/>
      <c r="CI187" s="137"/>
      <c r="CJ187" s="137"/>
      <c r="CK187" s="137"/>
      <c r="CL187" s="137"/>
      <c r="CM187" s="137"/>
      <c r="CN187" s="137"/>
      <c r="CO187" s="137"/>
      <c r="CP187" s="137"/>
      <c r="CQ187" s="137"/>
      <c r="CR187" s="137"/>
      <c r="CS187" s="137"/>
      <c r="CT187" s="137"/>
      <c r="CU187" s="137"/>
      <c r="CV187" s="137"/>
      <c r="CW187" s="137"/>
      <c r="CX187" s="137"/>
      <c r="CY187" s="137"/>
      <c r="CZ187" s="137"/>
      <c r="DA187" s="137"/>
      <c r="DB187" s="137"/>
      <c r="DC187" s="137"/>
      <c r="DD187" s="137"/>
      <c r="DE187" s="137"/>
      <c r="DF187" s="137"/>
      <c r="DG187" s="137"/>
      <c r="DH187" s="137"/>
      <c r="DI187" s="137"/>
      <c r="DJ187" s="137"/>
      <c r="DK187" s="137"/>
      <c r="DL187" s="137"/>
      <c r="DM187" s="137"/>
      <c r="DN187" s="137"/>
      <c r="DO187" s="137"/>
      <c r="DP187" s="137"/>
      <c r="DQ187" s="137"/>
      <c r="DR187" s="137"/>
      <c r="DS187" s="137"/>
      <c r="DT187" s="137"/>
      <c r="DU187" s="137"/>
      <c r="DV187" s="137"/>
      <c r="DW187" s="137"/>
      <c r="DX187" s="137"/>
      <c r="DY187" s="137"/>
      <c r="DZ187" s="137"/>
      <c r="EA187" s="137"/>
      <c r="EB187" s="137"/>
      <c r="EC187" s="137"/>
      <c r="ED187" s="137"/>
      <c r="EE187" s="137"/>
      <c r="EF187" s="137"/>
      <c r="EG187" s="137"/>
      <c r="EH187" s="137"/>
      <c r="EI187" s="137"/>
      <c r="EJ187" s="137"/>
      <c r="EK187" s="137"/>
      <c r="EL187" s="137"/>
      <c r="EM187" s="137"/>
      <c r="EN187" s="137"/>
      <c r="EO187" s="137"/>
      <c r="EP187" s="137"/>
      <c r="EQ187" s="137"/>
      <c r="ER187" s="137"/>
      <c r="ES187" s="137"/>
      <c r="ET187" s="137"/>
      <c r="EU187" s="137"/>
      <c r="EV187" s="137"/>
      <c r="EW187" s="137"/>
      <c r="EX187" s="137"/>
      <c r="EY187" s="137"/>
      <c r="EZ187" s="137"/>
      <c r="FA187" s="137"/>
      <c r="FB187" s="137"/>
      <c r="FC187" s="137"/>
      <c r="FD187" s="137"/>
      <c r="FE187" s="137"/>
      <c r="FF187" s="137"/>
      <c r="FG187" s="137"/>
      <c r="FH187" s="137"/>
      <c r="FI187" s="137"/>
      <c r="FJ187" s="137"/>
      <c r="FK187" s="137"/>
      <c r="FL187" s="137"/>
      <c r="FM187" s="137"/>
      <c r="FN187" s="137"/>
      <c r="FO187" s="137"/>
      <c r="FP187" s="137"/>
      <c r="FQ187" s="137"/>
      <c r="FR187" s="137"/>
      <c r="FS187" s="137"/>
      <c r="FT187" s="137"/>
      <c r="FU187" s="137"/>
      <c r="FV187" s="1"/>
      <c r="FW187" s="1"/>
      <c r="FX187" s="1"/>
      <c r="FY187" s="2"/>
      <c r="FZ187" s="2"/>
      <c r="GA187" s="2"/>
      <c r="GB187" s="2"/>
      <c r="GC187" s="2"/>
      <c r="GD187" s="2"/>
      <c r="GE187" s="2"/>
      <c r="GF187" s="2"/>
      <c r="GG187" s="2"/>
      <c r="GH187" s="1"/>
      <c r="GI187" s="1"/>
      <c r="GJ187" s="1"/>
      <c r="GK187" s="1"/>
      <c r="GL187" s="1"/>
      <c r="GM187" s="1"/>
      <c r="GN187" s="1"/>
      <c r="GO187" s="1"/>
      <c r="GP187" s="1"/>
    </row>
    <row r="188" spans="2:198" ht="23.25">
      <c r="B188" s="127" t="s">
        <v>188</v>
      </c>
      <c r="C188" s="133">
        <v>1.0913864002942919E-2</v>
      </c>
      <c r="D188" s="133" t="s">
        <v>193</v>
      </c>
      <c r="E188" s="133">
        <v>1.1438134847080707E-2</v>
      </c>
      <c r="F188" s="133" t="s">
        <v>193</v>
      </c>
      <c r="G188" s="133">
        <v>1.2085210964668434E-2</v>
      </c>
      <c r="H188" s="133" t="s">
        <v>193</v>
      </c>
      <c r="I188" s="133">
        <v>1.010384729066101</v>
      </c>
      <c r="J188" s="133" t="s">
        <v>193</v>
      </c>
      <c r="K188" s="133">
        <v>1.3315275046261829E-2</v>
      </c>
      <c r="L188" s="133" t="s">
        <v>193</v>
      </c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  <c r="BO188" s="137"/>
      <c r="BP188" s="137"/>
      <c r="BQ188" s="137"/>
      <c r="BR188" s="137"/>
      <c r="BS188" s="137"/>
      <c r="BT188" s="137"/>
      <c r="BU188" s="137"/>
      <c r="BV188" s="137"/>
      <c r="BW188" s="137"/>
      <c r="BX188" s="137"/>
      <c r="BY188" s="137"/>
      <c r="BZ188" s="137"/>
      <c r="CA188" s="137"/>
      <c r="CB188" s="137"/>
      <c r="CC188" s="137"/>
      <c r="CD188" s="137"/>
      <c r="CE188" s="137"/>
      <c r="CF188" s="137"/>
      <c r="CG188" s="137"/>
      <c r="CH188" s="137"/>
      <c r="CI188" s="137"/>
      <c r="CJ188" s="137"/>
      <c r="CK188" s="137"/>
      <c r="CL188" s="137"/>
      <c r="CM188" s="137"/>
      <c r="CN188" s="137"/>
      <c r="CO188" s="137"/>
      <c r="CP188" s="137"/>
      <c r="CQ188" s="137"/>
      <c r="CR188" s="137"/>
      <c r="CS188" s="137"/>
      <c r="CT188" s="137"/>
      <c r="CU188" s="137"/>
      <c r="CV188" s="137"/>
      <c r="CW188" s="137"/>
      <c r="CX188" s="137"/>
      <c r="CY188" s="137"/>
      <c r="CZ188" s="137"/>
      <c r="DA188" s="137"/>
      <c r="DB188" s="137"/>
      <c r="DC188" s="137"/>
      <c r="DD188" s="137"/>
      <c r="DE188" s="137"/>
      <c r="DF188" s="137"/>
      <c r="DG188" s="137"/>
      <c r="DH188" s="137"/>
      <c r="DI188" s="137"/>
      <c r="DJ188" s="137"/>
      <c r="DK188" s="137"/>
      <c r="DL188" s="137"/>
      <c r="DM188" s="137"/>
      <c r="DN188" s="137"/>
      <c r="DO188" s="137"/>
      <c r="DP188" s="137"/>
      <c r="DQ188" s="137"/>
      <c r="DR188" s="137"/>
      <c r="DS188" s="137"/>
      <c r="DT188" s="137"/>
      <c r="DU188" s="137"/>
      <c r="DV188" s="137"/>
      <c r="DW188" s="137"/>
      <c r="DX188" s="137"/>
      <c r="DY188" s="137"/>
      <c r="DZ188" s="137"/>
      <c r="EA188" s="137"/>
      <c r="EB188" s="137"/>
      <c r="EC188" s="137"/>
      <c r="ED188" s="137"/>
      <c r="EE188" s="137"/>
      <c r="EF188" s="137"/>
      <c r="EG188" s="137"/>
      <c r="EH188" s="137"/>
      <c r="EI188" s="137"/>
      <c r="EJ188" s="137"/>
      <c r="EK188" s="137"/>
      <c r="EL188" s="137"/>
      <c r="EM188" s="137"/>
      <c r="EN188" s="137"/>
      <c r="EO188" s="137"/>
      <c r="EP188" s="137"/>
      <c r="EQ188" s="137"/>
      <c r="ER188" s="137"/>
      <c r="ES188" s="137"/>
      <c r="ET188" s="137"/>
      <c r="EU188" s="137"/>
      <c r="EV188" s="137"/>
      <c r="EW188" s="137"/>
      <c r="EX188" s="137"/>
      <c r="EY188" s="137"/>
      <c r="EZ188" s="137"/>
      <c r="FA188" s="137"/>
      <c r="FB188" s="137"/>
      <c r="FC188" s="137"/>
      <c r="FD188" s="137"/>
      <c r="FE188" s="137"/>
      <c r="FF188" s="137"/>
      <c r="FG188" s="137"/>
      <c r="FH188" s="137"/>
      <c r="FI188" s="137"/>
      <c r="FJ188" s="137"/>
      <c r="FK188" s="137"/>
      <c r="FL188" s="137"/>
      <c r="FM188" s="137"/>
      <c r="FN188" s="137"/>
      <c r="FO188" s="137"/>
      <c r="FP188" s="137"/>
      <c r="FQ188" s="137"/>
      <c r="FR188" s="137"/>
      <c r="FS188" s="137"/>
      <c r="FT188" s="137"/>
      <c r="FU188" s="137"/>
      <c r="FV188" s="1"/>
      <c r="FW188" s="1"/>
      <c r="FX188" s="1"/>
      <c r="FY188" s="2"/>
      <c r="FZ188" s="2"/>
      <c r="GA188" s="2"/>
      <c r="GB188" s="2"/>
      <c r="GC188" s="2"/>
      <c r="GD188" s="2"/>
      <c r="GE188" s="2"/>
      <c r="GF188" s="2"/>
      <c r="GG188" s="2"/>
      <c r="GH188" s="1"/>
      <c r="GI188" s="1"/>
      <c r="GJ188" s="1"/>
      <c r="GK188" s="1"/>
      <c r="GL188" s="1"/>
      <c r="GM188" s="1"/>
      <c r="GN188" s="1"/>
      <c r="GO188" s="1"/>
      <c r="GP188" s="1"/>
    </row>
    <row r="189" spans="2:198">
      <c r="B189" s="126" t="s">
        <v>189</v>
      </c>
      <c r="C189" s="131">
        <v>0.50749467613684573</v>
      </c>
      <c r="D189" s="131" t="s">
        <v>4</v>
      </c>
      <c r="E189" s="131">
        <v>0.5147160681186318</v>
      </c>
      <c r="F189" s="131" t="s">
        <v>4</v>
      </c>
      <c r="G189" s="131">
        <v>0.58009012630408474</v>
      </c>
      <c r="H189" s="131" t="s">
        <v>4</v>
      </c>
      <c r="I189" s="131">
        <v>1.4828899015736954</v>
      </c>
      <c r="J189" s="131" t="s">
        <v>4</v>
      </c>
      <c r="K189" s="131">
        <v>0.62581792717430607</v>
      </c>
      <c r="L189" s="131" t="s">
        <v>4</v>
      </c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  <c r="BO189" s="137"/>
      <c r="BP189" s="137"/>
      <c r="BQ189" s="137"/>
      <c r="BR189" s="137"/>
      <c r="BS189" s="137"/>
      <c r="BT189" s="137"/>
      <c r="BU189" s="137"/>
      <c r="BV189" s="137"/>
      <c r="BW189" s="137"/>
      <c r="BX189" s="137"/>
      <c r="BY189" s="137"/>
      <c r="BZ189" s="137"/>
      <c r="CA189" s="137"/>
      <c r="CB189" s="137"/>
      <c r="CC189" s="137"/>
      <c r="CD189" s="137"/>
      <c r="CE189" s="137"/>
      <c r="CF189" s="137"/>
      <c r="CG189" s="137"/>
      <c r="CH189" s="137"/>
      <c r="CI189" s="137"/>
      <c r="CJ189" s="137"/>
      <c r="CK189" s="137"/>
      <c r="CL189" s="137"/>
      <c r="CM189" s="137"/>
      <c r="CN189" s="137"/>
      <c r="CO189" s="137"/>
      <c r="CP189" s="137"/>
      <c r="CQ189" s="137"/>
      <c r="CR189" s="137"/>
      <c r="CS189" s="137"/>
      <c r="CT189" s="137"/>
      <c r="CU189" s="137"/>
      <c r="CV189" s="137"/>
      <c r="CW189" s="137"/>
      <c r="CX189" s="137"/>
      <c r="CY189" s="137"/>
      <c r="CZ189" s="137"/>
      <c r="DA189" s="137"/>
      <c r="DB189" s="137"/>
      <c r="DC189" s="137"/>
      <c r="DD189" s="137"/>
      <c r="DE189" s="137"/>
      <c r="DF189" s="137"/>
      <c r="DG189" s="137"/>
      <c r="DH189" s="137"/>
      <c r="DI189" s="137"/>
      <c r="DJ189" s="137"/>
      <c r="DK189" s="137"/>
      <c r="DL189" s="137"/>
      <c r="DM189" s="137"/>
      <c r="DN189" s="137"/>
      <c r="DO189" s="137"/>
      <c r="DP189" s="137"/>
      <c r="DQ189" s="137"/>
      <c r="DR189" s="137"/>
      <c r="DS189" s="137"/>
      <c r="DT189" s="137"/>
      <c r="DU189" s="137"/>
      <c r="DV189" s="137"/>
      <c r="DW189" s="137"/>
      <c r="DX189" s="137"/>
      <c r="DY189" s="137"/>
      <c r="DZ189" s="137"/>
      <c r="EA189" s="137"/>
      <c r="EB189" s="137"/>
      <c r="EC189" s="137"/>
      <c r="ED189" s="137"/>
      <c r="EE189" s="137"/>
      <c r="EF189" s="137"/>
      <c r="EG189" s="137"/>
      <c r="EH189" s="137"/>
      <c r="EI189" s="137"/>
      <c r="EJ189" s="137"/>
      <c r="EK189" s="137"/>
      <c r="EL189" s="137"/>
      <c r="EM189" s="137"/>
      <c r="EN189" s="137"/>
      <c r="EO189" s="137"/>
      <c r="EP189" s="137"/>
      <c r="EQ189" s="137"/>
      <c r="ER189" s="137"/>
      <c r="ES189" s="137"/>
      <c r="ET189" s="137"/>
      <c r="EU189" s="137"/>
      <c r="EV189" s="137"/>
      <c r="EW189" s="137"/>
      <c r="EX189" s="137"/>
      <c r="EY189" s="137"/>
      <c r="EZ189" s="137"/>
      <c r="FA189" s="137"/>
      <c r="FB189" s="137"/>
      <c r="FC189" s="137"/>
      <c r="FD189" s="137"/>
      <c r="FE189" s="137"/>
      <c r="FF189" s="137"/>
      <c r="FG189" s="137"/>
      <c r="FH189" s="137"/>
      <c r="FI189" s="137"/>
      <c r="FJ189" s="137"/>
      <c r="FK189" s="137"/>
      <c r="FL189" s="137"/>
      <c r="FM189" s="137"/>
      <c r="FN189" s="137"/>
      <c r="FO189" s="137"/>
      <c r="FP189" s="137"/>
      <c r="FQ189" s="137"/>
      <c r="FR189" s="137"/>
      <c r="FS189" s="137"/>
      <c r="FT189" s="137"/>
      <c r="FU189" s="137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</row>
    <row r="190" spans="2:198" ht="23.25">
      <c r="B190" s="127" t="s">
        <v>190</v>
      </c>
      <c r="C190" s="128">
        <v>9.3379020409179621E-3</v>
      </c>
      <c r="D190" s="128" t="s">
        <v>193</v>
      </c>
      <c r="E190" s="128">
        <v>9.6766620806302776E-3</v>
      </c>
      <c r="F190" s="128" t="s">
        <v>193</v>
      </c>
      <c r="G190" s="128">
        <v>1.067365832399516E-2</v>
      </c>
      <c r="H190" s="128" t="s">
        <v>193</v>
      </c>
      <c r="I190" s="128">
        <v>1.0093680640905296</v>
      </c>
      <c r="J190" s="128" t="s">
        <v>193</v>
      </c>
      <c r="K190" s="128">
        <v>1.1890540616311816E-2</v>
      </c>
      <c r="L190" s="128" t="s">
        <v>193</v>
      </c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  <c r="BO190" s="137"/>
      <c r="BP190" s="137"/>
      <c r="BQ190" s="137"/>
      <c r="BR190" s="137"/>
      <c r="BS190" s="137"/>
      <c r="BT190" s="137"/>
      <c r="BU190" s="137"/>
      <c r="BV190" s="137"/>
      <c r="BW190" s="137"/>
      <c r="BX190" s="137"/>
      <c r="BY190" s="137"/>
      <c r="BZ190" s="137"/>
      <c r="CA190" s="137"/>
      <c r="CB190" s="137"/>
      <c r="CC190" s="137"/>
      <c r="CD190" s="137"/>
      <c r="CE190" s="137"/>
      <c r="CF190" s="137"/>
      <c r="CG190" s="137"/>
      <c r="CH190" s="137"/>
      <c r="CI190" s="137"/>
      <c r="CJ190" s="137"/>
      <c r="CK190" s="137"/>
      <c r="CL190" s="137"/>
      <c r="CM190" s="137"/>
      <c r="CN190" s="137"/>
      <c r="CO190" s="137"/>
      <c r="CP190" s="137"/>
      <c r="CQ190" s="137"/>
      <c r="CR190" s="137"/>
      <c r="CS190" s="137"/>
      <c r="CT190" s="137"/>
      <c r="CU190" s="137"/>
      <c r="CV190" s="137"/>
      <c r="CW190" s="137"/>
      <c r="CX190" s="137"/>
      <c r="CY190" s="137"/>
      <c r="CZ190" s="137"/>
      <c r="DA190" s="137"/>
      <c r="DB190" s="137"/>
      <c r="DC190" s="137"/>
      <c r="DD190" s="137"/>
      <c r="DE190" s="137"/>
      <c r="DF190" s="137"/>
      <c r="DG190" s="137"/>
      <c r="DH190" s="137"/>
      <c r="DI190" s="137"/>
      <c r="DJ190" s="137"/>
      <c r="DK190" s="137"/>
      <c r="DL190" s="137"/>
      <c r="DM190" s="137"/>
      <c r="DN190" s="137"/>
      <c r="DO190" s="137"/>
      <c r="DP190" s="137"/>
      <c r="DQ190" s="137"/>
      <c r="DR190" s="137"/>
      <c r="DS190" s="137"/>
      <c r="DT190" s="137"/>
      <c r="DU190" s="137"/>
      <c r="DV190" s="137"/>
      <c r="DW190" s="137"/>
      <c r="DX190" s="137"/>
      <c r="DY190" s="137"/>
      <c r="DZ190" s="137"/>
      <c r="EA190" s="137"/>
      <c r="EB190" s="137"/>
      <c r="EC190" s="137"/>
      <c r="ED190" s="137"/>
      <c r="EE190" s="137"/>
      <c r="EF190" s="137"/>
      <c r="EG190" s="137"/>
      <c r="EH190" s="137"/>
      <c r="EI190" s="137"/>
      <c r="EJ190" s="137"/>
      <c r="EK190" s="137"/>
      <c r="EL190" s="137"/>
      <c r="EM190" s="137"/>
      <c r="EN190" s="137"/>
      <c r="EO190" s="137"/>
      <c r="EP190" s="137"/>
      <c r="EQ190" s="137"/>
      <c r="ER190" s="137"/>
      <c r="ES190" s="137"/>
      <c r="ET190" s="137"/>
      <c r="EU190" s="137"/>
      <c r="EV190" s="137"/>
      <c r="EW190" s="137"/>
      <c r="EX190" s="137"/>
      <c r="EY190" s="137"/>
      <c r="EZ190" s="137"/>
      <c r="FA190" s="137"/>
      <c r="FB190" s="137"/>
      <c r="FC190" s="137"/>
      <c r="FD190" s="137"/>
      <c r="FE190" s="137"/>
      <c r="FF190" s="137"/>
      <c r="FG190" s="137"/>
      <c r="FH190" s="137"/>
      <c r="FI190" s="137"/>
      <c r="FJ190" s="137"/>
      <c r="FK190" s="137"/>
      <c r="FL190" s="137"/>
      <c r="FM190" s="137"/>
      <c r="FN190" s="137"/>
      <c r="FO190" s="137"/>
      <c r="FP190" s="137"/>
      <c r="FQ190" s="137"/>
      <c r="FR190" s="137"/>
      <c r="FS190" s="137"/>
      <c r="FT190" s="137"/>
      <c r="FU190" s="137"/>
      <c r="FV190" s="10"/>
      <c r="FW190" s="10"/>
      <c r="FX190" s="10"/>
      <c r="FY190" s="114"/>
      <c r="FZ190" s="114"/>
      <c r="GA190" s="114"/>
      <c r="GB190" s="114"/>
      <c r="GC190" s="114"/>
      <c r="GD190" s="114"/>
      <c r="GE190" s="114"/>
      <c r="GF190" s="114"/>
      <c r="GG190" s="114"/>
      <c r="GH190" s="10"/>
      <c r="GI190" s="10"/>
      <c r="GJ190" s="10"/>
      <c r="GK190" s="10"/>
      <c r="GL190" s="10"/>
      <c r="GM190" s="10"/>
      <c r="GN190" s="10"/>
      <c r="GO190" s="10"/>
      <c r="GP190" s="10"/>
    </row>
    <row r="191" spans="2:198" ht="45.75">
      <c r="B191" s="126" t="s">
        <v>191</v>
      </c>
      <c r="C191" s="129">
        <v>8.4974908572353451E-3</v>
      </c>
      <c r="D191" s="129" t="s">
        <v>193</v>
      </c>
      <c r="E191" s="129">
        <v>9.2895955974050676E-3</v>
      </c>
      <c r="F191" s="129" t="s">
        <v>193</v>
      </c>
      <c r="G191" s="129">
        <v>1.003323882455545E-2</v>
      </c>
      <c r="H191" s="129" t="s">
        <v>193</v>
      </c>
      <c r="I191" s="129">
        <v>1.0090870221678139</v>
      </c>
      <c r="J191" s="129" t="s">
        <v>193</v>
      </c>
      <c r="K191" s="129">
        <v>1.093929736700687E-2</v>
      </c>
      <c r="L191" s="129" t="s">
        <v>193</v>
      </c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  <c r="BO191" s="137"/>
      <c r="BP191" s="137"/>
      <c r="BQ191" s="137"/>
      <c r="BR191" s="137"/>
      <c r="BS191" s="137"/>
      <c r="BT191" s="137"/>
      <c r="BU191" s="137"/>
      <c r="BV191" s="137"/>
      <c r="BW191" s="137"/>
      <c r="BX191" s="137"/>
      <c r="BY191" s="137"/>
      <c r="BZ191" s="137"/>
      <c r="CA191" s="137"/>
      <c r="CB191" s="137"/>
      <c r="CC191" s="137"/>
      <c r="CD191" s="137"/>
      <c r="CE191" s="137"/>
      <c r="CF191" s="137"/>
      <c r="CG191" s="137"/>
      <c r="CH191" s="137"/>
      <c r="CI191" s="137"/>
      <c r="CJ191" s="137"/>
      <c r="CK191" s="137"/>
      <c r="CL191" s="137"/>
      <c r="CM191" s="137"/>
      <c r="CN191" s="137"/>
      <c r="CO191" s="137"/>
      <c r="CP191" s="137"/>
      <c r="CQ191" s="137"/>
      <c r="CR191" s="137"/>
      <c r="CS191" s="137"/>
      <c r="CT191" s="137"/>
      <c r="CU191" s="137"/>
      <c r="CV191" s="137"/>
      <c r="CW191" s="137"/>
      <c r="CX191" s="137"/>
      <c r="CY191" s="137"/>
      <c r="CZ191" s="137"/>
      <c r="DA191" s="137"/>
      <c r="DB191" s="137"/>
      <c r="DC191" s="137"/>
      <c r="DD191" s="137"/>
      <c r="DE191" s="137"/>
      <c r="DF191" s="137"/>
      <c r="DG191" s="137"/>
      <c r="DH191" s="137"/>
      <c r="DI191" s="137"/>
      <c r="DJ191" s="137"/>
      <c r="DK191" s="137"/>
      <c r="DL191" s="137"/>
      <c r="DM191" s="137"/>
      <c r="DN191" s="137"/>
      <c r="DO191" s="137"/>
      <c r="DP191" s="137"/>
      <c r="DQ191" s="137"/>
      <c r="DR191" s="137"/>
      <c r="DS191" s="137"/>
      <c r="DT191" s="137"/>
      <c r="DU191" s="137"/>
      <c r="DV191" s="137"/>
      <c r="DW191" s="137"/>
      <c r="DX191" s="137"/>
      <c r="DY191" s="137"/>
      <c r="DZ191" s="137"/>
      <c r="EA191" s="137"/>
      <c r="EB191" s="137"/>
      <c r="EC191" s="137"/>
      <c r="ED191" s="137"/>
      <c r="EE191" s="137"/>
      <c r="EF191" s="137"/>
      <c r="EG191" s="137"/>
      <c r="EH191" s="137"/>
      <c r="EI191" s="137"/>
      <c r="EJ191" s="137"/>
      <c r="EK191" s="137"/>
      <c r="EL191" s="137"/>
      <c r="EM191" s="137"/>
      <c r="EN191" s="137"/>
      <c r="EO191" s="137"/>
      <c r="EP191" s="137"/>
      <c r="EQ191" s="137"/>
      <c r="ER191" s="137"/>
      <c r="ES191" s="137"/>
      <c r="ET191" s="137"/>
      <c r="EU191" s="137"/>
      <c r="EV191" s="137"/>
      <c r="EW191" s="137"/>
      <c r="EX191" s="137"/>
      <c r="EY191" s="137"/>
      <c r="EZ191" s="137"/>
      <c r="FA191" s="137"/>
      <c r="FB191" s="137"/>
      <c r="FC191" s="137"/>
      <c r="FD191" s="137"/>
      <c r="FE191" s="137"/>
      <c r="FF191" s="137"/>
      <c r="FG191" s="137"/>
      <c r="FH191" s="137"/>
      <c r="FI191" s="137"/>
      <c r="FJ191" s="137"/>
      <c r="FK191" s="137"/>
      <c r="FL191" s="137"/>
      <c r="FM191" s="137"/>
      <c r="FN191" s="137"/>
      <c r="FO191" s="137"/>
      <c r="FP191" s="137"/>
      <c r="FQ191" s="137"/>
      <c r="FR191" s="137"/>
      <c r="FS191" s="137"/>
      <c r="FT191" s="137"/>
      <c r="FU191" s="137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</row>
    <row r="192" spans="2:198" ht="34.5">
      <c r="B192" s="134" t="s">
        <v>192</v>
      </c>
      <c r="C192" s="135">
        <v>0.3866358340042082</v>
      </c>
      <c r="D192" s="135" t="s">
        <v>4</v>
      </c>
      <c r="E192" s="135">
        <v>0.41803180188322808</v>
      </c>
      <c r="F192" s="135" t="s">
        <v>4</v>
      </c>
      <c r="G192" s="135">
        <v>0.47156222475410614</v>
      </c>
      <c r="H192" s="135" t="s">
        <v>4</v>
      </c>
      <c r="I192" s="135">
        <v>1.4316335529711555</v>
      </c>
      <c r="J192" s="135" t="s">
        <v>4</v>
      </c>
      <c r="K192" s="135">
        <v>0.49226838151530922</v>
      </c>
      <c r="L192" s="135" t="s">
        <v>4</v>
      </c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  <c r="BO192" s="137"/>
      <c r="BP192" s="137"/>
      <c r="BQ192" s="137"/>
      <c r="BR192" s="137"/>
      <c r="BS192" s="137"/>
      <c r="BT192" s="137"/>
      <c r="BU192" s="137"/>
      <c r="BV192" s="137"/>
      <c r="BW192" s="137"/>
      <c r="BX192" s="137"/>
      <c r="BY192" s="137"/>
      <c r="BZ192" s="137"/>
      <c r="CA192" s="137"/>
      <c r="CB192" s="137"/>
      <c r="CC192" s="137"/>
      <c r="CD192" s="137"/>
      <c r="CE192" s="137"/>
      <c r="CF192" s="137"/>
      <c r="CG192" s="137"/>
      <c r="CH192" s="137"/>
      <c r="CI192" s="137"/>
      <c r="CJ192" s="137"/>
      <c r="CK192" s="137"/>
      <c r="CL192" s="137"/>
      <c r="CM192" s="137"/>
      <c r="CN192" s="137"/>
      <c r="CO192" s="137"/>
      <c r="CP192" s="137"/>
      <c r="CQ192" s="137"/>
      <c r="CR192" s="137"/>
      <c r="CS192" s="137"/>
      <c r="CT192" s="137"/>
      <c r="CU192" s="137"/>
      <c r="CV192" s="137"/>
      <c r="CW192" s="137"/>
      <c r="CX192" s="137"/>
      <c r="CY192" s="137"/>
      <c r="CZ192" s="137"/>
      <c r="DA192" s="137"/>
      <c r="DB192" s="137"/>
      <c r="DC192" s="137"/>
      <c r="DD192" s="137"/>
      <c r="DE192" s="137"/>
      <c r="DF192" s="137"/>
      <c r="DG192" s="137"/>
      <c r="DH192" s="137"/>
      <c r="DI192" s="137"/>
      <c r="DJ192" s="137"/>
      <c r="DK192" s="137"/>
      <c r="DL192" s="137"/>
      <c r="DM192" s="137"/>
      <c r="DN192" s="137"/>
      <c r="DO192" s="137"/>
      <c r="DP192" s="137"/>
      <c r="DQ192" s="137"/>
      <c r="DR192" s="137"/>
      <c r="DS192" s="137"/>
      <c r="DT192" s="137"/>
      <c r="DU192" s="137"/>
      <c r="DV192" s="137"/>
      <c r="DW192" s="137"/>
      <c r="DX192" s="137"/>
      <c r="DY192" s="137"/>
      <c r="DZ192" s="137"/>
      <c r="EA192" s="137"/>
      <c r="EB192" s="137"/>
      <c r="EC192" s="137"/>
      <c r="ED192" s="137"/>
      <c r="EE192" s="137"/>
      <c r="EF192" s="137"/>
      <c r="EG192" s="137"/>
      <c r="EH192" s="137"/>
      <c r="EI192" s="137"/>
      <c r="EJ192" s="137"/>
      <c r="EK192" s="137"/>
      <c r="EL192" s="137"/>
      <c r="EM192" s="137"/>
      <c r="EN192" s="137"/>
      <c r="EO192" s="137"/>
      <c r="EP192" s="137"/>
      <c r="EQ192" s="137"/>
      <c r="ER192" s="137"/>
      <c r="ES192" s="137"/>
      <c r="ET192" s="137"/>
      <c r="EU192" s="137"/>
      <c r="EV192" s="137"/>
      <c r="EW192" s="137"/>
      <c r="EX192" s="137"/>
      <c r="EY192" s="137"/>
      <c r="EZ192" s="137"/>
      <c r="FA192" s="137"/>
      <c r="FB192" s="137"/>
      <c r="FC192" s="137"/>
      <c r="FD192" s="137"/>
      <c r="FE192" s="137"/>
      <c r="FF192" s="137"/>
      <c r="FG192" s="137"/>
      <c r="FH192" s="137"/>
      <c r="FI192" s="137"/>
      <c r="FJ192" s="137"/>
      <c r="FK192" s="137"/>
      <c r="FL192" s="137"/>
      <c r="FM192" s="137"/>
      <c r="FN192" s="137"/>
      <c r="FO192" s="137"/>
      <c r="FP192" s="137"/>
      <c r="FQ192" s="137"/>
      <c r="FR192" s="137"/>
      <c r="FS192" s="137"/>
      <c r="FT192" s="137"/>
      <c r="FU192" s="137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  <c r="GP192" s="10"/>
    </row>
    <row r="193" spans="178:198"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  <c r="GN193" s="10"/>
      <c r="GO193" s="10"/>
      <c r="GP193" s="10"/>
    </row>
    <row r="194" spans="178:198">
      <c r="FV194" s="4"/>
      <c r="FW194" s="4"/>
      <c r="FX194" s="4"/>
      <c r="FY194" s="116"/>
      <c r="FZ194" s="116"/>
      <c r="GA194" s="116"/>
      <c r="GB194" s="116"/>
      <c r="GC194" s="116"/>
      <c r="GD194" s="116"/>
      <c r="GE194" s="116"/>
      <c r="GF194" s="116"/>
      <c r="GG194" s="116"/>
      <c r="GH194" s="4"/>
      <c r="GI194" s="4"/>
      <c r="GJ194" s="4"/>
      <c r="GK194" s="4"/>
      <c r="GL194" s="4"/>
      <c r="GM194" s="4"/>
      <c r="GN194" s="4"/>
      <c r="GO194" s="4"/>
      <c r="GP194" s="4"/>
    </row>
    <row r="195" spans="178:198">
      <c r="FV195" s="4"/>
      <c r="FW195" s="4"/>
      <c r="FX195" s="4"/>
      <c r="FY195" s="116"/>
      <c r="FZ195" s="116"/>
      <c r="GA195" s="116"/>
      <c r="GB195" s="116"/>
      <c r="GC195" s="116"/>
      <c r="GD195" s="116"/>
      <c r="GE195" s="116"/>
      <c r="GF195" s="116"/>
      <c r="GG195" s="116"/>
      <c r="GH195" s="4"/>
      <c r="GI195" s="4"/>
      <c r="GJ195" s="4"/>
      <c r="GK195" s="4"/>
      <c r="GL195" s="4"/>
      <c r="GM195" s="4"/>
      <c r="GN195" s="4"/>
      <c r="GO195" s="4"/>
      <c r="GP195" s="4"/>
    </row>
    <row r="196" spans="178:198">
      <c r="FV196" s="1"/>
      <c r="FW196" s="89"/>
      <c r="FX196" s="77"/>
      <c r="FY196" s="2"/>
      <c r="FZ196" s="2"/>
      <c r="GA196" s="2"/>
      <c r="GB196" s="2"/>
      <c r="GC196" s="2"/>
      <c r="GD196" s="2"/>
      <c r="GE196" s="2"/>
      <c r="GF196" s="2"/>
      <c r="GG196" s="2"/>
      <c r="GH196" s="1"/>
      <c r="GI196" s="1"/>
      <c r="GJ196" s="1"/>
      <c r="GK196" s="1"/>
      <c r="GL196" s="1"/>
      <c r="GM196" s="1"/>
      <c r="GN196" s="1"/>
      <c r="GO196" s="1"/>
      <c r="GP196" s="1"/>
    </row>
    <row r="197" spans="178:198">
      <c r="FV197" s="120"/>
      <c r="FW197" s="117"/>
      <c r="FX197" s="118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20"/>
      <c r="GI197" s="120"/>
      <c r="GJ197" s="120"/>
      <c r="GK197" s="120"/>
      <c r="GL197" s="120"/>
      <c r="GM197" s="120"/>
      <c r="GN197" s="120"/>
      <c r="GO197" s="120"/>
      <c r="GP197" s="120"/>
    </row>
    <row r="198" spans="178:198">
      <c r="FV198" s="120"/>
      <c r="FW198" s="117"/>
      <c r="FX198" s="121"/>
      <c r="FY198" s="119"/>
      <c r="FZ198" s="119"/>
      <c r="GA198" s="119"/>
      <c r="GB198" s="119"/>
      <c r="GC198" s="119"/>
      <c r="GD198" s="119"/>
      <c r="GE198" s="119"/>
      <c r="GF198" s="119"/>
      <c r="GG198" s="119"/>
      <c r="GH198" s="120"/>
      <c r="GI198" s="120"/>
      <c r="GJ198" s="120"/>
      <c r="GK198" s="120"/>
      <c r="GL198" s="120"/>
      <c r="GM198" s="120"/>
      <c r="GN198" s="120"/>
      <c r="GO198" s="120"/>
      <c r="GP198" s="120"/>
    </row>
    <row r="199" spans="178:198">
      <c r="FV199" s="4"/>
      <c r="FW199" s="4"/>
      <c r="FX199" s="4"/>
      <c r="FY199" s="116"/>
      <c r="FZ199" s="116"/>
      <c r="GA199" s="116"/>
      <c r="GB199" s="116"/>
      <c r="GC199" s="116"/>
      <c r="GD199" s="116"/>
      <c r="GE199" s="116"/>
      <c r="GF199" s="116"/>
      <c r="GG199" s="116"/>
      <c r="GH199" s="4"/>
      <c r="GI199" s="4"/>
      <c r="GJ199" s="4"/>
      <c r="GK199" s="4"/>
      <c r="GL199" s="4"/>
      <c r="GM199" s="4"/>
      <c r="GN199" s="4"/>
      <c r="GO199" s="4"/>
      <c r="GP199" s="4"/>
    </row>
    <row r="200" spans="178:198">
      <c r="FV200" s="4"/>
      <c r="FW200" s="4"/>
      <c r="FX200" s="4"/>
      <c r="FY200" s="116"/>
      <c r="FZ200" s="116"/>
      <c r="GA200" s="116"/>
      <c r="GB200" s="116"/>
      <c r="GC200" s="116"/>
      <c r="GD200" s="116"/>
      <c r="GE200" s="116"/>
      <c r="GF200" s="116"/>
      <c r="GG200" s="116"/>
      <c r="GH200" s="4"/>
      <c r="GI200" s="4"/>
      <c r="GJ200" s="4"/>
      <c r="GK200" s="4"/>
      <c r="GL200" s="4"/>
      <c r="GM200" s="4"/>
      <c r="GN200" s="4"/>
      <c r="GO200" s="4"/>
      <c r="GP200" s="4"/>
    </row>
    <row r="201" spans="178:198">
      <c r="FV201" s="1"/>
      <c r="FW201" s="89"/>
      <c r="FX201" s="77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</row>
    <row r="202" spans="178:198">
      <c r="FV202" s="1"/>
      <c r="FW202" s="89"/>
      <c r="FX202" s="77"/>
      <c r="FY202" s="2"/>
      <c r="FZ202" s="2"/>
      <c r="GA202" s="2"/>
      <c r="GB202" s="2"/>
      <c r="GC202" s="2"/>
      <c r="GD202" s="2"/>
      <c r="GE202" s="2"/>
      <c r="GF202" s="2"/>
      <c r="GG202" s="2"/>
      <c r="GH202" s="1"/>
      <c r="GI202" s="1"/>
      <c r="GJ202" s="1"/>
      <c r="GK202" s="1"/>
      <c r="GL202" s="1"/>
      <c r="GM202" s="1"/>
      <c r="GN202" s="1"/>
      <c r="GO202" s="1"/>
      <c r="GP202" s="1"/>
    </row>
    <row r="203" spans="178:198">
      <c r="FV203" s="1"/>
      <c r="FW203" s="111"/>
      <c r="FX203" s="103"/>
      <c r="FY203" s="2"/>
      <c r="FZ203" s="2"/>
      <c r="GA203" s="2"/>
      <c r="GB203" s="2"/>
      <c r="GC203" s="2"/>
      <c r="GD203" s="2"/>
      <c r="GE203" s="2"/>
      <c r="GF203" s="2"/>
      <c r="GG203" s="2"/>
      <c r="GH203" s="1"/>
      <c r="GI203" s="1"/>
      <c r="GJ203" s="1"/>
      <c r="GK203" s="1"/>
      <c r="GL203" s="1"/>
      <c r="GM203" s="1"/>
      <c r="GN203" s="1"/>
      <c r="GO203" s="1"/>
      <c r="GP203" s="1"/>
    </row>
    <row r="204" spans="178:198">
      <c r="FV204" s="1"/>
      <c r="FW204" s="111"/>
      <c r="FX204" s="103"/>
      <c r="FY204" s="2"/>
      <c r="FZ204" s="2"/>
      <c r="GA204" s="2"/>
      <c r="GB204" s="2"/>
      <c r="GC204" s="2"/>
      <c r="GD204" s="2"/>
      <c r="GE204" s="2"/>
      <c r="GF204" s="2"/>
      <c r="GG204" s="2"/>
      <c r="GH204" s="1"/>
      <c r="GI204" s="1"/>
      <c r="GJ204" s="1"/>
      <c r="GK204" s="1"/>
      <c r="GL204" s="1"/>
      <c r="GM204" s="1"/>
      <c r="GN204" s="1"/>
      <c r="GO204" s="1"/>
      <c r="GP204" s="1"/>
    </row>
    <row r="205" spans="178:198">
      <c r="FV205" s="10"/>
      <c r="FW205" s="115"/>
      <c r="FX205" s="122"/>
      <c r="FY205" s="114"/>
      <c r="FZ205" s="114"/>
      <c r="GA205" s="114"/>
      <c r="GB205" s="114"/>
      <c r="GC205" s="114"/>
      <c r="GD205" s="114"/>
      <c r="GE205" s="114"/>
      <c r="GF205" s="114"/>
      <c r="GG205" s="114"/>
      <c r="GH205" s="10"/>
      <c r="GI205" s="10"/>
      <c r="GJ205" s="10"/>
      <c r="GK205" s="10"/>
      <c r="GL205" s="10"/>
      <c r="GM205" s="10"/>
      <c r="GN205" s="10"/>
      <c r="GO205" s="10"/>
      <c r="GP205" s="10"/>
    </row>
    <row r="206" spans="178:198">
      <c r="FV206" s="10"/>
      <c r="FW206" s="115"/>
      <c r="FX206" s="10"/>
      <c r="FY206" s="114"/>
      <c r="FZ206" s="114"/>
      <c r="GA206" s="114"/>
      <c r="GB206" s="114"/>
      <c r="GC206" s="114"/>
      <c r="GD206" s="114"/>
      <c r="GE206" s="114"/>
      <c r="GF206" s="114"/>
      <c r="GG206" s="114"/>
      <c r="GH206" s="10"/>
      <c r="GI206" s="10"/>
      <c r="GJ206" s="10"/>
      <c r="GK206" s="10"/>
      <c r="GL206" s="10"/>
      <c r="GM206" s="10"/>
      <c r="GN206" s="10"/>
      <c r="GO206" s="10"/>
      <c r="GP206" s="10"/>
    </row>
    <row r="207" spans="178:198">
      <c r="FV207" s="10"/>
      <c r="FW207" s="115"/>
      <c r="FX207" s="10"/>
      <c r="FY207" s="114"/>
      <c r="FZ207" s="114"/>
      <c r="GA207" s="114"/>
      <c r="GB207" s="114"/>
      <c r="GC207" s="114"/>
      <c r="GD207" s="114"/>
      <c r="GE207" s="114"/>
      <c r="GF207" s="114"/>
      <c r="GG207" s="114"/>
      <c r="GH207" s="10"/>
      <c r="GI207" s="10"/>
      <c r="GJ207" s="10"/>
      <c r="GK207" s="10"/>
      <c r="GL207" s="10"/>
      <c r="GM207" s="10"/>
      <c r="GN207" s="10"/>
      <c r="GO207" s="10"/>
      <c r="GP207" s="10"/>
    </row>
    <row r="208" spans="178:198"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</row>
    <row r="209" spans="178:198"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</row>
    <row r="210" spans="178:198"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</row>
    <row r="211" spans="178:198"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</row>
    <row r="212" spans="178:198"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</row>
    <row r="213" spans="178:198"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</row>
    <row r="214" spans="178:198"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</row>
    <row r="215" spans="178:198"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</row>
    <row r="216" spans="178:198"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</row>
    <row r="217" spans="178:198"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</row>
    <row r="218" spans="178:198"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</row>
    <row r="219" spans="178:198"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</row>
    <row r="220" spans="178:198"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</row>
    <row r="221" spans="178:198"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</row>
    <row r="222" spans="178:198"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</row>
    <row r="223" spans="178:198"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</row>
    <row r="224" spans="178:198"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</row>
    <row r="225" spans="178:198"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</row>
    <row r="226" spans="178:198"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</row>
    <row r="227" spans="178:198"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</row>
    <row r="228" spans="178:198"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</row>
    <row r="229" spans="178:198"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</row>
    <row r="230" spans="178:198"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</row>
    <row r="231" spans="178:198"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</row>
    <row r="232" spans="178:198"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</row>
    <row r="233" spans="178:198"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</row>
    <row r="234" spans="178:198"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</row>
    <row r="235" spans="178:198"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</row>
    <row r="236" spans="178:198"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</row>
    <row r="237" spans="178:198"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</row>
    <row r="238" spans="178:198"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</row>
    <row r="239" spans="178:198"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</row>
    <row r="240" spans="178:198"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</row>
    <row r="241" spans="178:198"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</row>
    <row r="242" spans="178:198"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</row>
    <row r="243" spans="178:198"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</row>
    <row r="244" spans="178:198"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</row>
    <row r="245" spans="178:198"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</row>
    <row r="246" spans="178:198"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</row>
    <row r="247" spans="178:198"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</row>
    <row r="248" spans="178:198"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</row>
    <row r="249" spans="178:198"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</row>
    <row r="250" spans="178:198"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</row>
    <row r="251" spans="178:198"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</row>
    <row r="252" spans="178:198"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</row>
    <row r="253" spans="178:198"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</row>
    <row r="254" spans="178:198"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</row>
    <row r="255" spans="178:198"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</row>
    <row r="256" spans="178:198"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</row>
    <row r="257" spans="178:198"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</row>
    <row r="258" spans="178:198"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</row>
    <row r="259" spans="178:198"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</row>
    <row r="260" spans="178:198"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</row>
    <row r="261" spans="178:198"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</row>
    <row r="262" spans="178:198"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</row>
    <row r="263" spans="178:198"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</row>
    <row r="264" spans="178:198"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</row>
    <row r="265" spans="178:198"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</row>
    <row r="266" spans="178:198"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</row>
    <row r="267" spans="178:198"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</row>
    <row r="268" spans="178:198"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</row>
    <row r="269" spans="178:198"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</row>
  </sheetData>
  <mergeCells count="9">
    <mergeCell ref="B1:L1"/>
    <mergeCell ref="O2:P2"/>
    <mergeCell ref="O4:P4"/>
    <mergeCell ref="B2:B3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DL1039990"/>
  <sheetViews>
    <sheetView workbookViewId="0"/>
  </sheetViews>
  <sheetFormatPr defaultRowHeight="15"/>
  <cols>
    <col min="325" max="345" width="0" hidden="1" customWidth="1"/>
    <col min="349" max="349" width="11.140625" bestFit="1" customWidth="1"/>
    <col min="350" max="350" width="11.140625" hidden="1" customWidth="1"/>
    <col min="351" max="370" width="0" hidden="1" customWidth="1"/>
    <col min="372" max="421" width="0" hidden="1" customWidth="1"/>
  </cols>
  <sheetData>
    <row r="1" spans="2:421"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</row>
    <row r="2" spans="2:421">
      <c r="B2" s="190" t="s">
        <v>198</v>
      </c>
      <c r="C2" s="190"/>
      <c r="D2" s="190"/>
      <c r="E2" s="190"/>
      <c r="F2" s="190"/>
      <c r="G2" s="190"/>
      <c r="LM2" s="1"/>
      <c r="LN2" s="72"/>
      <c r="LO2" s="72"/>
      <c r="LP2" s="72"/>
      <c r="LQ2" s="72"/>
      <c r="LR2" s="72"/>
      <c r="LS2" s="72"/>
      <c r="LT2" s="72"/>
      <c r="LU2" s="72"/>
      <c r="LV2" s="72"/>
      <c r="LW2" s="72"/>
      <c r="LX2" s="72"/>
      <c r="LY2" s="1"/>
      <c r="LZ2" s="72"/>
      <c r="MA2" s="72"/>
      <c r="MB2" s="72"/>
      <c r="MC2" s="72"/>
      <c r="MD2" s="72"/>
      <c r="ME2" s="72"/>
      <c r="MF2" s="72"/>
      <c r="MG2" s="72"/>
      <c r="NH2" s="62"/>
      <c r="NI2" s="62"/>
      <c r="NJ2" s="62"/>
      <c r="NK2" s="62"/>
      <c r="NL2" s="63"/>
      <c r="NM2" s="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</row>
    <row r="3" spans="2:421">
      <c r="B3" s="136"/>
      <c r="C3" s="124">
        <v>2021</v>
      </c>
      <c r="D3" s="124">
        <v>2022</v>
      </c>
      <c r="E3" s="124">
        <v>2023</v>
      </c>
      <c r="F3" s="124">
        <v>2024</v>
      </c>
      <c r="G3" s="124">
        <v>2025</v>
      </c>
      <c r="LM3" s="1"/>
      <c r="LN3" s="123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1"/>
      <c r="LZ3" s="1"/>
      <c r="MA3" s="1"/>
      <c r="MB3" s="1"/>
      <c r="MC3" s="1"/>
      <c r="MD3" s="1"/>
      <c r="ME3" s="1"/>
      <c r="MF3" s="1"/>
      <c r="MG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H3" s="1"/>
      <c r="NI3" s="1"/>
      <c r="NJ3" s="1"/>
      <c r="NK3" s="1"/>
      <c r="NL3" s="9"/>
      <c r="NM3" s="1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1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1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</row>
    <row r="4" spans="2:421">
      <c r="B4" s="127" t="s">
        <v>106</v>
      </c>
      <c r="C4" s="133">
        <v>1.2</v>
      </c>
      <c r="D4" s="133">
        <v>1.0799999999999998</v>
      </c>
      <c r="E4" s="133">
        <v>1.3198679999999998</v>
      </c>
      <c r="F4" s="133">
        <v>1.3068</v>
      </c>
      <c r="G4" s="133">
        <v>1.1761199999999998</v>
      </c>
      <c r="LM4" s="1"/>
      <c r="LN4" s="1"/>
      <c r="LO4" s="1"/>
      <c r="LP4" s="84"/>
      <c r="LQ4" s="84"/>
      <c r="LR4" s="84"/>
      <c r="LS4" s="84"/>
      <c r="LT4" s="84"/>
      <c r="LU4" s="84"/>
      <c r="LV4" s="84"/>
      <c r="LW4" s="84"/>
      <c r="LX4" s="84"/>
      <c r="LY4" s="2"/>
      <c r="LZ4" s="1"/>
      <c r="MA4" s="1"/>
      <c r="MB4" s="1"/>
      <c r="MC4" s="1"/>
      <c r="MD4" s="1"/>
      <c r="ME4" s="1"/>
      <c r="MF4" s="1"/>
      <c r="MG4" s="1"/>
      <c r="MK4" s="137"/>
      <c r="ML4" s="1"/>
      <c r="MM4" s="72"/>
      <c r="MN4" s="72"/>
      <c r="MO4" s="72"/>
      <c r="MP4" s="72"/>
      <c r="MQ4" s="72"/>
      <c r="MR4" s="72"/>
      <c r="MS4" s="72"/>
      <c r="MT4" s="72"/>
      <c r="MU4" s="72"/>
      <c r="MV4" s="72"/>
      <c r="MW4" s="72"/>
      <c r="MX4" s="1"/>
      <c r="MY4" s="72"/>
      <c r="MZ4" s="72"/>
      <c r="NA4" s="72"/>
      <c r="NB4" s="72"/>
      <c r="NC4" s="72"/>
      <c r="ND4" s="72"/>
      <c r="NE4" s="72"/>
      <c r="NF4" s="72"/>
      <c r="NH4" s="14"/>
      <c r="NI4" s="14"/>
      <c r="NJ4" s="14"/>
      <c r="NK4" s="14"/>
      <c r="NL4" s="65"/>
      <c r="NM4" s="1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</row>
    <row r="5" spans="2:421">
      <c r="B5" s="127" t="s">
        <v>68</v>
      </c>
      <c r="C5" s="128">
        <v>2.42</v>
      </c>
      <c r="D5" s="128">
        <v>2.1779999999999999</v>
      </c>
      <c r="E5" s="128">
        <v>2.1777821999999998</v>
      </c>
      <c r="F5" s="128">
        <v>1.9601999999999999</v>
      </c>
      <c r="G5" s="128">
        <v>2.3522399999999997</v>
      </c>
      <c r="LM5" s="1"/>
      <c r="LN5" s="10"/>
      <c r="LO5" s="1"/>
      <c r="LP5" s="84"/>
      <c r="LQ5" s="84"/>
      <c r="LR5" s="84"/>
      <c r="LS5" s="84"/>
      <c r="LT5" s="84"/>
      <c r="LU5" s="84"/>
      <c r="LV5" s="84"/>
      <c r="LW5" s="84"/>
      <c r="LX5" s="84"/>
      <c r="LY5" s="1"/>
      <c r="LZ5" s="1"/>
      <c r="MA5" s="1"/>
      <c r="MB5" s="1"/>
      <c r="MC5" s="1"/>
      <c r="MD5" s="1"/>
      <c r="ME5" s="1"/>
      <c r="MF5" s="1"/>
      <c r="MG5" s="1"/>
      <c r="MK5" s="137"/>
      <c r="ML5" s="1"/>
      <c r="MM5" s="123"/>
      <c r="MN5" s="75"/>
      <c r="MO5" s="75"/>
      <c r="MP5" s="75"/>
      <c r="MQ5" s="75"/>
      <c r="MR5" s="75"/>
      <c r="MS5" s="75"/>
      <c r="MT5" s="75"/>
      <c r="MU5" s="75"/>
      <c r="MV5" s="75"/>
      <c r="MW5" s="75"/>
      <c r="MX5" s="1"/>
      <c r="MY5" s="1"/>
      <c r="MZ5" s="1"/>
      <c r="NA5" s="1"/>
      <c r="NB5" s="1"/>
      <c r="NC5" s="1"/>
      <c r="ND5" s="1"/>
      <c r="NE5" s="1"/>
      <c r="NF5" s="1"/>
      <c r="NH5" s="55"/>
      <c r="NI5" s="146"/>
      <c r="NJ5" s="92"/>
      <c r="NK5" s="92"/>
      <c r="NL5" s="66"/>
      <c r="NM5" s="10"/>
      <c r="NN5" s="22"/>
      <c r="NO5" s="22"/>
      <c r="NP5" s="44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1"/>
      <c r="OD5" s="21"/>
      <c r="OE5" s="21"/>
      <c r="OF5" s="21"/>
      <c r="OG5" s="21"/>
      <c r="OH5" s="21"/>
      <c r="OI5" s="21"/>
      <c r="OJ5" s="21"/>
      <c r="OK5" s="21"/>
      <c r="OL5" s="21"/>
      <c r="OM5" s="21"/>
      <c r="ON5" s="21"/>
      <c r="OO5" s="21"/>
      <c r="OP5" s="21"/>
      <c r="OQ5" s="22"/>
      <c r="OR5" s="21"/>
      <c r="OS5" s="21"/>
      <c r="OT5" s="21"/>
      <c r="OU5" s="17"/>
      <c r="OV5" s="21"/>
      <c r="OW5" s="21"/>
      <c r="OX5" s="21"/>
      <c r="OY5" s="21"/>
      <c r="OZ5" s="21"/>
      <c r="PA5" s="21"/>
      <c r="PB5" s="21"/>
      <c r="PC5" s="21"/>
      <c r="PD5" s="21"/>
      <c r="PE5" s="21"/>
    </row>
    <row r="6" spans="2:421">
      <c r="B6" s="127" t="s">
        <v>70</v>
      </c>
      <c r="C6" s="140">
        <v>2.15</v>
      </c>
      <c r="D6" s="140">
        <v>2.15</v>
      </c>
      <c r="E6" s="140">
        <v>2.3886499999999997</v>
      </c>
      <c r="F6" s="140">
        <v>2.5799999999999996</v>
      </c>
      <c r="G6" s="140">
        <v>2.0639999999999996</v>
      </c>
      <c r="LM6" s="1"/>
      <c r="LN6" s="1"/>
      <c r="LO6" s="1"/>
      <c r="LP6" s="84"/>
      <c r="LQ6" s="84"/>
      <c r="LR6" s="84"/>
      <c r="LS6" s="84"/>
      <c r="LT6" s="84"/>
      <c r="LU6" s="84"/>
      <c r="LV6" s="84"/>
      <c r="LW6" s="84"/>
      <c r="LX6" s="84"/>
      <c r="LY6" s="1"/>
      <c r="LZ6" s="1"/>
      <c r="MA6" s="1"/>
      <c r="MB6" s="1"/>
      <c r="MC6" s="1"/>
      <c r="MD6" s="1"/>
      <c r="ME6" s="1"/>
      <c r="MF6" s="1"/>
      <c r="MG6" s="1"/>
      <c r="MK6" s="137"/>
      <c r="ML6" s="1"/>
      <c r="MM6" s="1"/>
      <c r="MN6" s="1"/>
      <c r="MO6" s="84"/>
      <c r="MP6" s="84"/>
      <c r="MQ6" s="84"/>
      <c r="MR6" s="84"/>
      <c r="MS6" s="84"/>
      <c r="MT6" s="84"/>
      <c r="MU6" s="84"/>
      <c r="MV6" s="84"/>
      <c r="MW6" s="84"/>
      <c r="MX6" s="2"/>
      <c r="MY6" s="1"/>
      <c r="MZ6" s="1"/>
      <c r="NA6" s="1"/>
      <c r="NB6" s="1"/>
      <c r="NC6" s="1"/>
      <c r="ND6" s="1"/>
      <c r="NE6" s="1"/>
      <c r="NF6" s="1"/>
      <c r="NH6" s="55"/>
      <c r="NI6" s="79"/>
      <c r="NJ6" s="78"/>
      <c r="NK6" s="78"/>
      <c r="NL6" s="67"/>
      <c r="NM6" s="10"/>
      <c r="NN6" s="147"/>
      <c r="NO6" s="147"/>
      <c r="NP6" s="148"/>
      <c r="NQ6" s="147"/>
      <c r="NR6" s="147"/>
      <c r="NS6" s="25"/>
      <c r="NT6" s="25"/>
      <c r="NU6" s="25"/>
      <c r="NV6" s="25"/>
      <c r="NW6" s="25"/>
      <c r="NX6" s="25"/>
      <c r="NY6" s="25"/>
      <c r="NZ6" s="25"/>
      <c r="OA6" s="25"/>
      <c r="OB6" s="22"/>
      <c r="OC6" s="29"/>
      <c r="OD6" s="29"/>
      <c r="OE6" s="29"/>
      <c r="OF6" s="29"/>
      <c r="OG6" s="29"/>
      <c r="OH6" s="25"/>
      <c r="OI6" s="25"/>
      <c r="OJ6" s="25"/>
      <c r="OK6" s="25"/>
      <c r="OL6" s="25"/>
      <c r="OM6" s="25"/>
      <c r="ON6" s="25"/>
      <c r="OO6" s="25"/>
      <c r="OP6" s="25"/>
      <c r="OQ6" s="108"/>
      <c r="OR6" s="149"/>
      <c r="OS6" s="149"/>
      <c r="OT6" s="149"/>
      <c r="OU6" s="149"/>
      <c r="OV6" s="149"/>
      <c r="OW6" s="25"/>
      <c r="OX6" s="25"/>
      <c r="OY6" s="25"/>
      <c r="OZ6" s="25"/>
      <c r="PA6" s="25"/>
      <c r="PB6" s="25"/>
      <c r="PC6" s="25"/>
      <c r="PD6" s="25"/>
      <c r="PE6" s="25"/>
    </row>
    <row r="7" spans="2:421">
      <c r="B7" s="126" t="s">
        <v>145</v>
      </c>
      <c r="C7" s="129">
        <v>1.33</v>
      </c>
      <c r="D7" s="129">
        <v>1.1970000000000001</v>
      </c>
      <c r="E7" s="129">
        <v>1.3298670000000001</v>
      </c>
      <c r="F7" s="129">
        <v>1.4364000000000001</v>
      </c>
      <c r="G7" s="129">
        <v>1.4364000000000001</v>
      </c>
      <c r="LM7" s="10"/>
      <c r="LN7" s="10"/>
      <c r="LO7" s="10"/>
      <c r="LP7" s="91"/>
      <c r="LQ7" s="91"/>
      <c r="LR7" s="91"/>
      <c r="LS7" s="91"/>
      <c r="LT7" s="91"/>
      <c r="LU7" s="91"/>
      <c r="LV7" s="91"/>
      <c r="LW7" s="91"/>
      <c r="LX7" s="91"/>
      <c r="LY7" s="10"/>
      <c r="LZ7" s="10"/>
      <c r="MA7" s="10"/>
      <c r="MB7" s="10"/>
      <c r="MC7" s="10"/>
      <c r="MD7" s="10"/>
      <c r="ME7" s="10"/>
      <c r="MF7" s="10"/>
      <c r="MG7" s="10"/>
      <c r="MK7" s="137"/>
      <c r="ML7" s="1"/>
      <c r="MM7" s="10"/>
      <c r="MN7" s="1"/>
      <c r="MO7" s="84"/>
      <c r="MP7" s="84"/>
      <c r="MQ7" s="84"/>
      <c r="MR7" s="84"/>
      <c r="MS7" s="84"/>
      <c r="MT7" s="84"/>
      <c r="MU7" s="84"/>
      <c r="MV7" s="84"/>
      <c r="MW7" s="84"/>
      <c r="MX7" s="1"/>
      <c r="MY7" s="1"/>
      <c r="MZ7" s="1"/>
      <c r="NA7" s="1"/>
      <c r="NB7" s="1"/>
      <c r="NC7" s="1"/>
      <c r="ND7" s="1"/>
      <c r="NE7" s="1"/>
      <c r="NF7" s="1"/>
      <c r="NH7" s="1"/>
      <c r="NI7" s="16"/>
      <c r="NJ7" s="85"/>
      <c r="NK7" s="85"/>
      <c r="NL7" s="68"/>
      <c r="NM7" s="7"/>
      <c r="NN7" s="42"/>
      <c r="NO7" s="42"/>
      <c r="NP7" s="41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36"/>
      <c r="OC7" s="41"/>
      <c r="OD7" s="41"/>
      <c r="OE7" s="41"/>
      <c r="OF7" s="41"/>
      <c r="OG7" s="41"/>
      <c r="OH7" s="42"/>
      <c r="OI7" s="42"/>
      <c r="OJ7" s="42"/>
      <c r="OK7" s="42"/>
      <c r="OL7" s="42"/>
      <c r="OM7" s="42"/>
      <c r="ON7" s="42"/>
      <c r="OO7" s="42"/>
      <c r="OP7" s="42"/>
      <c r="OQ7" s="36"/>
      <c r="OR7" s="42"/>
      <c r="OS7" s="42"/>
      <c r="OT7" s="42"/>
      <c r="OU7" s="42"/>
      <c r="OV7" s="42"/>
      <c r="OW7" s="17"/>
      <c r="OX7" s="17"/>
      <c r="OY7" s="17"/>
      <c r="OZ7" s="17"/>
      <c r="PA7" s="17"/>
      <c r="PB7" s="17"/>
      <c r="PC7" s="17"/>
      <c r="PD7" s="17"/>
      <c r="PE7" s="17"/>
    </row>
    <row r="8" spans="2:421">
      <c r="B8" s="127" t="s">
        <v>88</v>
      </c>
      <c r="C8" s="128">
        <v>2.2400000000000002</v>
      </c>
      <c r="D8" s="128">
        <v>2.2400000000000002</v>
      </c>
      <c r="E8" s="128">
        <v>2.9863680000000001</v>
      </c>
      <c r="F8" s="128">
        <v>2.1504000000000003</v>
      </c>
      <c r="G8" s="128">
        <v>2.5804800000000006</v>
      </c>
      <c r="LM8" s="1"/>
      <c r="LN8" s="73"/>
      <c r="LO8" s="73"/>
      <c r="LP8" s="84"/>
      <c r="LQ8" s="84"/>
      <c r="LR8" s="84"/>
      <c r="LS8" s="84"/>
      <c r="LT8" s="84"/>
      <c r="LU8" s="84"/>
      <c r="LV8" s="84"/>
      <c r="LW8" s="84"/>
      <c r="LX8" s="84"/>
      <c r="LY8" s="1"/>
      <c r="LZ8" s="1"/>
      <c r="MA8" s="1"/>
      <c r="MB8" s="1"/>
      <c r="MC8" s="1"/>
      <c r="MD8" s="1"/>
      <c r="ME8" s="1"/>
      <c r="MF8" s="1"/>
      <c r="MG8" s="1"/>
      <c r="MK8" s="137"/>
      <c r="ML8" s="1"/>
      <c r="MM8" s="1"/>
      <c r="MN8" s="1"/>
      <c r="MO8" s="84"/>
      <c r="MP8" s="84"/>
      <c r="MQ8" s="84"/>
      <c r="MR8" s="84"/>
      <c r="MS8" s="84"/>
      <c r="MT8" s="84"/>
      <c r="MU8" s="84"/>
      <c r="MV8" s="84"/>
      <c r="MW8" s="84"/>
      <c r="MX8" s="1"/>
      <c r="MY8" s="1"/>
      <c r="MZ8" s="1"/>
      <c r="NA8" s="1"/>
      <c r="NB8" s="1"/>
      <c r="NC8" s="1"/>
      <c r="ND8" s="1"/>
      <c r="NE8" s="1"/>
      <c r="NF8" s="1"/>
      <c r="NH8" s="1"/>
      <c r="NI8" s="16"/>
      <c r="NJ8" s="85"/>
      <c r="NK8" s="85"/>
      <c r="NL8" s="68"/>
      <c r="NM8" s="7"/>
      <c r="NN8" s="42"/>
      <c r="NO8" s="42"/>
      <c r="NP8" s="41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36"/>
      <c r="OC8" s="41"/>
      <c r="OD8" s="41"/>
      <c r="OE8" s="41"/>
      <c r="OF8" s="41"/>
      <c r="OG8" s="41"/>
      <c r="OH8" s="42"/>
      <c r="OI8" s="42"/>
      <c r="OJ8" s="42"/>
      <c r="OK8" s="42"/>
      <c r="OL8" s="42"/>
      <c r="OM8" s="42"/>
      <c r="ON8" s="42"/>
      <c r="OO8" s="42"/>
      <c r="OP8" s="42"/>
      <c r="OQ8" s="36"/>
      <c r="OR8" s="42"/>
      <c r="OS8" s="42"/>
      <c r="OT8" s="42"/>
      <c r="OU8" s="42"/>
      <c r="OV8" s="42"/>
      <c r="OW8" s="17"/>
      <c r="OX8" s="17"/>
      <c r="OY8" s="17"/>
      <c r="OZ8" s="17"/>
      <c r="PA8" s="17"/>
      <c r="PB8" s="17"/>
      <c r="PC8" s="17"/>
      <c r="PD8" s="17"/>
      <c r="PE8" s="17"/>
    </row>
    <row r="9" spans="2:421">
      <c r="B9" s="126" t="s">
        <v>155</v>
      </c>
      <c r="C9" s="129">
        <v>1.89</v>
      </c>
      <c r="D9" s="129">
        <v>2.2679999999999998</v>
      </c>
      <c r="E9" s="129">
        <v>2.0157983999999995</v>
      </c>
      <c r="F9" s="129">
        <v>1.4515199999999999</v>
      </c>
      <c r="G9" s="129">
        <v>1.161216</v>
      </c>
      <c r="LM9" s="1"/>
      <c r="LN9" s="73"/>
      <c r="LO9" s="1"/>
      <c r="LP9" s="110"/>
      <c r="LQ9" s="110"/>
      <c r="LR9" s="110"/>
      <c r="LS9" s="110"/>
      <c r="LT9" s="110"/>
      <c r="LU9" s="110"/>
      <c r="LV9" s="110"/>
      <c r="LW9" s="110"/>
      <c r="LX9" s="110"/>
      <c r="LY9" s="1"/>
      <c r="LZ9" s="1"/>
      <c r="MA9" s="1"/>
      <c r="MB9" s="1"/>
      <c r="MC9" s="1"/>
      <c r="MD9" s="1"/>
      <c r="ME9" s="1"/>
      <c r="MF9" s="1"/>
      <c r="MG9" s="1"/>
      <c r="MK9" s="137"/>
      <c r="ML9" s="10"/>
      <c r="MM9" s="10"/>
      <c r="MN9" s="10"/>
      <c r="MO9" s="91"/>
      <c r="MP9" s="91"/>
      <c r="MQ9" s="91"/>
      <c r="MR9" s="91"/>
      <c r="MS9" s="91"/>
      <c r="MT9" s="91"/>
      <c r="MU9" s="91"/>
      <c r="MV9" s="91"/>
      <c r="MW9" s="91"/>
      <c r="MX9" s="10"/>
      <c r="MY9" s="10"/>
      <c r="MZ9" s="10"/>
      <c r="NA9" s="10"/>
      <c r="NB9" s="10"/>
      <c r="NC9" s="10"/>
      <c r="ND9" s="10"/>
      <c r="NE9" s="10"/>
      <c r="NF9" s="10"/>
      <c r="NH9" s="1"/>
      <c r="NI9" s="16"/>
      <c r="NJ9" s="85"/>
      <c r="NK9" s="85"/>
      <c r="NL9" s="68"/>
      <c r="NM9" s="7"/>
      <c r="NN9" s="42"/>
      <c r="NO9" s="42"/>
      <c r="NP9" s="41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36"/>
      <c r="OC9" s="41"/>
      <c r="OD9" s="41"/>
      <c r="OE9" s="41"/>
      <c r="OF9" s="41"/>
      <c r="OG9" s="41"/>
      <c r="OH9" s="42"/>
      <c r="OI9" s="42"/>
      <c r="OJ9" s="42"/>
      <c r="OK9" s="42"/>
      <c r="OL9" s="42"/>
      <c r="OM9" s="42"/>
      <c r="ON9" s="42"/>
      <c r="OO9" s="42"/>
      <c r="OP9" s="42"/>
      <c r="OQ9" s="36"/>
      <c r="OR9" s="42"/>
      <c r="OS9" s="42"/>
      <c r="OT9" s="42"/>
      <c r="OU9" s="42"/>
      <c r="OV9" s="42"/>
      <c r="OW9" s="17"/>
      <c r="OX9" s="17"/>
      <c r="OY9" s="17"/>
      <c r="OZ9" s="17"/>
      <c r="PA9" s="17"/>
      <c r="PB9" s="17"/>
      <c r="PC9" s="17"/>
      <c r="PD9" s="17"/>
      <c r="PE9" s="17"/>
    </row>
    <row r="10" spans="2:421" ht="23.25">
      <c r="B10" s="126" t="s">
        <v>133</v>
      </c>
      <c r="C10" s="129">
        <v>1.53</v>
      </c>
      <c r="D10" s="129">
        <v>1.8359999999999999</v>
      </c>
      <c r="E10" s="129">
        <v>1.6318367999999999</v>
      </c>
      <c r="F10" s="129">
        <v>1.1750399999999999</v>
      </c>
      <c r="G10" s="129">
        <v>1.0575359999999998</v>
      </c>
      <c r="LM10" s="1"/>
      <c r="LN10" s="73"/>
      <c r="LO10" s="1"/>
      <c r="LP10" s="110"/>
      <c r="LQ10" s="110"/>
      <c r="LR10" s="110"/>
      <c r="LS10" s="110"/>
      <c r="LT10" s="110"/>
      <c r="LU10" s="110"/>
      <c r="LV10" s="110"/>
      <c r="LW10" s="110"/>
      <c r="LX10" s="110"/>
      <c r="LY10" s="1"/>
      <c r="LZ10" s="1"/>
      <c r="MA10" s="1"/>
      <c r="MB10" s="1"/>
      <c r="MC10" s="1"/>
      <c r="MD10" s="1"/>
      <c r="ME10" s="1"/>
      <c r="MF10" s="1"/>
      <c r="MG10" s="1"/>
      <c r="MK10" s="137"/>
      <c r="ML10" s="1"/>
      <c r="MM10" s="73"/>
      <c r="MN10" s="73"/>
      <c r="MO10" s="84"/>
      <c r="MP10" s="84"/>
      <c r="MQ10" s="84"/>
      <c r="MR10" s="84"/>
      <c r="MS10" s="84"/>
      <c r="MT10" s="84"/>
      <c r="MU10" s="84"/>
      <c r="MV10" s="84"/>
      <c r="MW10" s="84"/>
      <c r="MX10" s="1"/>
      <c r="MY10" s="1"/>
      <c r="MZ10" s="1"/>
      <c r="NA10" s="1"/>
      <c r="NB10" s="1"/>
      <c r="NC10" s="1"/>
      <c r="ND10" s="1"/>
      <c r="NE10" s="1"/>
      <c r="NF10" s="1"/>
      <c r="NH10" s="1"/>
      <c r="NI10" s="16"/>
      <c r="NJ10" s="85"/>
      <c r="NK10" s="85"/>
      <c r="NL10" s="68"/>
      <c r="NM10" s="7"/>
      <c r="NN10" s="42"/>
      <c r="NO10" s="42"/>
      <c r="NP10" s="41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36"/>
      <c r="OC10" s="41"/>
      <c r="OD10" s="41"/>
      <c r="OE10" s="41"/>
      <c r="OF10" s="41"/>
      <c r="OG10" s="41"/>
      <c r="OH10" s="42"/>
      <c r="OI10" s="42"/>
      <c r="OJ10" s="42"/>
      <c r="OK10" s="42"/>
      <c r="OL10" s="42"/>
      <c r="OM10" s="42"/>
      <c r="ON10" s="42"/>
      <c r="OO10" s="42"/>
      <c r="OP10" s="42"/>
      <c r="OQ10" s="36"/>
      <c r="OR10" s="42"/>
      <c r="OS10" s="42"/>
      <c r="OT10" s="42"/>
      <c r="OU10" s="42"/>
      <c r="OV10" s="42"/>
      <c r="OW10" s="17"/>
      <c r="OX10" s="17"/>
      <c r="OY10" s="17"/>
      <c r="OZ10" s="17"/>
      <c r="PA10" s="17"/>
      <c r="PB10" s="17"/>
      <c r="PC10" s="17"/>
      <c r="PD10" s="17"/>
      <c r="PE10" s="17"/>
    </row>
    <row r="11" spans="2:421">
      <c r="B11" s="126" t="s">
        <v>75</v>
      </c>
      <c r="C11" s="129">
        <v>2.0499999999999998</v>
      </c>
      <c r="D11" s="129">
        <v>2.2549999999999999</v>
      </c>
      <c r="E11" s="129">
        <v>2.7558355000000003</v>
      </c>
      <c r="F11" s="129">
        <v>2.23245</v>
      </c>
      <c r="G11" s="129">
        <v>2.23245</v>
      </c>
      <c r="LM11" s="1"/>
      <c r="LN11" s="73"/>
      <c r="LO11" s="1"/>
      <c r="LP11" s="110"/>
      <c r="LQ11" s="110"/>
      <c r="LR11" s="110"/>
      <c r="LS11" s="110"/>
      <c r="LT11" s="110"/>
      <c r="LU11" s="110"/>
      <c r="LV11" s="110"/>
      <c r="LW11" s="110"/>
      <c r="LX11" s="110"/>
      <c r="LY11" s="1"/>
      <c r="LZ11" s="1"/>
      <c r="MA11" s="1"/>
      <c r="MB11" s="1"/>
      <c r="MC11" s="1"/>
      <c r="MD11" s="1"/>
      <c r="ME11" s="1"/>
      <c r="MF11" s="1"/>
      <c r="MG11" s="1"/>
      <c r="MK11" s="137"/>
      <c r="ML11" s="1"/>
      <c r="MM11" s="73"/>
      <c r="MN11" s="1"/>
      <c r="MO11" s="110"/>
      <c r="MP11" s="110"/>
      <c r="MQ11" s="110"/>
      <c r="MR11" s="110"/>
      <c r="MS11" s="110"/>
      <c r="MT11" s="110"/>
      <c r="MU11" s="110"/>
      <c r="MV11" s="110"/>
      <c r="MW11" s="110"/>
      <c r="MX11" s="1"/>
      <c r="MY11" s="1"/>
      <c r="MZ11" s="1"/>
      <c r="NA11" s="1"/>
      <c r="NB11" s="1"/>
      <c r="NC11" s="1"/>
      <c r="ND11" s="1"/>
      <c r="NE11" s="1"/>
      <c r="NF11" s="1"/>
      <c r="NH11" s="1"/>
      <c r="NI11" s="16"/>
      <c r="NJ11" s="85"/>
      <c r="NK11" s="85"/>
      <c r="NL11" s="68"/>
      <c r="NM11" s="7"/>
      <c r="NN11" s="42"/>
      <c r="NO11" s="42"/>
      <c r="NP11" s="41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36"/>
      <c r="OC11" s="41"/>
      <c r="OD11" s="41"/>
      <c r="OE11" s="41"/>
      <c r="OF11" s="41"/>
      <c r="OG11" s="41"/>
      <c r="OH11" s="42"/>
      <c r="OI11" s="42"/>
      <c r="OJ11" s="42"/>
      <c r="OK11" s="42"/>
      <c r="OL11" s="42"/>
      <c r="OM11" s="42"/>
      <c r="ON11" s="42"/>
      <c r="OO11" s="42"/>
      <c r="OP11" s="42"/>
      <c r="OQ11" s="36"/>
      <c r="OR11" s="42"/>
      <c r="OS11" s="42"/>
      <c r="OT11" s="42"/>
      <c r="OU11" s="42"/>
      <c r="OV11" s="42"/>
      <c r="OW11" s="17"/>
      <c r="OX11" s="17"/>
      <c r="OY11" s="17"/>
      <c r="OZ11" s="17"/>
      <c r="PA11" s="17"/>
      <c r="PB11" s="17"/>
      <c r="PC11" s="17"/>
      <c r="PD11" s="17"/>
      <c r="PE11" s="17"/>
    </row>
    <row r="12" spans="2:421">
      <c r="B12" s="126" t="s">
        <v>99</v>
      </c>
      <c r="C12" s="129">
        <v>1.32</v>
      </c>
      <c r="D12" s="129">
        <v>1.4520000000000002</v>
      </c>
      <c r="E12" s="129">
        <v>1.4518548000000002</v>
      </c>
      <c r="F12" s="129">
        <v>1.0454400000000001</v>
      </c>
      <c r="G12" s="129">
        <v>0.94089600000000007</v>
      </c>
      <c r="LM12" s="1"/>
      <c r="LN12" s="73"/>
      <c r="LO12" s="1"/>
      <c r="LP12" s="110"/>
      <c r="LQ12" s="110"/>
      <c r="LR12" s="110"/>
      <c r="LS12" s="110"/>
      <c r="LT12" s="110"/>
      <c r="LU12" s="110"/>
      <c r="LV12" s="110"/>
      <c r="LW12" s="110"/>
      <c r="LX12" s="110"/>
      <c r="LY12" s="1"/>
      <c r="LZ12" s="1"/>
      <c r="MA12" s="1"/>
      <c r="MB12" s="1"/>
      <c r="MC12" s="1"/>
      <c r="MD12" s="1"/>
      <c r="ME12" s="1"/>
      <c r="MF12" s="1"/>
      <c r="MG12" s="1"/>
      <c r="MK12" s="137"/>
      <c r="ML12" s="1"/>
      <c r="MM12" s="73"/>
      <c r="MN12" s="1"/>
      <c r="MO12" s="110"/>
      <c r="MP12" s="110"/>
      <c r="MQ12" s="110"/>
      <c r="MR12" s="110"/>
      <c r="MS12" s="110"/>
      <c r="MT12" s="110"/>
      <c r="MU12" s="110"/>
      <c r="MV12" s="110"/>
      <c r="MW12" s="110"/>
      <c r="MX12" s="1"/>
      <c r="MY12" s="1"/>
      <c r="MZ12" s="1"/>
      <c r="NA12" s="1"/>
      <c r="NB12" s="1"/>
      <c r="NC12" s="1"/>
      <c r="ND12" s="1"/>
      <c r="NE12" s="1"/>
      <c r="NF12" s="1"/>
      <c r="NH12" s="1"/>
      <c r="NI12" s="16"/>
      <c r="NJ12" s="85"/>
      <c r="NK12" s="85"/>
      <c r="NL12" s="68"/>
      <c r="NM12" s="7"/>
      <c r="NN12" s="42"/>
      <c r="NO12" s="42"/>
      <c r="NP12" s="41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36"/>
      <c r="OC12" s="41"/>
      <c r="OD12" s="41"/>
      <c r="OE12" s="41"/>
      <c r="OF12" s="41"/>
      <c r="OG12" s="41"/>
      <c r="OH12" s="42"/>
      <c r="OI12" s="42"/>
      <c r="OJ12" s="42"/>
      <c r="OK12" s="42"/>
      <c r="OL12" s="42"/>
      <c r="OM12" s="42"/>
      <c r="ON12" s="42"/>
      <c r="OO12" s="42"/>
      <c r="OP12" s="42"/>
      <c r="OQ12" s="36"/>
      <c r="OR12" s="42"/>
      <c r="OS12" s="42"/>
      <c r="OT12" s="42"/>
      <c r="OU12" s="42"/>
      <c r="OV12" s="42"/>
      <c r="OW12" s="17"/>
      <c r="OX12" s="17"/>
      <c r="OY12" s="17"/>
      <c r="OZ12" s="17"/>
      <c r="PA12" s="17"/>
      <c r="PB12" s="17"/>
      <c r="PC12" s="17"/>
      <c r="PD12" s="17"/>
      <c r="PE12" s="17"/>
    </row>
    <row r="13" spans="2:421">
      <c r="B13" s="126" t="s">
        <v>103</v>
      </c>
      <c r="C13" s="129">
        <v>2.38</v>
      </c>
      <c r="D13" s="129">
        <v>2.8559999999999999</v>
      </c>
      <c r="E13" s="129">
        <v>2.5384127999999997</v>
      </c>
      <c r="F13" s="129">
        <v>2.7417599999999998</v>
      </c>
      <c r="G13" s="129">
        <v>2.1934079999999998</v>
      </c>
      <c r="LM13" s="1"/>
      <c r="LN13" s="73"/>
      <c r="LO13" s="1"/>
      <c r="LP13" s="110"/>
      <c r="LQ13" s="110"/>
      <c r="LR13" s="110"/>
      <c r="LS13" s="110"/>
      <c r="LT13" s="110"/>
      <c r="LU13" s="110"/>
      <c r="LV13" s="110"/>
      <c r="LW13" s="110"/>
      <c r="LX13" s="110"/>
      <c r="LY13" s="1"/>
      <c r="LZ13" s="1"/>
      <c r="MA13" s="1"/>
      <c r="MB13" s="1"/>
      <c r="MC13" s="1"/>
      <c r="MD13" s="1"/>
      <c r="ME13" s="1"/>
      <c r="MF13" s="1"/>
      <c r="MG13" s="1"/>
      <c r="MK13" s="137"/>
      <c r="ML13" s="1"/>
      <c r="MM13" s="73"/>
      <c r="MN13" s="1"/>
      <c r="MO13" s="110"/>
      <c r="MP13" s="110"/>
      <c r="MQ13" s="110"/>
      <c r="MR13" s="110"/>
      <c r="MS13" s="110"/>
      <c r="MT13" s="110"/>
      <c r="MU13" s="110"/>
      <c r="MV13" s="110"/>
      <c r="MW13" s="110"/>
      <c r="MX13" s="1"/>
      <c r="MY13" s="1"/>
      <c r="MZ13" s="1"/>
      <c r="NA13" s="1"/>
      <c r="NB13" s="1"/>
      <c r="NC13" s="1"/>
      <c r="ND13" s="1"/>
      <c r="NE13" s="1"/>
      <c r="NF13" s="1"/>
      <c r="NH13" s="1"/>
      <c r="NI13" s="16"/>
      <c r="NJ13" s="85"/>
      <c r="NK13" s="85"/>
      <c r="NL13" s="68"/>
      <c r="NM13" s="7"/>
      <c r="NN13" s="42"/>
      <c r="NO13" s="42"/>
      <c r="NP13" s="41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36"/>
      <c r="OC13" s="41"/>
      <c r="OD13" s="41"/>
      <c r="OE13" s="41"/>
      <c r="OF13" s="41"/>
      <c r="OG13" s="41"/>
      <c r="OH13" s="42"/>
      <c r="OI13" s="42"/>
      <c r="OJ13" s="42"/>
      <c r="OK13" s="42"/>
      <c r="OL13" s="42"/>
      <c r="OM13" s="42"/>
      <c r="ON13" s="42"/>
      <c r="OO13" s="42"/>
      <c r="OP13" s="42"/>
      <c r="OQ13" s="36"/>
      <c r="OR13" s="42"/>
      <c r="OS13" s="42"/>
      <c r="OT13" s="42"/>
      <c r="OU13" s="42"/>
      <c r="OV13" s="42"/>
      <c r="OW13" s="17"/>
      <c r="OX13" s="17"/>
      <c r="OY13" s="17"/>
      <c r="OZ13" s="17"/>
      <c r="PA13" s="17"/>
      <c r="PB13" s="17"/>
      <c r="PC13" s="17"/>
      <c r="PD13" s="17"/>
      <c r="PE13" s="17"/>
    </row>
    <row r="14" spans="2:421">
      <c r="B14" s="126" t="s">
        <v>5</v>
      </c>
      <c r="C14" s="129">
        <v>1.57</v>
      </c>
      <c r="D14" s="129">
        <v>1.8839999999999999</v>
      </c>
      <c r="E14" s="129">
        <v>2.093124</v>
      </c>
      <c r="F14" s="129">
        <v>2.0724</v>
      </c>
      <c r="G14" s="129">
        <v>1.6579200000000001</v>
      </c>
      <c r="LM14" s="1"/>
      <c r="LN14" s="73"/>
      <c r="LO14" s="1"/>
      <c r="LP14" s="110"/>
      <c r="LQ14" s="110"/>
      <c r="LR14" s="110"/>
      <c r="LS14" s="110"/>
      <c r="LT14" s="110"/>
      <c r="LU14" s="110"/>
      <c r="LV14" s="110"/>
      <c r="LW14" s="110"/>
      <c r="LX14" s="110"/>
      <c r="LY14" s="1"/>
      <c r="LZ14" s="1"/>
      <c r="MA14" s="1"/>
      <c r="MB14" s="1"/>
      <c r="MC14" s="1"/>
      <c r="MD14" s="1"/>
      <c r="ME14" s="1"/>
      <c r="MF14" s="1"/>
      <c r="MG14" s="1"/>
      <c r="MK14" s="137"/>
      <c r="ML14" s="1"/>
      <c r="MM14" s="73"/>
      <c r="MN14" s="1"/>
      <c r="MO14" s="110"/>
      <c r="MP14" s="110"/>
      <c r="MQ14" s="110"/>
      <c r="MR14" s="110"/>
      <c r="MS14" s="110"/>
      <c r="MT14" s="110"/>
      <c r="MU14" s="110"/>
      <c r="MV14" s="110"/>
      <c r="MW14" s="110"/>
      <c r="MX14" s="1"/>
      <c r="MY14" s="1"/>
      <c r="MZ14" s="1"/>
      <c r="NA14" s="1"/>
      <c r="NB14" s="1"/>
      <c r="NC14" s="1"/>
      <c r="ND14" s="1"/>
      <c r="NE14" s="1"/>
      <c r="NF14" s="1"/>
      <c r="NH14" s="1"/>
      <c r="NI14" s="16"/>
      <c r="NJ14" s="85"/>
      <c r="NK14" s="85"/>
      <c r="NL14" s="68"/>
      <c r="NM14" s="7"/>
      <c r="NN14" s="106"/>
      <c r="NO14" s="106"/>
      <c r="NP14" s="41"/>
      <c r="NQ14" s="106"/>
      <c r="NR14" s="106"/>
      <c r="NS14" s="42"/>
      <c r="NT14" s="42"/>
      <c r="NU14" s="42"/>
      <c r="NV14" s="42"/>
      <c r="NW14" s="42"/>
      <c r="NX14" s="42"/>
      <c r="NY14" s="42"/>
      <c r="NZ14" s="42"/>
      <c r="OA14" s="42"/>
      <c r="OB14" s="36"/>
      <c r="OC14" s="107"/>
      <c r="OD14" s="107"/>
      <c r="OE14" s="107"/>
      <c r="OF14" s="107"/>
      <c r="OG14" s="107"/>
      <c r="OH14" s="42"/>
      <c r="OI14" s="42"/>
      <c r="OJ14" s="42"/>
      <c r="OK14" s="42"/>
      <c r="OL14" s="42"/>
      <c r="OM14" s="42"/>
      <c r="ON14" s="42"/>
      <c r="OO14" s="42"/>
      <c r="OP14" s="42"/>
      <c r="OQ14" s="36"/>
      <c r="OR14" s="106"/>
      <c r="OS14" s="106"/>
      <c r="OT14" s="106"/>
      <c r="OU14" s="106"/>
      <c r="OV14" s="106"/>
      <c r="OW14" s="106"/>
      <c r="OX14" s="106"/>
      <c r="OY14" s="106"/>
      <c r="OZ14" s="106"/>
      <c r="PA14" s="106"/>
      <c r="PB14" s="106"/>
      <c r="PC14" s="106"/>
      <c r="PD14" s="106"/>
      <c r="PE14" s="106"/>
    </row>
    <row r="15" spans="2:421">
      <c r="B15" s="126" t="s">
        <v>33</v>
      </c>
      <c r="C15" s="129">
        <v>1.48</v>
      </c>
      <c r="D15" s="129">
        <v>1.6280000000000001</v>
      </c>
      <c r="E15" s="129">
        <v>2.1704496000000004</v>
      </c>
      <c r="F15" s="129">
        <v>1.7582400000000002</v>
      </c>
      <c r="G15" s="129">
        <v>1.5824160000000003</v>
      </c>
      <c r="LM15" s="1"/>
      <c r="LN15" s="102"/>
      <c r="LO15" s="98"/>
      <c r="LP15" s="110"/>
      <c r="LQ15" s="110"/>
      <c r="LR15" s="110"/>
      <c r="LS15" s="110"/>
      <c r="LT15" s="110"/>
      <c r="LU15" s="110"/>
      <c r="LV15" s="110"/>
      <c r="LW15" s="110"/>
      <c r="LX15" s="110"/>
      <c r="LY15" s="1"/>
      <c r="LZ15" s="1"/>
      <c r="MA15" s="1"/>
      <c r="MB15" s="1"/>
      <c r="MC15" s="1"/>
      <c r="MD15" s="1"/>
      <c r="ME15" s="1"/>
      <c r="MF15" s="1"/>
      <c r="MG15" s="1"/>
      <c r="MK15" s="137"/>
      <c r="ML15" s="1"/>
      <c r="MM15" s="73"/>
      <c r="MN15" s="1"/>
      <c r="MO15" s="110"/>
      <c r="MP15" s="110"/>
      <c r="MQ15" s="110"/>
      <c r="MR15" s="110"/>
      <c r="MS15" s="110"/>
      <c r="MT15" s="110"/>
      <c r="MU15" s="110"/>
      <c r="MV15" s="110"/>
      <c r="MW15" s="110"/>
      <c r="MX15" s="1"/>
      <c r="MY15" s="1"/>
      <c r="MZ15" s="1"/>
      <c r="NA15" s="1"/>
      <c r="NB15" s="1"/>
      <c r="NC15" s="1"/>
      <c r="ND15" s="1"/>
      <c r="NE15" s="1"/>
      <c r="NF15" s="1"/>
      <c r="NH15" s="1"/>
      <c r="NI15" s="16"/>
      <c r="NJ15" s="85"/>
      <c r="NK15" s="85"/>
      <c r="NL15" s="68"/>
      <c r="NM15" s="7"/>
      <c r="NN15" s="106"/>
      <c r="NO15" s="106"/>
      <c r="NP15" s="41"/>
      <c r="NQ15" s="106"/>
      <c r="NR15" s="106"/>
      <c r="NS15" s="42"/>
      <c r="NT15" s="42"/>
      <c r="NU15" s="42"/>
      <c r="NV15" s="42"/>
      <c r="NW15" s="42"/>
      <c r="NX15" s="42"/>
      <c r="NY15" s="42"/>
      <c r="NZ15" s="42"/>
      <c r="OA15" s="42"/>
      <c r="OB15" s="36"/>
      <c r="OC15" s="107"/>
      <c r="OD15" s="107"/>
      <c r="OE15" s="107"/>
      <c r="OF15" s="106"/>
      <c r="OG15" s="106"/>
      <c r="OH15" s="106"/>
      <c r="OI15" s="106"/>
      <c r="OJ15" s="106"/>
      <c r="OK15" s="106"/>
      <c r="OL15" s="106"/>
      <c r="OM15" s="106"/>
      <c r="ON15" s="106"/>
      <c r="OO15" s="106"/>
      <c r="OP15" s="106"/>
      <c r="OQ15" s="36"/>
      <c r="OR15" s="106"/>
      <c r="OS15" s="106"/>
      <c r="OT15" s="106"/>
      <c r="OU15" s="106"/>
      <c r="OV15" s="106"/>
      <c r="OW15" s="106"/>
      <c r="OX15" s="106"/>
      <c r="OY15" s="106"/>
      <c r="OZ15" s="106"/>
      <c r="PA15" s="106"/>
      <c r="PB15" s="106"/>
      <c r="PC15" s="106"/>
      <c r="PD15" s="106"/>
      <c r="PE15" s="106"/>
    </row>
    <row r="16" spans="2:421">
      <c r="B16" s="127" t="s">
        <v>60</v>
      </c>
      <c r="C16" s="128">
        <v>1.43</v>
      </c>
      <c r="D16" s="128">
        <v>1.1439999999999999</v>
      </c>
      <c r="E16" s="128">
        <v>1.5251807999999998</v>
      </c>
      <c r="F16" s="128">
        <v>1.3727999999999998</v>
      </c>
      <c r="G16" s="128">
        <v>1.6473599999999997</v>
      </c>
      <c r="LM16" s="1"/>
      <c r="LN16" s="1"/>
      <c r="LO16" s="1"/>
      <c r="LP16" s="84"/>
      <c r="LQ16" s="84"/>
      <c r="LR16" s="84"/>
      <c r="LS16" s="84"/>
      <c r="LT16" s="84"/>
      <c r="LU16" s="84"/>
      <c r="LV16" s="84"/>
      <c r="LW16" s="84"/>
      <c r="LX16" s="84"/>
      <c r="LY16" s="1"/>
      <c r="LZ16" s="1"/>
      <c r="MA16" s="1"/>
      <c r="MB16" s="1"/>
      <c r="MC16" s="1"/>
      <c r="MD16" s="1"/>
      <c r="ME16" s="1"/>
      <c r="MF16" s="1"/>
      <c r="MG16" s="1"/>
      <c r="MK16" s="137"/>
      <c r="ML16" s="1"/>
      <c r="MM16" s="73"/>
      <c r="MN16" s="1"/>
      <c r="MO16" s="110"/>
      <c r="MP16" s="110"/>
      <c r="MQ16" s="110"/>
      <c r="MR16" s="110"/>
      <c r="MS16" s="110"/>
      <c r="MT16" s="110"/>
      <c r="MU16" s="110"/>
      <c r="MV16" s="110"/>
      <c r="MW16" s="110"/>
      <c r="MX16" s="1"/>
      <c r="MY16" s="1"/>
      <c r="MZ16" s="1"/>
      <c r="NA16" s="1"/>
      <c r="NB16" s="1"/>
      <c r="NC16" s="1"/>
      <c r="ND16" s="1"/>
      <c r="NE16" s="1"/>
      <c r="NF16" s="1"/>
      <c r="NH16" s="1"/>
      <c r="NI16" s="16"/>
      <c r="NJ16" s="85"/>
      <c r="NK16" s="85"/>
      <c r="NL16" s="68"/>
      <c r="NM16" s="7"/>
      <c r="NN16" s="106"/>
      <c r="NO16" s="106"/>
      <c r="NP16" s="41"/>
      <c r="NQ16" s="106"/>
      <c r="NR16" s="106"/>
      <c r="NS16" s="42"/>
      <c r="NT16" s="42"/>
      <c r="NU16" s="42"/>
      <c r="NV16" s="42"/>
      <c r="NW16" s="42"/>
      <c r="NX16" s="42"/>
      <c r="NY16" s="42"/>
      <c r="NZ16" s="42"/>
      <c r="OA16" s="42"/>
      <c r="OB16" s="36"/>
      <c r="OC16" s="107"/>
      <c r="OD16" s="107"/>
      <c r="OE16" s="107"/>
      <c r="OF16" s="106"/>
      <c r="OG16" s="106"/>
      <c r="OH16" s="106"/>
      <c r="OI16" s="106"/>
      <c r="OJ16" s="106"/>
      <c r="OK16" s="106"/>
      <c r="OL16" s="106"/>
      <c r="OM16" s="106"/>
      <c r="ON16" s="106"/>
      <c r="OO16" s="106"/>
      <c r="OP16" s="106"/>
      <c r="OQ16" s="36"/>
      <c r="OR16" s="106"/>
      <c r="OS16" s="106"/>
      <c r="OT16" s="106"/>
      <c r="OU16" s="106"/>
      <c r="OV16" s="106"/>
      <c r="OW16" s="106"/>
      <c r="OX16" s="106"/>
      <c r="OY16" s="106"/>
      <c r="OZ16" s="106"/>
      <c r="PA16" s="106"/>
      <c r="PB16" s="106"/>
      <c r="PC16" s="106"/>
      <c r="PD16" s="106"/>
      <c r="PE16" s="106"/>
    </row>
    <row r="17" spans="2:421">
      <c r="B17" s="127" t="s">
        <v>98</v>
      </c>
      <c r="C17" s="128">
        <v>2.2400000000000002</v>
      </c>
      <c r="D17" s="128">
        <v>2.6880000000000002</v>
      </c>
      <c r="E17" s="128">
        <v>2.3890944000000003</v>
      </c>
      <c r="F17" s="128">
        <v>1.7203200000000003</v>
      </c>
      <c r="G17" s="128">
        <v>1.7203200000000003</v>
      </c>
      <c r="LM17" s="1"/>
      <c r="LN17" s="73"/>
      <c r="LO17" s="73"/>
      <c r="LP17" s="84"/>
      <c r="LQ17" s="84"/>
      <c r="LR17" s="84"/>
      <c r="LS17" s="84"/>
      <c r="LT17" s="84"/>
      <c r="LU17" s="84"/>
      <c r="LV17" s="84"/>
      <c r="LW17" s="84"/>
      <c r="LX17" s="84"/>
      <c r="LY17" s="1"/>
      <c r="LZ17" s="1"/>
      <c r="MA17" s="1"/>
      <c r="MB17" s="1"/>
      <c r="MC17" s="1"/>
      <c r="MD17" s="1"/>
      <c r="ME17" s="1"/>
      <c r="MF17" s="1"/>
      <c r="MG17" s="1"/>
      <c r="MK17" s="137"/>
      <c r="ML17" s="1"/>
      <c r="MM17" s="102"/>
      <c r="MN17" s="98"/>
      <c r="MO17" s="110"/>
      <c r="MP17" s="110"/>
      <c r="MQ17" s="110"/>
      <c r="MR17" s="110"/>
      <c r="MS17" s="110"/>
      <c r="MT17" s="110"/>
      <c r="MU17" s="110"/>
      <c r="MV17" s="110"/>
      <c r="MW17" s="110"/>
      <c r="MX17" s="1"/>
      <c r="MY17" s="1"/>
      <c r="MZ17" s="1"/>
      <c r="NA17" s="1"/>
      <c r="NB17" s="1"/>
      <c r="NC17" s="1"/>
      <c r="ND17" s="1"/>
      <c r="NE17" s="1"/>
      <c r="NF17" s="1"/>
      <c r="NH17" s="1"/>
      <c r="NI17" s="16"/>
      <c r="NJ17" s="85"/>
      <c r="NK17" s="85"/>
      <c r="NL17" s="68"/>
      <c r="NM17" s="7"/>
      <c r="NN17" s="106"/>
      <c r="NO17" s="106"/>
      <c r="NP17" s="41"/>
      <c r="NQ17" s="106"/>
      <c r="NR17" s="106"/>
      <c r="NS17" s="42"/>
      <c r="NT17" s="42"/>
      <c r="NU17" s="42"/>
      <c r="NV17" s="42"/>
      <c r="NW17" s="42"/>
      <c r="NX17" s="42"/>
      <c r="NY17" s="42"/>
      <c r="NZ17" s="42"/>
      <c r="OA17" s="42"/>
      <c r="OB17" s="36"/>
      <c r="OC17" s="107"/>
      <c r="OD17" s="107"/>
      <c r="OE17" s="107"/>
      <c r="OF17" s="106"/>
      <c r="OG17" s="106"/>
      <c r="OH17" s="106"/>
      <c r="OI17" s="106"/>
      <c r="OJ17" s="106"/>
      <c r="OK17" s="106"/>
      <c r="OL17" s="106"/>
      <c r="OM17" s="106"/>
      <c r="ON17" s="106"/>
      <c r="OO17" s="106"/>
      <c r="OP17" s="106"/>
      <c r="OQ17" s="36"/>
      <c r="OR17" s="106"/>
      <c r="OS17" s="106"/>
      <c r="OT17" s="106"/>
      <c r="OU17" s="106"/>
      <c r="OV17" s="106"/>
      <c r="OW17" s="106"/>
      <c r="OX17" s="106"/>
      <c r="OY17" s="106"/>
      <c r="OZ17" s="106"/>
      <c r="PA17" s="106"/>
      <c r="PB17" s="106"/>
      <c r="PC17" s="106"/>
      <c r="PD17" s="106"/>
      <c r="PE17" s="106"/>
    </row>
    <row r="18" spans="2:421">
      <c r="B18" s="126" t="s">
        <v>57</v>
      </c>
      <c r="C18" s="129">
        <v>1.98</v>
      </c>
      <c r="D18" s="129">
        <v>1.5840000000000001</v>
      </c>
      <c r="E18" s="129">
        <v>1.7598240000000001</v>
      </c>
      <c r="F18" s="129">
        <v>1.5840000000000001</v>
      </c>
      <c r="G18" s="129">
        <v>1.5840000000000001</v>
      </c>
      <c r="LM18" s="1"/>
      <c r="LN18" s="73"/>
      <c r="LO18" s="1"/>
      <c r="LP18" s="110"/>
      <c r="LQ18" s="110"/>
      <c r="LR18" s="110"/>
      <c r="LS18" s="110"/>
      <c r="LT18" s="110"/>
      <c r="LU18" s="110"/>
      <c r="LV18" s="110"/>
      <c r="LW18" s="110"/>
      <c r="LX18" s="110"/>
      <c r="LY18" s="1"/>
      <c r="LZ18" s="1"/>
      <c r="MA18" s="1"/>
      <c r="MB18" s="1"/>
      <c r="MC18" s="1"/>
      <c r="MD18" s="1"/>
      <c r="ME18" s="1"/>
      <c r="MF18" s="1"/>
      <c r="MG18" s="1"/>
      <c r="MK18" s="137"/>
      <c r="ML18" s="1"/>
      <c r="MM18" s="1"/>
      <c r="MN18" s="1"/>
      <c r="MO18" s="84"/>
      <c r="MP18" s="84"/>
      <c r="MQ18" s="84"/>
      <c r="MR18" s="84"/>
      <c r="MS18" s="84"/>
      <c r="MT18" s="84"/>
      <c r="MU18" s="84"/>
      <c r="MV18" s="84"/>
      <c r="MW18" s="84"/>
      <c r="MX18" s="1"/>
      <c r="MY18" s="1"/>
      <c r="MZ18" s="1"/>
      <c r="NA18" s="1"/>
      <c r="NB18" s="1"/>
      <c r="NC18" s="1"/>
      <c r="ND18" s="1"/>
      <c r="NE18" s="1"/>
      <c r="NF18" s="1"/>
      <c r="NH18" s="3"/>
      <c r="NI18" s="16"/>
      <c r="NJ18" s="85"/>
      <c r="NK18" s="85"/>
      <c r="NL18" s="68"/>
      <c r="NM18" s="7"/>
      <c r="NN18" s="106"/>
      <c r="NO18" s="106"/>
      <c r="NP18" s="41"/>
      <c r="NQ18" s="106"/>
      <c r="NR18" s="106"/>
      <c r="NS18" s="42"/>
      <c r="NT18" s="42"/>
      <c r="NU18" s="42"/>
      <c r="NV18" s="42"/>
      <c r="NW18" s="42"/>
      <c r="NX18" s="42"/>
      <c r="NY18" s="42"/>
      <c r="NZ18" s="42"/>
      <c r="OA18" s="42"/>
      <c r="OB18" s="36"/>
      <c r="OC18" s="107"/>
      <c r="OD18" s="107"/>
      <c r="OE18" s="107"/>
      <c r="OF18" s="106"/>
      <c r="OG18" s="106"/>
      <c r="OH18" s="106"/>
      <c r="OI18" s="106"/>
      <c r="OJ18" s="106"/>
      <c r="OK18" s="106"/>
      <c r="OL18" s="106"/>
      <c r="OM18" s="106"/>
      <c r="ON18" s="106"/>
      <c r="OO18" s="106"/>
      <c r="OP18" s="106"/>
      <c r="OQ18" s="36"/>
      <c r="OR18" s="106"/>
      <c r="OS18" s="106"/>
      <c r="OT18" s="106"/>
      <c r="OU18" s="106"/>
      <c r="OV18" s="106"/>
      <c r="OW18" s="106"/>
      <c r="OX18" s="106"/>
      <c r="OY18" s="106"/>
      <c r="OZ18" s="106"/>
      <c r="PA18" s="106"/>
      <c r="PB18" s="106"/>
      <c r="PC18" s="106"/>
      <c r="PD18" s="106"/>
      <c r="PE18" s="106"/>
    </row>
    <row r="19" spans="2:421">
      <c r="B19" s="126" t="s">
        <v>121</v>
      </c>
      <c r="C19" s="143">
        <v>2.42</v>
      </c>
      <c r="D19" s="143">
        <v>2.1779999999999999</v>
      </c>
      <c r="E19" s="143">
        <v>1.9358063999999999</v>
      </c>
      <c r="F19" s="143">
        <v>1.56816</v>
      </c>
      <c r="G19" s="143">
        <v>1.8817920000000001</v>
      </c>
      <c r="LM19" s="1"/>
      <c r="LN19" s="73"/>
      <c r="LO19" s="1"/>
      <c r="LP19" s="110"/>
      <c r="LQ19" s="110"/>
      <c r="LR19" s="110"/>
      <c r="LS19" s="110"/>
      <c r="LT19" s="110"/>
      <c r="LU19" s="110"/>
      <c r="LV19" s="110"/>
      <c r="LW19" s="110"/>
      <c r="LX19" s="110"/>
      <c r="LY19" s="1"/>
      <c r="LZ19" s="1"/>
      <c r="MA19" s="1"/>
      <c r="MB19" s="1"/>
      <c r="MC19" s="1"/>
      <c r="MD19" s="1"/>
      <c r="ME19" s="1"/>
      <c r="MF19" s="1"/>
      <c r="MG19" s="1"/>
      <c r="MK19" s="137"/>
      <c r="ML19" s="1"/>
      <c r="MM19" s="73"/>
      <c r="MN19" s="73"/>
      <c r="MO19" s="84"/>
      <c r="MP19" s="84"/>
      <c r="MQ19" s="84"/>
      <c r="MR19" s="84"/>
      <c r="MS19" s="84"/>
      <c r="MT19" s="84"/>
      <c r="MU19" s="84"/>
      <c r="MV19" s="84"/>
      <c r="MW19" s="84"/>
      <c r="MX19" s="1"/>
      <c r="MY19" s="1"/>
      <c r="MZ19" s="1"/>
      <c r="NA19" s="1"/>
      <c r="NB19" s="1"/>
      <c r="NC19" s="1"/>
      <c r="ND19" s="1"/>
      <c r="NE19" s="1"/>
      <c r="NF19" s="1"/>
      <c r="NH19" s="1"/>
      <c r="NI19" s="16"/>
      <c r="NJ19" s="85"/>
      <c r="NK19" s="85"/>
      <c r="NL19" s="68"/>
      <c r="NM19" s="7"/>
      <c r="NN19" s="106"/>
      <c r="NO19" s="106"/>
      <c r="NP19" s="41"/>
      <c r="NQ19" s="106"/>
      <c r="NR19" s="106"/>
      <c r="NS19" s="42"/>
      <c r="NT19" s="42"/>
      <c r="NU19" s="42"/>
      <c r="NV19" s="42"/>
      <c r="NW19" s="42"/>
      <c r="NX19" s="42"/>
      <c r="NY19" s="42"/>
      <c r="NZ19" s="42"/>
      <c r="OA19" s="42"/>
      <c r="OB19" s="36"/>
      <c r="OC19" s="107"/>
      <c r="OD19" s="107"/>
      <c r="OE19" s="107"/>
      <c r="OF19" s="106"/>
      <c r="OG19" s="106"/>
      <c r="OH19" s="106"/>
      <c r="OI19" s="106"/>
      <c r="OJ19" s="106"/>
      <c r="OK19" s="106"/>
      <c r="OL19" s="106"/>
      <c r="OM19" s="106"/>
      <c r="ON19" s="106"/>
      <c r="OO19" s="106"/>
      <c r="OP19" s="106"/>
      <c r="OQ19" s="36"/>
      <c r="OR19" s="106"/>
      <c r="OS19" s="106"/>
      <c r="OT19" s="106"/>
      <c r="OU19" s="106"/>
      <c r="OV19" s="106"/>
      <c r="OW19" s="106"/>
      <c r="OX19" s="106"/>
      <c r="OY19" s="106"/>
      <c r="OZ19" s="106"/>
      <c r="PA19" s="106"/>
      <c r="PB19" s="106"/>
      <c r="PC19" s="106"/>
      <c r="PD19" s="106"/>
      <c r="PE19" s="106"/>
    </row>
    <row r="20" spans="2:421">
      <c r="B20" s="126" t="s">
        <v>123</v>
      </c>
      <c r="C20" s="141">
        <v>1.41</v>
      </c>
      <c r="D20" s="141">
        <v>1.41</v>
      </c>
      <c r="E20" s="141">
        <v>1.7231609999999999</v>
      </c>
      <c r="F20" s="141">
        <v>1.2407999999999999</v>
      </c>
      <c r="G20" s="141">
        <v>0.99263999999999997</v>
      </c>
      <c r="LM20" s="1"/>
      <c r="LN20" s="73"/>
      <c r="LO20" s="1"/>
      <c r="LP20" s="110"/>
      <c r="LQ20" s="110"/>
      <c r="LR20" s="110"/>
      <c r="LS20" s="110"/>
      <c r="LT20" s="110"/>
      <c r="LU20" s="110"/>
      <c r="LV20" s="110"/>
      <c r="LW20" s="110"/>
      <c r="LX20" s="110"/>
      <c r="LY20" s="1"/>
      <c r="LZ20" s="1"/>
      <c r="MA20" s="1"/>
      <c r="MB20" s="1"/>
      <c r="MC20" s="1"/>
      <c r="MD20" s="1"/>
      <c r="ME20" s="1"/>
      <c r="MF20" s="1"/>
      <c r="MG20" s="1"/>
      <c r="MK20" s="137"/>
      <c r="ML20" s="1"/>
      <c r="MM20" s="73"/>
      <c r="MN20" s="1"/>
      <c r="MO20" s="110"/>
      <c r="MP20" s="110"/>
      <c r="MQ20" s="110"/>
      <c r="MR20" s="110"/>
      <c r="MS20" s="110"/>
      <c r="MT20" s="110"/>
      <c r="MU20" s="110"/>
      <c r="MV20" s="110"/>
      <c r="MW20" s="110"/>
      <c r="MX20" s="1"/>
      <c r="MY20" s="1"/>
      <c r="MZ20" s="1"/>
      <c r="NA20" s="1"/>
      <c r="NB20" s="1"/>
      <c r="NC20" s="1"/>
      <c r="ND20" s="1"/>
      <c r="NE20" s="1"/>
      <c r="NF20" s="1"/>
      <c r="NH20" s="1"/>
      <c r="NI20" s="16"/>
      <c r="NJ20" s="85"/>
      <c r="NK20" s="85"/>
      <c r="NL20" s="68"/>
      <c r="NM20" s="7"/>
      <c r="NN20" s="106"/>
      <c r="NO20" s="106"/>
      <c r="NP20" s="41"/>
      <c r="NQ20" s="106"/>
      <c r="NR20" s="106"/>
      <c r="NS20" s="42"/>
      <c r="NT20" s="42"/>
      <c r="NU20" s="42"/>
      <c r="NV20" s="42"/>
      <c r="NW20" s="42"/>
      <c r="NX20" s="42"/>
      <c r="NY20" s="42"/>
      <c r="NZ20" s="42"/>
      <c r="OA20" s="42"/>
      <c r="OB20" s="36"/>
      <c r="OC20" s="107"/>
      <c r="OD20" s="107"/>
      <c r="OE20" s="107"/>
      <c r="OF20" s="106"/>
      <c r="OG20" s="106"/>
      <c r="OH20" s="106"/>
      <c r="OI20" s="106"/>
      <c r="OJ20" s="106"/>
      <c r="OK20" s="106"/>
      <c r="OL20" s="106"/>
      <c r="OM20" s="106"/>
      <c r="ON20" s="106"/>
      <c r="OO20" s="106"/>
      <c r="OP20" s="106"/>
      <c r="OQ20" s="36"/>
      <c r="OR20" s="106"/>
      <c r="OS20" s="106"/>
      <c r="OT20" s="106"/>
      <c r="OU20" s="106"/>
      <c r="OV20" s="106"/>
      <c r="OW20" s="106"/>
      <c r="OX20" s="106"/>
      <c r="OY20" s="106"/>
      <c r="OZ20" s="106"/>
      <c r="PA20" s="106"/>
      <c r="PB20" s="106"/>
      <c r="PC20" s="106"/>
      <c r="PD20" s="106"/>
      <c r="PE20" s="106"/>
    </row>
    <row r="21" spans="2:421">
      <c r="B21" s="126" t="s">
        <v>67</v>
      </c>
      <c r="C21" s="141">
        <v>1.23</v>
      </c>
      <c r="D21" s="141">
        <v>1.353</v>
      </c>
      <c r="E21" s="141">
        <v>1.3528647</v>
      </c>
      <c r="F21" s="141">
        <v>1.0959300000000001</v>
      </c>
      <c r="G21" s="141">
        <v>1.0959300000000001</v>
      </c>
      <c r="LM21" s="1"/>
      <c r="LN21" s="80"/>
      <c r="LO21" s="1"/>
      <c r="LP21" s="110"/>
      <c r="LQ21" s="110"/>
      <c r="LR21" s="110"/>
      <c r="LS21" s="110"/>
      <c r="LT21" s="110"/>
      <c r="LU21" s="110"/>
      <c r="LV21" s="110"/>
      <c r="LW21" s="110"/>
      <c r="LX21" s="110"/>
      <c r="LY21" s="1"/>
      <c r="LZ21" s="1"/>
      <c r="MA21" s="1"/>
      <c r="MB21" s="1"/>
      <c r="MC21" s="1"/>
      <c r="MD21" s="1"/>
      <c r="ME21" s="1"/>
      <c r="MF21" s="1"/>
      <c r="MG21" s="1"/>
      <c r="MK21" s="137"/>
      <c r="ML21" s="1"/>
      <c r="MM21" s="73"/>
      <c r="MN21" s="1"/>
      <c r="MO21" s="110"/>
      <c r="MP21" s="110"/>
      <c r="MQ21" s="110"/>
      <c r="MR21" s="110"/>
      <c r="MS21" s="110"/>
      <c r="MT21" s="110"/>
      <c r="MU21" s="110"/>
      <c r="MV21" s="110"/>
      <c r="MW21" s="110"/>
      <c r="MX21" s="1"/>
      <c r="MY21" s="1"/>
      <c r="MZ21" s="1"/>
      <c r="NA21" s="1"/>
      <c r="NB21" s="1"/>
      <c r="NC21" s="1"/>
      <c r="ND21" s="1"/>
      <c r="NE21" s="1"/>
      <c r="NF21" s="1"/>
      <c r="NH21" s="1"/>
      <c r="NI21" s="16"/>
      <c r="NJ21" s="3"/>
      <c r="NK21" s="85"/>
      <c r="NL21" s="68"/>
      <c r="NM21" s="7"/>
      <c r="NN21" s="106"/>
      <c r="NO21" s="106"/>
      <c r="NP21" s="41"/>
      <c r="NQ21" s="106"/>
      <c r="NR21" s="106"/>
      <c r="NS21" s="42"/>
      <c r="NT21" s="42"/>
      <c r="NU21" s="42"/>
      <c r="NV21" s="42"/>
      <c r="NW21" s="42"/>
      <c r="NX21" s="42"/>
      <c r="NY21" s="42"/>
      <c r="NZ21" s="42"/>
      <c r="OA21" s="42"/>
      <c r="OB21" s="36"/>
      <c r="OC21" s="107"/>
      <c r="OD21" s="107"/>
      <c r="OE21" s="107"/>
      <c r="OF21" s="106"/>
      <c r="OG21" s="106"/>
      <c r="OH21" s="106"/>
      <c r="OI21" s="106"/>
      <c r="OJ21" s="106"/>
      <c r="OK21" s="106"/>
      <c r="OL21" s="106"/>
      <c r="OM21" s="106"/>
      <c r="ON21" s="106"/>
      <c r="OO21" s="106"/>
      <c r="OP21" s="106"/>
      <c r="OQ21" s="36"/>
      <c r="OR21" s="106"/>
      <c r="OS21" s="106"/>
      <c r="OT21" s="106"/>
      <c r="OU21" s="106"/>
      <c r="OV21" s="106"/>
      <c r="OW21" s="106"/>
      <c r="OX21" s="106"/>
      <c r="OY21" s="106"/>
      <c r="OZ21" s="106"/>
      <c r="PA21" s="106"/>
      <c r="PB21" s="106"/>
      <c r="PC21" s="106"/>
      <c r="PD21" s="106"/>
      <c r="PE21" s="106"/>
    </row>
    <row r="22" spans="2:421">
      <c r="B22" s="127" t="s">
        <v>22</v>
      </c>
      <c r="C22" s="128">
        <v>1.29</v>
      </c>
      <c r="D22" s="128">
        <v>1.548</v>
      </c>
      <c r="E22" s="128">
        <v>1.7198280000000001</v>
      </c>
      <c r="F22" s="128">
        <v>1.7027999999999999</v>
      </c>
      <c r="G22" s="128">
        <v>1.5325199999999999</v>
      </c>
      <c r="LM22" s="1"/>
      <c r="LN22" s="73"/>
      <c r="LO22" s="1"/>
      <c r="LP22" s="110"/>
      <c r="LQ22" s="110"/>
      <c r="LR22" s="110"/>
      <c r="LS22" s="110"/>
      <c r="LT22" s="110"/>
      <c r="LU22" s="110"/>
      <c r="LV22" s="110"/>
      <c r="LW22" s="110"/>
      <c r="LX22" s="110"/>
      <c r="LY22" s="1"/>
      <c r="LZ22" s="1"/>
      <c r="MA22" s="1"/>
      <c r="MB22" s="1"/>
      <c r="MC22" s="1"/>
      <c r="MD22" s="1"/>
      <c r="ME22" s="1"/>
      <c r="MF22" s="1"/>
      <c r="MG22" s="1"/>
      <c r="MK22" s="137"/>
      <c r="ML22" s="1"/>
      <c r="MM22" s="73"/>
      <c r="MN22" s="1"/>
      <c r="MO22" s="110"/>
      <c r="MP22" s="110"/>
      <c r="MQ22" s="110"/>
      <c r="MR22" s="110"/>
      <c r="MS22" s="110"/>
      <c r="MT22" s="110"/>
      <c r="MU22" s="110"/>
      <c r="MV22" s="110"/>
      <c r="MW22" s="110"/>
      <c r="MX22" s="1"/>
      <c r="MY22" s="1"/>
      <c r="MZ22" s="1"/>
      <c r="NA22" s="1"/>
      <c r="NB22" s="1"/>
      <c r="NC22" s="1"/>
      <c r="ND22" s="1"/>
      <c r="NE22" s="1"/>
      <c r="NF22" s="1"/>
      <c r="NH22" s="1"/>
      <c r="NI22" s="16"/>
      <c r="NJ22" s="85"/>
      <c r="NK22" s="85"/>
      <c r="NL22" s="68"/>
      <c r="NM22" s="7"/>
      <c r="NN22" s="106"/>
      <c r="NO22" s="106"/>
      <c r="NP22" s="41"/>
      <c r="NQ22" s="106"/>
      <c r="NR22" s="106"/>
      <c r="NS22" s="106"/>
      <c r="NT22" s="106"/>
      <c r="NU22" s="106"/>
      <c r="NV22" s="106"/>
      <c r="NW22" s="106"/>
      <c r="NX22" s="106"/>
      <c r="NY22" s="106"/>
      <c r="NZ22" s="106"/>
      <c r="OA22" s="106"/>
      <c r="OB22" s="36"/>
      <c r="OC22" s="107"/>
      <c r="OD22" s="107"/>
      <c r="OE22" s="107"/>
      <c r="OF22" s="106"/>
      <c r="OG22" s="106"/>
      <c r="OH22" s="106"/>
      <c r="OI22" s="106"/>
      <c r="OJ22" s="106"/>
      <c r="OK22" s="106"/>
      <c r="OL22" s="106"/>
      <c r="OM22" s="106"/>
      <c r="ON22" s="106"/>
      <c r="OO22" s="106"/>
      <c r="OP22" s="106"/>
      <c r="OQ22" s="36"/>
      <c r="OR22" s="106"/>
      <c r="OS22" s="106"/>
      <c r="OT22" s="106"/>
      <c r="OU22" s="106"/>
      <c r="OV22" s="106"/>
      <c r="OW22" s="106"/>
      <c r="OX22" s="106"/>
      <c r="OY22" s="106"/>
      <c r="OZ22" s="106"/>
      <c r="PA22" s="106"/>
      <c r="PB22" s="106"/>
      <c r="PC22" s="106"/>
      <c r="PD22" s="106"/>
      <c r="PE22" s="106"/>
    </row>
    <row r="23" spans="2:421">
      <c r="B23" s="127" t="s">
        <v>176</v>
      </c>
      <c r="C23" s="128">
        <v>1.99</v>
      </c>
      <c r="D23" s="128">
        <v>1.5920000000000001</v>
      </c>
      <c r="E23" s="128">
        <v>1.4149696</v>
      </c>
      <c r="F23" s="128">
        <v>1.01888</v>
      </c>
      <c r="G23" s="128">
        <v>1.222656</v>
      </c>
      <c r="LM23" s="1"/>
      <c r="LN23" s="73"/>
      <c r="LO23" s="1"/>
      <c r="LP23" s="110"/>
      <c r="LQ23" s="110"/>
      <c r="LR23" s="110"/>
      <c r="LS23" s="110"/>
      <c r="LT23" s="110"/>
      <c r="LU23" s="110"/>
      <c r="LV23" s="110"/>
      <c r="LW23" s="110"/>
      <c r="LX23" s="110"/>
      <c r="LY23" s="1"/>
      <c r="LZ23" s="1"/>
      <c r="MA23" s="1"/>
      <c r="MB23" s="1"/>
      <c r="MC23" s="1"/>
      <c r="MD23" s="1"/>
      <c r="ME23" s="1"/>
      <c r="MF23" s="1"/>
      <c r="MG23" s="1"/>
      <c r="MK23" s="137"/>
      <c r="ML23" s="1"/>
      <c r="MM23" s="80"/>
      <c r="MN23" s="1"/>
      <c r="MO23" s="110"/>
      <c r="MP23" s="110"/>
      <c r="MQ23" s="110"/>
      <c r="MR23" s="110"/>
      <c r="MS23" s="110"/>
      <c r="MT23" s="110"/>
      <c r="MU23" s="110"/>
      <c r="MV23" s="110"/>
      <c r="MW23" s="110"/>
      <c r="MX23" s="1"/>
      <c r="MY23" s="1"/>
      <c r="MZ23" s="1"/>
      <c r="NA23" s="1"/>
      <c r="NB23" s="1"/>
      <c r="NC23" s="1"/>
      <c r="ND23" s="1"/>
      <c r="NE23" s="1"/>
      <c r="NF23" s="1"/>
      <c r="NH23" s="3"/>
      <c r="NI23" s="90"/>
      <c r="NJ23" s="3"/>
      <c r="NK23" s="90"/>
      <c r="NL23" s="68"/>
      <c r="NM23" s="3"/>
      <c r="NN23" s="17"/>
      <c r="NO23" s="17"/>
      <c r="NP23" s="2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9"/>
      <c r="OC23" s="19"/>
      <c r="OD23" s="19"/>
      <c r="OE23" s="19"/>
      <c r="OF23" s="19"/>
      <c r="OG23" s="19"/>
      <c r="OH23" s="19"/>
      <c r="OI23" s="19"/>
      <c r="OJ23" s="19"/>
      <c r="OK23" s="19"/>
      <c r="OL23" s="19"/>
      <c r="OM23" s="19"/>
      <c r="ON23" s="19"/>
      <c r="OO23" s="19"/>
      <c r="OP23" s="19"/>
      <c r="OQ23" s="19"/>
      <c r="OR23" s="19"/>
      <c r="OS23" s="19"/>
      <c r="OT23" s="19"/>
      <c r="OU23" s="19"/>
      <c r="OV23" s="19"/>
      <c r="OW23" s="19"/>
      <c r="OX23" s="19"/>
      <c r="OY23" s="19"/>
      <c r="OZ23" s="19"/>
      <c r="PA23" s="19"/>
      <c r="PB23" s="19"/>
      <c r="PC23" s="19"/>
      <c r="PD23" s="19"/>
      <c r="PE23" s="19"/>
    </row>
    <row r="24" spans="2:421">
      <c r="B24" s="126" t="s">
        <v>151</v>
      </c>
      <c r="C24" s="129">
        <v>1.62</v>
      </c>
      <c r="D24" s="129">
        <v>1.296</v>
      </c>
      <c r="E24" s="129">
        <v>1.5838416</v>
      </c>
      <c r="F24" s="129">
        <v>1.4256</v>
      </c>
      <c r="G24" s="129">
        <v>1.28304</v>
      </c>
      <c r="LM24" s="1"/>
      <c r="LN24" s="102"/>
      <c r="LO24" s="98"/>
      <c r="LP24" s="110"/>
      <c r="LQ24" s="110"/>
      <c r="LR24" s="110"/>
      <c r="LS24" s="110"/>
      <c r="LT24" s="110"/>
      <c r="LU24" s="110"/>
      <c r="LV24" s="110"/>
      <c r="LW24" s="110"/>
      <c r="LX24" s="110"/>
      <c r="LY24" s="1"/>
      <c r="LZ24" s="1"/>
      <c r="MA24" s="1"/>
      <c r="MB24" s="1"/>
      <c r="MC24" s="1"/>
      <c r="MD24" s="1"/>
      <c r="ME24" s="1"/>
      <c r="MF24" s="1"/>
      <c r="MG24" s="1"/>
      <c r="MK24" s="137"/>
      <c r="ML24" s="1"/>
      <c r="MM24" s="73"/>
      <c r="MN24" s="1"/>
      <c r="MO24" s="110"/>
      <c r="MP24" s="110"/>
      <c r="MQ24" s="110"/>
      <c r="MR24" s="110"/>
      <c r="MS24" s="110"/>
      <c r="MT24" s="110"/>
      <c r="MU24" s="110"/>
      <c r="MV24" s="110"/>
      <c r="MW24" s="110"/>
      <c r="MX24" s="1"/>
      <c r="MY24" s="1"/>
      <c r="MZ24" s="1"/>
      <c r="NA24" s="1"/>
      <c r="NB24" s="1"/>
      <c r="NC24" s="1"/>
      <c r="ND24" s="1"/>
      <c r="NE24" s="1"/>
      <c r="NF24" s="1"/>
      <c r="NH24" s="3"/>
      <c r="NI24" s="109"/>
      <c r="NJ24" s="24"/>
      <c r="NK24" s="109"/>
      <c r="NL24" s="67"/>
      <c r="NM24" s="3"/>
      <c r="NN24" s="28"/>
      <c r="NO24" s="28"/>
      <c r="NP24" s="26"/>
      <c r="NQ24" s="28"/>
      <c r="NR24" s="28"/>
      <c r="NS24" s="25"/>
      <c r="NT24" s="25"/>
      <c r="NU24" s="25"/>
      <c r="NV24" s="25"/>
      <c r="NW24" s="25"/>
      <c r="NX24" s="25"/>
      <c r="NY24" s="25"/>
      <c r="NZ24" s="25"/>
      <c r="OA24" s="25"/>
      <c r="OB24" s="20"/>
      <c r="OC24" s="29"/>
      <c r="OD24" s="29"/>
      <c r="OE24" s="29"/>
      <c r="OF24" s="29"/>
      <c r="OG24" s="29"/>
      <c r="OH24" s="25"/>
      <c r="OI24" s="25"/>
      <c r="OJ24" s="25"/>
      <c r="OK24" s="25"/>
      <c r="OL24" s="25"/>
      <c r="OM24" s="25"/>
      <c r="ON24" s="25"/>
      <c r="OO24" s="25"/>
      <c r="OP24" s="25"/>
      <c r="OQ24" s="19"/>
      <c r="OR24" s="28"/>
      <c r="OS24" s="28"/>
      <c r="OT24" s="28"/>
      <c r="OU24" s="28"/>
      <c r="OV24" s="28"/>
      <c r="OW24" s="25"/>
      <c r="OX24" s="28"/>
      <c r="OY24" s="28"/>
      <c r="OZ24" s="28"/>
      <c r="PA24" s="28"/>
      <c r="PB24" s="28"/>
      <c r="PC24" s="28"/>
      <c r="PD24" s="28"/>
      <c r="PE24" s="28"/>
    </row>
    <row r="25" spans="2:421">
      <c r="B25" s="127" t="s">
        <v>122</v>
      </c>
      <c r="C25" s="128">
        <v>1.7</v>
      </c>
      <c r="D25" s="128">
        <v>1.7</v>
      </c>
      <c r="E25" s="128">
        <v>1.6998299999999997</v>
      </c>
      <c r="F25" s="128">
        <v>1.6829999999999998</v>
      </c>
      <c r="G25" s="128">
        <v>1.3463999999999998</v>
      </c>
      <c r="LM25" s="1"/>
      <c r="LN25" s="95"/>
      <c r="LO25" s="85"/>
      <c r="LP25" s="110"/>
      <c r="LQ25" s="110"/>
      <c r="LR25" s="110"/>
      <c r="LS25" s="110"/>
      <c r="LT25" s="110"/>
      <c r="LU25" s="110"/>
      <c r="LV25" s="110"/>
      <c r="LW25" s="110"/>
      <c r="LX25" s="110"/>
      <c r="LY25" s="1"/>
      <c r="LZ25" s="1"/>
      <c r="MA25" s="1"/>
      <c r="MB25" s="1"/>
      <c r="MC25" s="1"/>
      <c r="MD25" s="1"/>
      <c r="ME25" s="1"/>
      <c r="MF25" s="1"/>
      <c r="MG25" s="1"/>
      <c r="MK25" s="137"/>
      <c r="ML25" s="1"/>
      <c r="MM25" s="73"/>
      <c r="MN25" s="1"/>
      <c r="MO25" s="110"/>
      <c r="MP25" s="110"/>
      <c r="MQ25" s="110"/>
      <c r="MR25" s="110"/>
      <c r="MS25" s="110"/>
      <c r="MT25" s="110"/>
      <c r="MU25" s="110"/>
      <c r="MV25" s="110"/>
      <c r="MW25" s="110"/>
      <c r="MX25" s="1"/>
      <c r="MY25" s="1"/>
      <c r="MZ25" s="1"/>
      <c r="NA25" s="1"/>
      <c r="NB25" s="1"/>
      <c r="NC25" s="1"/>
      <c r="ND25" s="1"/>
      <c r="NE25" s="1"/>
      <c r="NF25" s="1"/>
      <c r="NH25" s="1"/>
      <c r="NI25" s="85"/>
      <c r="NJ25" s="85"/>
      <c r="NK25" s="85"/>
      <c r="NL25" s="68"/>
      <c r="NM25" s="1"/>
      <c r="NN25" s="16"/>
      <c r="NO25" s="16"/>
      <c r="NP25" s="44"/>
      <c r="NQ25" s="16"/>
      <c r="NR25" s="16"/>
      <c r="NS25" s="42"/>
      <c r="NT25" s="42"/>
      <c r="NU25" s="42"/>
      <c r="NV25" s="42"/>
      <c r="NW25" s="42"/>
      <c r="NX25" s="42"/>
      <c r="NY25" s="42"/>
      <c r="NZ25" s="42"/>
      <c r="OA25" s="42"/>
      <c r="OB25" s="16"/>
      <c r="OC25" s="27"/>
      <c r="OD25" s="27"/>
      <c r="OE25" s="27"/>
      <c r="OF25" s="27"/>
      <c r="OG25" s="27"/>
      <c r="OH25" s="17"/>
      <c r="OI25" s="17"/>
      <c r="OJ25" s="17"/>
      <c r="OK25" s="17"/>
      <c r="OL25" s="17"/>
      <c r="OM25" s="17"/>
      <c r="ON25" s="17"/>
      <c r="OO25" s="17"/>
      <c r="OP25" s="17"/>
      <c r="OQ25" s="16"/>
      <c r="OR25" s="16"/>
      <c r="OS25" s="16"/>
      <c r="OT25" s="16"/>
      <c r="OU25" s="16"/>
      <c r="OV25" s="16"/>
      <c r="OW25" s="17"/>
      <c r="OX25" s="17"/>
      <c r="OY25" s="17"/>
      <c r="OZ25" s="17"/>
      <c r="PA25" s="17"/>
      <c r="PB25" s="17"/>
      <c r="PC25" s="17"/>
      <c r="PD25" s="17"/>
      <c r="PE25" s="17"/>
    </row>
    <row r="26" spans="2:421">
      <c r="B26" s="127" t="s">
        <v>146</v>
      </c>
      <c r="C26" s="139">
        <v>1.89</v>
      </c>
      <c r="D26" s="139">
        <v>2.2679999999999998</v>
      </c>
      <c r="E26" s="139">
        <v>2.5197479999999999</v>
      </c>
      <c r="F26" s="139">
        <v>2.4947999999999997</v>
      </c>
      <c r="G26" s="139">
        <v>2.2453199999999995</v>
      </c>
      <c r="LM26" s="1"/>
      <c r="LN26" s="73"/>
      <c r="LO26" s="73"/>
      <c r="LP26" s="110"/>
      <c r="LQ26" s="110"/>
      <c r="LR26" s="110"/>
      <c r="LS26" s="110"/>
      <c r="LT26" s="110"/>
      <c r="LU26" s="110"/>
      <c r="LV26" s="110"/>
      <c r="LW26" s="110"/>
      <c r="LX26" s="110"/>
      <c r="LY26" s="1"/>
      <c r="LZ26" s="1"/>
      <c r="MA26" s="1"/>
      <c r="MB26" s="1"/>
      <c r="MC26" s="1"/>
      <c r="MD26" s="1"/>
      <c r="ME26" s="1"/>
      <c r="MF26" s="1"/>
      <c r="MG26" s="1"/>
      <c r="MK26" s="137"/>
      <c r="ML26" s="1"/>
      <c r="MM26" s="102"/>
      <c r="MN26" s="98"/>
      <c r="MO26" s="110"/>
      <c r="MP26" s="110"/>
      <c r="MQ26" s="110"/>
      <c r="MR26" s="110"/>
      <c r="MS26" s="110"/>
      <c r="MT26" s="110"/>
      <c r="MU26" s="110"/>
      <c r="MV26" s="110"/>
      <c r="MW26" s="110"/>
      <c r="MX26" s="1"/>
      <c r="MY26" s="1"/>
      <c r="MZ26" s="1"/>
      <c r="NA26" s="1"/>
      <c r="NB26" s="1"/>
      <c r="NC26" s="1"/>
      <c r="ND26" s="1"/>
      <c r="NE26" s="1"/>
      <c r="NF26" s="1"/>
      <c r="NH26" s="1"/>
      <c r="NI26" s="85"/>
      <c r="NJ26" s="85"/>
      <c r="NK26" s="85"/>
      <c r="NL26" s="68"/>
      <c r="NM26" s="1"/>
      <c r="NN26" s="16"/>
      <c r="NO26" s="16"/>
      <c r="NP26" s="44"/>
      <c r="NQ26" s="16"/>
      <c r="NR26" s="16"/>
      <c r="NS26" s="42"/>
      <c r="NT26" s="42"/>
      <c r="NU26" s="42"/>
      <c r="NV26" s="42"/>
      <c r="NW26" s="42"/>
      <c r="NX26" s="42"/>
      <c r="NY26" s="42"/>
      <c r="NZ26" s="42"/>
      <c r="OA26" s="42"/>
      <c r="OB26" s="16"/>
      <c r="OC26" s="27"/>
      <c r="OD26" s="27"/>
      <c r="OE26" s="27"/>
      <c r="OF26" s="27"/>
      <c r="OG26" s="27"/>
      <c r="OH26" s="17"/>
      <c r="OI26" s="17"/>
      <c r="OJ26" s="17"/>
      <c r="OK26" s="17"/>
      <c r="OL26" s="17"/>
      <c r="OM26" s="17"/>
      <c r="ON26" s="17"/>
      <c r="OO26" s="17"/>
      <c r="OP26" s="17"/>
      <c r="OQ26" s="16"/>
      <c r="OR26" s="16"/>
      <c r="OS26" s="16"/>
      <c r="OT26" s="16"/>
      <c r="OU26" s="16"/>
      <c r="OV26" s="16"/>
      <c r="OW26" s="17"/>
      <c r="OX26" s="17"/>
      <c r="OY26" s="17"/>
      <c r="OZ26" s="17"/>
      <c r="PA26" s="17"/>
      <c r="PB26" s="17"/>
      <c r="PC26" s="17"/>
      <c r="PD26" s="17"/>
      <c r="PE26" s="17"/>
    </row>
    <row r="27" spans="2:421" ht="34.5">
      <c r="B27" s="126" t="s">
        <v>175</v>
      </c>
      <c r="C27" s="141">
        <v>2.37</v>
      </c>
      <c r="D27" s="141">
        <v>2.8440000000000003</v>
      </c>
      <c r="E27" s="141">
        <v>3.1596840000000004</v>
      </c>
      <c r="F27" s="141">
        <v>2.8440000000000003</v>
      </c>
      <c r="G27" s="141">
        <v>3.4127999999999998</v>
      </c>
      <c r="LM27" s="1"/>
      <c r="LN27" s="73"/>
      <c r="LO27" s="1"/>
      <c r="LP27" s="110"/>
      <c r="LQ27" s="110"/>
      <c r="LR27" s="110"/>
      <c r="LS27" s="110"/>
      <c r="LT27" s="110"/>
      <c r="LU27" s="110"/>
      <c r="LV27" s="110"/>
      <c r="LW27" s="110"/>
      <c r="LX27" s="110"/>
      <c r="LY27" s="1"/>
      <c r="LZ27" s="1"/>
      <c r="MA27" s="1"/>
      <c r="MB27" s="1"/>
      <c r="MC27" s="1"/>
      <c r="MD27" s="1"/>
      <c r="ME27" s="1"/>
      <c r="MF27" s="1"/>
      <c r="MG27" s="1"/>
      <c r="MK27" s="137"/>
      <c r="ML27" s="1"/>
      <c r="MM27" s="95"/>
      <c r="MN27" s="85"/>
      <c r="MO27" s="110"/>
      <c r="MP27" s="110"/>
      <c r="MQ27" s="110"/>
      <c r="MR27" s="110"/>
      <c r="MS27" s="110"/>
      <c r="MT27" s="110"/>
      <c r="MU27" s="110"/>
      <c r="MV27" s="110"/>
      <c r="MW27" s="110"/>
      <c r="MX27" s="1"/>
      <c r="MY27" s="1"/>
      <c r="MZ27" s="1"/>
      <c r="NA27" s="1"/>
      <c r="NB27" s="1"/>
      <c r="NC27" s="1"/>
      <c r="ND27" s="1"/>
      <c r="NE27" s="1"/>
      <c r="NF27" s="1"/>
      <c r="NH27" s="1"/>
      <c r="NI27" s="85"/>
      <c r="NJ27" s="85"/>
      <c r="NK27" s="85"/>
      <c r="NL27" s="68"/>
      <c r="NM27" s="1"/>
      <c r="NN27" s="16"/>
      <c r="NO27" s="16"/>
      <c r="NP27" s="44"/>
      <c r="NQ27" s="16"/>
      <c r="NR27" s="16"/>
      <c r="NS27" s="42"/>
      <c r="NT27" s="42"/>
      <c r="NU27" s="42"/>
      <c r="NV27" s="42"/>
      <c r="NW27" s="42"/>
      <c r="NX27" s="42"/>
      <c r="NY27" s="42"/>
      <c r="NZ27" s="42"/>
      <c r="OA27" s="42"/>
      <c r="OB27" s="16"/>
      <c r="OC27" s="27"/>
      <c r="OD27" s="27"/>
      <c r="OE27" s="27"/>
      <c r="OF27" s="27"/>
      <c r="OG27" s="27"/>
      <c r="OH27" s="17"/>
      <c r="OI27" s="17"/>
      <c r="OJ27" s="17"/>
      <c r="OK27" s="17"/>
      <c r="OL27" s="17"/>
      <c r="OM27" s="17"/>
      <c r="ON27" s="17"/>
      <c r="OO27" s="17"/>
      <c r="OP27" s="17"/>
      <c r="OQ27" s="16"/>
      <c r="OR27" s="16"/>
      <c r="OS27" s="16"/>
      <c r="OT27" s="16"/>
      <c r="OU27" s="16"/>
      <c r="OV27" s="16"/>
      <c r="OW27" s="17"/>
      <c r="OX27" s="17"/>
      <c r="OY27" s="17"/>
      <c r="OZ27" s="17"/>
      <c r="PA27" s="17"/>
      <c r="PB27" s="17"/>
      <c r="PC27" s="17"/>
      <c r="PD27" s="17"/>
      <c r="PE27" s="17"/>
    </row>
    <row r="28" spans="2:421" ht="45.75">
      <c r="B28" s="127" t="s">
        <v>184</v>
      </c>
      <c r="C28" s="128">
        <v>2.1</v>
      </c>
      <c r="D28" s="128">
        <v>2.1</v>
      </c>
      <c r="E28" s="128">
        <v>2.3331</v>
      </c>
      <c r="F28" s="128">
        <v>1.8900000000000001</v>
      </c>
      <c r="G28" s="128">
        <v>1.7010000000000001</v>
      </c>
      <c r="LM28" s="1"/>
      <c r="LN28" s="73"/>
      <c r="LO28" s="1"/>
      <c r="LP28" s="110"/>
      <c r="LQ28" s="110"/>
      <c r="LR28" s="110"/>
      <c r="LS28" s="110"/>
      <c r="LT28" s="110"/>
      <c r="LU28" s="110"/>
      <c r="LV28" s="110"/>
      <c r="LW28" s="110"/>
      <c r="LX28" s="110"/>
      <c r="LY28" s="1"/>
      <c r="LZ28" s="1"/>
      <c r="MA28" s="1"/>
      <c r="MB28" s="1"/>
      <c r="MC28" s="1"/>
      <c r="MD28" s="1"/>
      <c r="ME28" s="1"/>
      <c r="MF28" s="1"/>
      <c r="MG28" s="1"/>
      <c r="MK28" s="137"/>
      <c r="ML28" s="1"/>
      <c r="MM28" s="73"/>
      <c r="MN28" s="73"/>
      <c r="MO28" s="110"/>
      <c r="MP28" s="110"/>
      <c r="MQ28" s="110"/>
      <c r="MR28" s="110"/>
      <c r="MS28" s="110"/>
      <c r="MT28" s="110"/>
      <c r="MU28" s="110"/>
      <c r="MV28" s="110"/>
      <c r="MW28" s="110"/>
      <c r="MX28" s="1"/>
      <c r="MY28" s="1"/>
      <c r="MZ28" s="1"/>
      <c r="NA28" s="1"/>
      <c r="NB28" s="1"/>
      <c r="NC28" s="1"/>
      <c r="ND28" s="1"/>
      <c r="NE28" s="1"/>
      <c r="NF28" s="1"/>
      <c r="NH28" s="1"/>
      <c r="NI28" s="85"/>
      <c r="NJ28" s="85"/>
      <c r="NK28" s="85"/>
      <c r="NL28" s="68"/>
      <c r="NM28" s="1"/>
      <c r="NN28" s="16"/>
      <c r="NO28" s="16"/>
      <c r="NP28" s="44"/>
      <c r="NQ28" s="16"/>
      <c r="NR28" s="16"/>
      <c r="NS28" s="42"/>
      <c r="NT28" s="42"/>
      <c r="NU28" s="42"/>
      <c r="NV28" s="42"/>
      <c r="NW28" s="42"/>
      <c r="NX28" s="42"/>
      <c r="NY28" s="42"/>
      <c r="NZ28" s="42"/>
      <c r="OA28" s="42"/>
      <c r="OB28" s="16"/>
      <c r="OC28" s="27"/>
      <c r="OD28" s="27"/>
      <c r="OE28" s="27"/>
      <c r="OF28" s="27"/>
      <c r="OG28" s="27"/>
      <c r="OH28" s="17"/>
      <c r="OI28" s="17"/>
      <c r="OJ28" s="17"/>
      <c r="OK28" s="17"/>
      <c r="OL28" s="17"/>
      <c r="OM28" s="17"/>
      <c r="ON28" s="17"/>
      <c r="OO28" s="17"/>
      <c r="OP28" s="17"/>
      <c r="OQ28" s="16"/>
      <c r="OR28" s="16"/>
      <c r="OS28" s="16"/>
      <c r="OT28" s="16"/>
      <c r="OU28" s="16"/>
      <c r="OV28" s="16"/>
      <c r="OW28" s="17"/>
      <c r="OX28" s="17"/>
      <c r="OY28" s="17"/>
      <c r="OZ28" s="17"/>
      <c r="PA28" s="17"/>
      <c r="PB28" s="17"/>
      <c r="PC28" s="17"/>
      <c r="PD28" s="17"/>
      <c r="PE28" s="17"/>
    </row>
    <row r="29" spans="2:421" ht="34.5">
      <c r="B29" s="126" t="s">
        <v>61</v>
      </c>
      <c r="C29" s="129">
        <v>1.83</v>
      </c>
      <c r="D29" s="129">
        <v>1.83</v>
      </c>
      <c r="E29" s="129">
        <v>2.0331299999999999</v>
      </c>
      <c r="F29" s="129">
        <v>1.6469999999999998</v>
      </c>
      <c r="G29" s="129">
        <v>1.4823</v>
      </c>
      <c r="LM29" s="1"/>
      <c r="LN29" s="73"/>
      <c r="LO29" s="1"/>
      <c r="LP29" s="110"/>
      <c r="LQ29" s="110"/>
      <c r="LR29" s="110"/>
      <c r="LS29" s="110"/>
      <c r="LT29" s="110"/>
      <c r="LU29" s="110"/>
      <c r="LV29" s="110"/>
      <c r="LW29" s="110"/>
      <c r="LX29" s="110"/>
      <c r="LY29" s="1"/>
      <c r="LZ29" s="1"/>
      <c r="MA29" s="1"/>
      <c r="MB29" s="1"/>
      <c r="MC29" s="1"/>
      <c r="MD29" s="1"/>
      <c r="ME29" s="1"/>
      <c r="MF29" s="1"/>
      <c r="MG29" s="1"/>
      <c r="MK29" s="137"/>
      <c r="ML29" s="1"/>
      <c r="MM29" s="73"/>
      <c r="MN29" s="1"/>
      <c r="MO29" s="110"/>
      <c r="MP29" s="110"/>
      <c r="MQ29" s="110"/>
      <c r="MR29" s="110"/>
      <c r="MS29" s="110"/>
      <c r="MT29" s="110"/>
      <c r="MU29" s="110"/>
      <c r="MV29" s="110"/>
      <c r="MW29" s="110"/>
      <c r="MX29" s="1"/>
      <c r="MY29" s="1"/>
      <c r="MZ29" s="1"/>
      <c r="NA29" s="1"/>
      <c r="NB29" s="1"/>
      <c r="NC29" s="1"/>
      <c r="ND29" s="1"/>
      <c r="NE29" s="1"/>
      <c r="NF29" s="1"/>
      <c r="NH29" s="1"/>
      <c r="NI29" s="85"/>
      <c r="NJ29" s="85"/>
      <c r="NK29" s="85"/>
      <c r="NL29" s="68"/>
      <c r="NM29" s="1"/>
      <c r="NN29" s="16"/>
      <c r="NO29" s="16"/>
      <c r="NP29" s="44"/>
      <c r="NQ29" s="16"/>
      <c r="NR29" s="16"/>
      <c r="NS29" s="42"/>
      <c r="NT29" s="42"/>
      <c r="NU29" s="42"/>
      <c r="NV29" s="42"/>
      <c r="NW29" s="42"/>
      <c r="NX29" s="42"/>
      <c r="NY29" s="42"/>
      <c r="NZ29" s="42"/>
      <c r="OA29" s="42"/>
      <c r="OB29" s="16"/>
      <c r="OC29" s="27"/>
      <c r="OD29" s="27"/>
      <c r="OE29" s="27"/>
      <c r="OF29" s="27"/>
      <c r="OG29" s="27"/>
      <c r="OH29" s="17"/>
      <c r="OI29" s="17"/>
      <c r="OJ29" s="17"/>
      <c r="OK29" s="17"/>
      <c r="OL29" s="17"/>
      <c r="OM29" s="17"/>
      <c r="ON29" s="17"/>
      <c r="OO29" s="17"/>
      <c r="OP29" s="17"/>
      <c r="OQ29" s="16"/>
      <c r="OR29" s="16"/>
      <c r="OS29" s="16"/>
      <c r="OT29" s="16"/>
      <c r="OU29" s="16"/>
      <c r="OV29" s="16"/>
      <c r="OW29" s="17"/>
      <c r="OX29" s="17"/>
      <c r="OY29" s="17"/>
      <c r="OZ29" s="17"/>
      <c r="PA29" s="17"/>
      <c r="PB29" s="17"/>
      <c r="PC29" s="17"/>
      <c r="PD29" s="17"/>
      <c r="PE29" s="17"/>
    </row>
    <row r="30" spans="2:421">
      <c r="B30" s="127" t="s">
        <v>82</v>
      </c>
      <c r="C30" s="128">
        <v>1.43</v>
      </c>
      <c r="D30" s="128">
        <v>1.573</v>
      </c>
      <c r="E30" s="128">
        <v>1.3980823999999998</v>
      </c>
      <c r="F30" s="128">
        <v>1.2584</v>
      </c>
      <c r="G30" s="128">
        <v>1.5100799999999999</v>
      </c>
      <c r="LM30" s="1"/>
      <c r="LN30" s="73"/>
      <c r="LO30" s="1"/>
      <c r="LP30" s="110"/>
      <c r="LQ30" s="110"/>
      <c r="LR30" s="110"/>
      <c r="LS30" s="110"/>
      <c r="LT30" s="110"/>
      <c r="LU30" s="110"/>
      <c r="LV30" s="110"/>
      <c r="LW30" s="110"/>
      <c r="LX30" s="110"/>
      <c r="LY30" s="1"/>
      <c r="LZ30" s="1"/>
      <c r="MA30" s="1"/>
      <c r="MB30" s="1"/>
      <c r="MC30" s="1"/>
      <c r="MD30" s="1"/>
      <c r="ME30" s="1"/>
      <c r="MF30" s="1"/>
      <c r="MG30" s="1"/>
      <c r="MK30" s="137"/>
      <c r="ML30" s="1"/>
      <c r="MM30" s="73"/>
      <c r="MN30" s="1"/>
      <c r="MO30" s="110"/>
      <c r="MP30" s="110"/>
      <c r="MQ30" s="110"/>
      <c r="MR30" s="110"/>
      <c r="MS30" s="110"/>
      <c r="MT30" s="110"/>
      <c r="MU30" s="110"/>
      <c r="MV30" s="110"/>
      <c r="MW30" s="110"/>
      <c r="MX30" s="1"/>
      <c r="MY30" s="1"/>
      <c r="MZ30" s="1"/>
      <c r="NA30" s="1"/>
      <c r="NB30" s="1"/>
      <c r="NC30" s="1"/>
      <c r="ND30" s="1"/>
      <c r="NE30" s="1"/>
      <c r="NF30" s="1"/>
      <c r="NH30" s="1"/>
      <c r="NI30" s="85"/>
      <c r="NJ30" s="85"/>
      <c r="NK30" s="85"/>
      <c r="NL30" s="68"/>
      <c r="NM30" s="1"/>
      <c r="NN30" s="16"/>
      <c r="NO30" s="16"/>
      <c r="NP30" s="44"/>
      <c r="NQ30" s="16"/>
      <c r="NR30" s="16"/>
      <c r="NS30" s="42"/>
      <c r="NT30" s="42"/>
      <c r="NU30" s="42"/>
      <c r="NV30" s="42"/>
      <c r="NW30" s="42"/>
      <c r="NX30" s="42"/>
      <c r="NY30" s="42"/>
      <c r="NZ30" s="42"/>
      <c r="OA30" s="42"/>
      <c r="OB30" s="16"/>
      <c r="OC30" s="27"/>
      <c r="OD30" s="27"/>
      <c r="OE30" s="27"/>
      <c r="OF30" s="27"/>
      <c r="OG30" s="27"/>
      <c r="OH30" s="17"/>
      <c r="OI30" s="17"/>
      <c r="OJ30" s="17"/>
      <c r="OK30" s="17"/>
      <c r="OL30" s="17"/>
      <c r="OM30" s="17"/>
      <c r="ON30" s="17"/>
      <c r="OO30" s="17"/>
      <c r="OP30" s="17"/>
      <c r="OQ30" s="16"/>
      <c r="OR30" s="16"/>
      <c r="OS30" s="16"/>
      <c r="OT30" s="16"/>
      <c r="OU30" s="16"/>
      <c r="OV30" s="16"/>
      <c r="OW30" s="17"/>
      <c r="OX30" s="17"/>
      <c r="OY30" s="17"/>
      <c r="OZ30" s="17"/>
      <c r="PA30" s="17"/>
      <c r="PB30" s="17"/>
      <c r="PC30" s="17"/>
      <c r="PD30" s="17"/>
      <c r="PE30" s="17"/>
    </row>
    <row r="31" spans="2:421">
      <c r="B31" s="126" t="s">
        <v>55</v>
      </c>
      <c r="C31" s="129">
        <v>2.02</v>
      </c>
      <c r="D31" s="129">
        <v>2.222</v>
      </c>
      <c r="E31" s="129">
        <v>2.7155062000000001</v>
      </c>
      <c r="F31" s="129">
        <v>2.9330399999999996</v>
      </c>
      <c r="G31" s="129">
        <v>2.6397359999999996</v>
      </c>
      <c r="LM31" s="1"/>
      <c r="LN31" s="73"/>
      <c r="LO31" s="1"/>
      <c r="LP31" s="110"/>
      <c r="LQ31" s="110"/>
      <c r="LR31" s="110"/>
      <c r="LS31" s="110"/>
      <c r="LT31" s="110"/>
      <c r="LU31" s="110"/>
      <c r="LV31" s="110"/>
      <c r="LW31" s="110"/>
      <c r="LX31" s="110"/>
      <c r="LY31" s="1"/>
      <c r="LZ31" s="1"/>
      <c r="MA31" s="1"/>
      <c r="MB31" s="1"/>
      <c r="MC31" s="1"/>
      <c r="MD31" s="1"/>
      <c r="ME31" s="1"/>
      <c r="MF31" s="1"/>
      <c r="MG31" s="1"/>
      <c r="MK31" s="137"/>
      <c r="ML31" s="1"/>
      <c r="MM31" s="73"/>
      <c r="MN31" s="1"/>
      <c r="MO31" s="110"/>
      <c r="MP31" s="110"/>
      <c r="MQ31" s="110"/>
      <c r="MR31" s="110"/>
      <c r="MS31" s="110"/>
      <c r="MT31" s="110"/>
      <c r="MU31" s="110"/>
      <c r="MV31" s="110"/>
      <c r="MW31" s="110"/>
      <c r="MX31" s="1"/>
      <c r="MY31" s="1"/>
      <c r="MZ31" s="1"/>
      <c r="NA31" s="1"/>
      <c r="NB31" s="1"/>
      <c r="NC31" s="1"/>
      <c r="ND31" s="1"/>
      <c r="NE31" s="1"/>
      <c r="NF31" s="1"/>
      <c r="NH31" s="1"/>
      <c r="NI31" s="85"/>
      <c r="NJ31" s="85"/>
      <c r="NK31" s="85"/>
      <c r="NL31" s="68"/>
      <c r="NM31" s="1"/>
      <c r="NN31" s="16"/>
      <c r="NO31" s="16"/>
      <c r="NP31" s="44"/>
      <c r="NQ31" s="16"/>
      <c r="NR31" s="16"/>
      <c r="NS31" s="42"/>
      <c r="NT31" s="42"/>
      <c r="NU31" s="42"/>
      <c r="NV31" s="42"/>
      <c r="NW31" s="42"/>
      <c r="NX31" s="42"/>
      <c r="NY31" s="42"/>
      <c r="NZ31" s="42"/>
      <c r="OA31" s="42"/>
      <c r="OB31" s="16"/>
      <c r="OC31" s="27"/>
      <c r="OD31" s="27"/>
      <c r="OE31" s="27"/>
      <c r="OF31" s="27"/>
      <c r="OG31" s="27"/>
      <c r="OH31" s="17"/>
      <c r="OI31" s="17"/>
      <c r="OJ31" s="17"/>
      <c r="OK31" s="17"/>
      <c r="OL31" s="17"/>
      <c r="OM31" s="17"/>
      <c r="ON31" s="17"/>
      <c r="OO31" s="17"/>
      <c r="OP31" s="17"/>
      <c r="OQ31" s="16"/>
      <c r="OR31" s="16"/>
      <c r="OS31" s="16"/>
      <c r="OT31" s="16"/>
      <c r="OU31" s="16"/>
      <c r="OV31" s="16"/>
      <c r="OW31" s="17"/>
      <c r="OX31" s="17"/>
      <c r="OY31" s="17"/>
      <c r="OZ31" s="17"/>
      <c r="PA31" s="17"/>
      <c r="PB31" s="17"/>
      <c r="PC31" s="17"/>
      <c r="PD31" s="17"/>
      <c r="PE31" s="17"/>
    </row>
    <row r="32" spans="2:421" ht="34.5">
      <c r="B32" s="126" t="s">
        <v>179</v>
      </c>
      <c r="C32" s="143">
        <v>1.45</v>
      </c>
      <c r="D32" s="143">
        <v>1.595</v>
      </c>
      <c r="E32" s="143">
        <v>1.9492494999999996</v>
      </c>
      <c r="F32" s="143">
        <v>1.9299499999999998</v>
      </c>
      <c r="G32" s="143">
        <v>1.5439599999999998</v>
      </c>
      <c r="LM32" s="1"/>
      <c r="LN32" s="73"/>
      <c r="LO32" s="1"/>
      <c r="LP32" s="110"/>
      <c r="LQ32" s="110"/>
      <c r="LR32" s="110"/>
      <c r="LS32" s="110"/>
      <c r="LT32" s="110"/>
      <c r="LU32" s="110"/>
      <c r="LV32" s="110"/>
      <c r="LW32" s="110"/>
      <c r="LX32" s="110"/>
      <c r="LY32" s="1"/>
      <c r="LZ32" s="1"/>
      <c r="MA32" s="1"/>
      <c r="MB32" s="1"/>
      <c r="MC32" s="1"/>
      <c r="MD32" s="1"/>
      <c r="ME32" s="1"/>
      <c r="MF32" s="1"/>
      <c r="MG32" s="1"/>
      <c r="MK32" s="137"/>
      <c r="ML32" s="1"/>
      <c r="MM32" s="73"/>
      <c r="MN32" s="1"/>
      <c r="MO32" s="110"/>
      <c r="MP32" s="110"/>
      <c r="MQ32" s="110"/>
      <c r="MR32" s="110"/>
      <c r="MS32" s="110"/>
      <c r="MT32" s="110"/>
      <c r="MU32" s="110"/>
      <c r="MV32" s="110"/>
      <c r="MW32" s="110"/>
      <c r="MX32" s="1"/>
      <c r="MY32" s="1"/>
      <c r="MZ32" s="1"/>
      <c r="NA32" s="1"/>
      <c r="NB32" s="1"/>
      <c r="NC32" s="1"/>
      <c r="ND32" s="1"/>
      <c r="NE32" s="1"/>
      <c r="NF32" s="1"/>
      <c r="NH32" s="1"/>
      <c r="NI32" s="85"/>
      <c r="NJ32" s="85"/>
      <c r="NK32" s="85"/>
      <c r="NL32" s="68"/>
      <c r="NM32" s="1"/>
      <c r="NN32" s="16"/>
      <c r="NO32" s="16"/>
      <c r="NP32" s="44"/>
      <c r="NQ32" s="16"/>
      <c r="NR32" s="16"/>
      <c r="NS32" s="42"/>
      <c r="NT32" s="42"/>
      <c r="NU32" s="42"/>
      <c r="NV32" s="42"/>
      <c r="NW32" s="42"/>
      <c r="NX32" s="42"/>
      <c r="NY32" s="42"/>
      <c r="NZ32" s="42"/>
      <c r="OA32" s="42"/>
      <c r="OB32" s="16"/>
      <c r="OC32" s="27"/>
      <c r="OD32" s="27"/>
      <c r="OE32" s="27"/>
      <c r="OF32" s="27"/>
      <c r="OG32" s="27"/>
      <c r="OH32" s="17"/>
      <c r="OI32" s="17"/>
      <c r="OJ32" s="17"/>
      <c r="OK32" s="17"/>
      <c r="OL32" s="17"/>
      <c r="OM32" s="17"/>
      <c r="ON32" s="17"/>
      <c r="OO32" s="17"/>
      <c r="OP32" s="17"/>
      <c r="OQ32" s="16"/>
      <c r="OR32" s="16"/>
      <c r="OS32" s="16"/>
      <c r="OT32" s="16"/>
      <c r="OU32" s="16"/>
      <c r="OV32" s="16"/>
      <c r="OW32" s="17"/>
      <c r="OX32" s="17"/>
      <c r="OY32" s="17"/>
      <c r="OZ32" s="17"/>
      <c r="PA32" s="17"/>
      <c r="PB32" s="17"/>
      <c r="PC32" s="17"/>
      <c r="PD32" s="17"/>
      <c r="PE32" s="17"/>
    </row>
    <row r="33" spans="2:421" ht="23.25">
      <c r="B33" s="127" t="s">
        <v>144</v>
      </c>
      <c r="C33" s="128">
        <v>2.17</v>
      </c>
      <c r="D33" s="128">
        <v>2.3869999999999996</v>
      </c>
      <c r="E33" s="128">
        <v>2.6519569999999995</v>
      </c>
      <c r="F33" s="128">
        <v>2.1482999999999999</v>
      </c>
      <c r="G33" s="128">
        <v>1.9334699999999998</v>
      </c>
      <c r="LM33" s="1"/>
      <c r="LN33" s="73"/>
      <c r="LO33" s="1"/>
      <c r="LP33" s="110"/>
      <c r="LQ33" s="110"/>
      <c r="LR33" s="110"/>
      <c r="LS33" s="110"/>
      <c r="LT33" s="110"/>
      <c r="LU33" s="110"/>
      <c r="LV33" s="110"/>
      <c r="LW33" s="110"/>
      <c r="LX33" s="110"/>
      <c r="LY33" s="1"/>
      <c r="LZ33" s="1"/>
      <c r="MA33" s="1"/>
      <c r="MB33" s="1"/>
      <c r="MC33" s="1"/>
      <c r="MD33" s="1"/>
      <c r="ME33" s="1"/>
      <c r="MF33" s="1"/>
      <c r="MG33" s="1"/>
      <c r="MK33" s="137"/>
      <c r="ML33" s="1"/>
      <c r="MM33" s="73"/>
      <c r="MN33" s="1"/>
      <c r="MO33" s="110"/>
      <c r="MP33" s="110"/>
      <c r="MQ33" s="110"/>
      <c r="MR33" s="110"/>
      <c r="MS33" s="110"/>
      <c r="MT33" s="110"/>
      <c r="MU33" s="110"/>
      <c r="MV33" s="110"/>
      <c r="MW33" s="110"/>
      <c r="MX33" s="1"/>
      <c r="MY33" s="1"/>
      <c r="MZ33" s="1"/>
      <c r="NA33" s="1"/>
      <c r="NB33" s="1"/>
      <c r="NC33" s="1"/>
      <c r="ND33" s="1"/>
      <c r="NE33" s="1"/>
      <c r="NF33" s="1"/>
      <c r="NH33" s="1"/>
      <c r="NI33" s="85"/>
      <c r="NJ33" s="85"/>
      <c r="NK33" s="85"/>
      <c r="NL33" s="68"/>
      <c r="NM33" s="1"/>
      <c r="NN33" s="16"/>
      <c r="NO33" s="16"/>
      <c r="NP33" s="44"/>
      <c r="NQ33" s="16"/>
      <c r="NR33" s="16"/>
      <c r="NS33" s="42"/>
      <c r="NT33" s="42"/>
      <c r="NU33" s="42"/>
      <c r="NV33" s="42"/>
      <c r="NW33" s="42"/>
      <c r="NX33" s="42"/>
      <c r="NY33" s="42"/>
      <c r="NZ33" s="42"/>
      <c r="OA33" s="42"/>
      <c r="OB33" s="16"/>
      <c r="OC33" s="27"/>
      <c r="OD33" s="27"/>
      <c r="OE33" s="27"/>
      <c r="OF33" s="27"/>
      <c r="OG33" s="27"/>
      <c r="OH33" s="17"/>
      <c r="OI33" s="17"/>
      <c r="OJ33" s="17"/>
      <c r="OK33" s="17"/>
      <c r="OL33" s="17"/>
      <c r="OM33" s="17"/>
      <c r="ON33" s="17"/>
      <c r="OO33" s="17"/>
      <c r="OP33" s="17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</row>
    <row r="34" spans="2:421">
      <c r="B34" s="126" t="s">
        <v>53</v>
      </c>
      <c r="C34" s="129">
        <v>2.16</v>
      </c>
      <c r="D34" s="129">
        <v>1.7280000000000002</v>
      </c>
      <c r="E34" s="129">
        <v>2.3037696000000003</v>
      </c>
      <c r="F34" s="129">
        <v>2.2809600000000003</v>
      </c>
      <c r="G34" s="129">
        <v>2.5090560000000002</v>
      </c>
      <c r="LM34" s="1"/>
      <c r="LN34" s="73"/>
      <c r="LO34" s="1"/>
      <c r="LP34" s="110"/>
      <c r="LQ34" s="110"/>
      <c r="LR34" s="110"/>
      <c r="LS34" s="110"/>
      <c r="LT34" s="110"/>
      <c r="LU34" s="110"/>
      <c r="LV34" s="110"/>
      <c r="LW34" s="110"/>
      <c r="LX34" s="110"/>
      <c r="LY34" s="1"/>
      <c r="LZ34" s="1"/>
      <c r="MA34" s="1"/>
      <c r="MB34" s="1"/>
      <c r="MC34" s="1"/>
      <c r="MD34" s="1"/>
      <c r="ME34" s="1"/>
      <c r="MF34" s="1"/>
      <c r="MG34" s="1"/>
      <c r="MK34" s="137"/>
      <c r="ML34" s="1"/>
      <c r="MM34" s="73"/>
      <c r="MN34" s="1"/>
      <c r="MO34" s="110"/>
      <c r="MP34" s="110"/>
      <c r="MQ34" s="110"/>
      <c r="MR34" s="110"/>
      <c r="MS34" s="110"/>
      <c r="MT34" s="110"/>
      <c r="MU34" s="110"/>
      <c r="MV34" s="110"/>
      <c r="MW34" s="110"/>
      <c r="MX34" s="1"/>
      <c r="MY34" s="1"/>
      <c r="MZ34" s="1"/>
      <c r="NA34" s="1"/>
      <c r="NB34" s="1"/>
      <c r="NC34" s="1"/>
      <c r="ND34" s="1"/>
      <c r="NE34" s="1"/>
      <c r="NF34" s="1"/>
      <c r="NH34" s="1"/>
      <c r="NI34" s="85"/>
      <c r="NJ34" s="85"/>
      <c r="NK34" s="85"/>
      <c r="NL34" s="68"/>
      <c r="NM34" s="1"/>
      <c r="NN34" s="16"/>
      <c r="NO34" s="16"/>
      <c r="NP34" s="44"/>
      <c r="NQ34" s="16"/>
      <c r="NR34" s="16"/>
      <c r="NS34" s="42"/>
      <c r="NT34" s="42"/>
      <c r="NU34" s="42"/>
      <c r="NV34" s="42"/>
      <c r="NW34" s="42"/>
      <c r="NX34" s="42"/>
      <c r="NY34" s="42"/>
      <c r="NZ34" s="42"/>
      <c r="OA34" s="42"/>
      <c r="OB34" s="16"/>
      <c r="OC34" s="27"/>
      <c r="OD34" s="27"/>
      <c r="OE34" s="27"/>
      <c r="OF34" s="27"/>
      <c r="OG34" s="27"/>
      <c r="OH34" s="17"/>
      <c r="OI34" s="17"/>
      <c r="OJ34" s="17"/>
      <c r="OK34" s="17"/>
      <c r="OL34" s="17"/>
      <c r="OM34" s="17"/>
      <c r="ON34" s="17"/>
      <c r="OO34" s="17"/>
      <c r="OP34" s="17"/>
      <c r="OQ34" s="16"/>
      <c r="OR34" s="16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/>
      <c r="PD34" s="16"/>
      <c r="PE34" s="16"/>
    </row>
    <row r="35" spans="2:421">
      <c r="B35" s="127" t="s">
        <v>178</v>
      </c>
      <c r="C35" s="128">
        <v>2.41</v>
      </c>
      <c r="D35" s="128">
        <v>1.9280000000000002</v>
      </c>
      <c r="E35" s="128">
        <v>1.7136064000000002</v>
      </c>
      <c r="F35" s="128">
        <v>1.3881600000000003</v>
      </c>
      <c r="G35" s="128">
        <v>1.1105280000000002</v>
      </c>
      <c r="LM35" s="1"/>
      <c r="LN35" s="73"/>
      <c r="LO35" s="1"/>
      <c r="LP35" s="110"/>
      <c r="LQ35" s="110"/>
      <c r="LR35" s="110"/>
      <c r="LS35" s="110"/>
      <c r="LT35" s="110"/>
      <c r="LU35" s="110"/>
      <c r="LV35" s="110"/>
      <c r="LW35" s="110"/>
      <c r="LX35" s="110"/>
      <c r="LY35" s="1"/>
      <c r="LZ35" s="1"/>
      <c r="MA35" s="1"/>
      <c r="MB35" s="1"/>
      <c r="MC35" s="1"/>
      <c r="MD35" s="1"/>
      <c r="ME35" s="1"/>
      <c r="MF35" s="1"/>
      <c r="MG35" s="1"/>
      <c r="MK35" s="137"/>
      <c r="ML35" s="1"/>
      <c r="MM35" s="73"/>
      <c r="MN35" s="1"/>
      <c r="MO35" s="110"/>
      <c r="MP35" s="110"/>
      <c r="MQ35" s="110"/>
      <c r="MR35" s="110"/>
      <c r="MS35" s="110"/>
      <c r="MT35" s="110"/>
      <c r="MU35" s="110"/>
      <c r="MV35" s="110"/>
      <c r="MW35" s="110"/>
      <c r="MX35" s="1"/>
      <c r="MY35" s="1"/>
      <c r="MZ35" s="1"/>
      <c r="NA35" s="1"/>
      <c r="NB35" s="1"/>
      <c r="NC35" s="1"/>
      <c r="ND35" s="1"/>
      <c r="NE35" s="1"/>
      <c r="NF35" s="1"/>
      <c r="NH35" s="1"/>
      <c r="NI35" s="85"/>
      <c r="NJ35" s="85"/>
      <c r="NK35" s="85"/>
      <c r="NL35" s="68"/>
      <c r="NM35" s="1"/>
      <c r="NN35" s="16"/>
      <c r="NO35" s="16"/>
      <c r="NP35" s="44"/>
      <c r="NQ35" s="16"/>
      <c r="NR35" s="16"/>
      <c r="NS35" s="42"/>
      <c r="NT35" s="42"/>
      <c r="NU35" s="42"/>
      <c r="NV35" s="42"/>
      <c r="NW35" s="42"/>
      <c r="NX35" s="42"/>
      <c r="NY35" s="42"/>
      <c r="NZ35" s="42"/>
      <c r="OA35" s="42"/>
      <c r="OB35" s="16"/>
      <c r="OC35" s="27"/>
      <c r="OD35" s="27"/>
      <c r="OE35" s="27"/>
      <c r="OF35" s="27"/>
      <c r="OG35" s="27"/>
      <c r="OH35" s="17"/>
      <c r="OI35" s="17"/>
      <c r="OJ35" s="17"/>
      <c r="OK35" s="17"/>
      <c r="OL35" s="17"/>
      <c r="OM35" s="17"/>
      <c r="ON35" s="17"/>
      <c r="OO35" s="17"/>
      <c r="OP35" s="17"/>
      <c r="OQ35" s="16"/>
      <c r="OR35" s="16"/>
      <c r="OS35" s="16"/>
      <c r="OT35" s="16"/>
      <c r="OU35" s="16"/>
      <c r="OV35" s="16"/>
      <c r="OW35" s="16"/>
      <c r="OX35" s="16"/>
      <c r="OY35" s="16"/>
      <c r="OZ35" s="16"/>
      <c r="PA35" s="16"/>
      <c r="PB35" s="16"/>
      <c r="PC35" s="16"/>
      <c r="PD35" s="16"/>
      <c r="PE35" s="16"/>
    </row>
    <row r="36" spans="2:421">
      <c r="B36" s="127" t="s">
        <v>134</v>
      </c>
      <c r="C36" s="128">
        <v>1.72</v>
      </c>
      <c r="D36" s="128">
        <v>1.72</v>
      </c>
      <c r="E36" s="128">
        <v>2.293104</v>
      </c>
      <c r="F36" s="128">
        <v>2.2704</v>
      </c>
      <c r="G36" s="128">
        <v>2.7244799999999998</v>
      </c>
      <c r="LM36" s="1"/>
      <c r="LN36" s="73"/>
      <c r="LO36" s="1"/>
      <c r="LP36" s="110"/>
      <c r="LQ36" s="110"/>
      <c r="LR36" s="110"/>
      <c r="LS36" s="110"/>
      <c r="LT36" s="110"/>
      <c r="LU36" s="110"/>
      <c r="LV36" s="110"/>
      <c r="LW36" s="110"/>
      <c r="LX36" s="110"/>
      <c r="LY36" s="1"/>
      <c r="LZ36" s="1"/>
      <c r="MA36" s="1"/>
      <c r="MB36" s="1"/>
      <c r="MC36" s="1"/>
      <c r="MD36" s="1"/>
      <c r="ME36" s="1"/>
      <c r="MF36" s="1"/>
      <c r="MG36" s="1"/>
      <c r="MK36" s="137"/>
      <c r="ML36" s="1"/>
      <c r="MM36" s="73"/>
      <c r="MN36" s="1"/>
      <c r="MO36" s="110"/>
      <c r="MP36" s="110"/>
      <c r="MQ36" s="110"/>
      <c r="MR36" s="110"/>
      <c r="MS36" s="110"/>
      <c r="MT36" s="110"/>
      <c r="MU36" s="110"/>
      <c r="MV36" s="110"/>
      <c r="MW36" s="110"/>
      <c r="MX36" s="1"/>
      <c r="MY36" s="1"/>
      <c r="MZ36" s="1"/>
      <c r="NA36" s="1"/>
      <c r="NB36" s="1"/>
      <c r="NC36" s="1"/>
      <c r="ND36" s="1"/>
      <c r="NE36" s="1"/>
      <c r="NF36" s="1"/>
      <c r="NH36" s="1"/>
      <c r="NI36" s="85"/>
      <c r="NJ36" s="85"/>
      <c r="NK36" s="85"/>
      <c r="NL36" s="68"/>
      <c r="NM36" s="1"/>
      <c r="NN36" s="16"/>
      <c r="NO36" s="16"/>
      <c r="NP36" s="44"/>
      <c r="NQ36" s="16"/>
      <c r="NR36" s="16"/>
      <c r="NS36" s="42"/>
      <c r="NT36" s="42"/>
      <c r="NU36" s="42"/>
      <c r="NV36" s="42"/>
      <c r="NW36" s="42"/>
      <c r="NX36" s="42"/>
      <c r="NY36" s="42"/>
      <c r="NZ36" s="42"/>
      <c r="OA36" s="42"/>
      <c r="OB36" s="16"/>
      <c r="OC36" s="27"/>
      <c r="OD36" s="27"/>
      <c r="OE36" s="27"/>
      <c r="OF36" s="27"/>
      <c r="OG36" s="27"/>
      <c r="OH36" s="17"/>
      <c r="OI36" s="17"/>
      <c r="OJ36" s="17"/>
      <c r="OK36" s="17"/>
      <c r="OL36" s="17"/>
      <c r="OM36" s="17"/>
      <c r="ON36" s="17"/>
      <c r="OO36" s="17"/>
      <c r="OP36" s="17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</row>
    <row r="37" spans="2:421">
      <c r="B37" s="127" t="s">
        <v>100</v>
      </c>
      <c r="C37" s="128">
        <v>2.41</v>
      </c>
      <c r="D37" s="128">
        <v>1.9280000000000002</v>
      </c>
      <c r="E37" s="128">
        <v>1.9278072000000002</v>
      </c>
      <c r="F37" s="128">
        <v>1.3881600000000001</v>
      </c>
      <c r="G37" s="128">
        <v>1.3881600000000001</v>
      </c>
      <c r="LM37" s="1"/>
      <c r="LN37" s="73"/>
      <c r="LO37" s="1"/>
      <c r="LP37" s="110"/>
      <c r="LQ37" s="110"/>
      <c r="LR37" s="110"/>
      <c r="LS37" s="110"/>
      <c r="LT37" s="110"/>
      <c r="LU37" s="110"/>
      <c r="LV37" s="110"/>
      <c r="LW37" s="110"/>
      <c r="LX37" s="110"/>
      <c r="LY37" s="1"/>
      <c r="LZ37" s="1"/>
      <c r="MA37" s="1"/>
      <c r="MB37" s="1"/>
      <c r="MC37" s="1"/>
      <c r="MD37" s="1"/>
      <c r="ME37" s="1"/>
      <c r="MF37" s="1"/>
      <c r="MG37" s="1"/>
      <c r="MK37" s="137"/>
      <c r="ML37" s="1"/>
      <c r="MM37" s="73"/>
      <c r="MN37" s="1"/>
      <c r="MO37" s="110"/>
      <c r="MP37" s="110"/>
      <c r="MQ37" s="110"/>
      <c r="MR37" s="110"/>
      <c r="MS37" s="110"/>
      <c r="MT37" s="110"/>
      <c r="MU37" s="110"/>
      <c r="MV37" s="110"/>
      <c r="MW37" s="110"/>
      <c r="MX37" s="1"/>
      <c r="MY37" s="1"/>
      <c r="MZ37" s="1"/>
      <c r="NA37" s="1"/>
      <c r="NB37" s="1"/>
      <c r="NC37" s="1"/>
      <c r="ND37" s="1"/>
      <c r="NE37" s="1"/>
      <c r="NF37" s="1"/>
      <c r="NH37" s="1"/>
      <c r="NI37" s="85"/>
      <c r="NJ37" s="85"/>
      <c r="NK37" s="85"/>
      <c r="NL37" s="68"/>
      <c r="NM37" s="1"/>
      <c r="NN37" s="16"/>
      <c r="NO37" s="16"/>
      <c r="NP37" s="44"/>
      <c r="NQ37" s="16"/>
      <c r="NR37" s="16"/>
      <c r="NS37" s="42"/>
      <c r="NT37" s="42"/>
      <c r="NU37" s="42"/>
      <c r="NV37" s="42"/>
      <c r="NW37" s="42"/>
      <c r="NX37" s="42"/>
      <c r="NY37" s="42"/>
      <c r="NZ37" s="42"/>
      <c r="OA37" s="42"/>
      <c r="OB37" s="16"/>
      <c r="OC37" s="27"/>
      <c r="OD37" s="27"/>
      <c r="OE37" s="27"/>
      <c r="OF37" s="27"/>
      <c r="OG37" s="27"/>
      <c r="OH37" s="17"/>
      <c r="OI37" s="17"/>
      <c r="OJ37" s="17"/>
      <c r="OK37" s="17"/>
      <c r="OL37" s="17"/>
      <c r="OM37" s="17"/>
      <c r="ON37" s="17"/>
      <c r="OO37" s="17"/>
      <c r="OP37" s="17"/>
      <c r="OQ37" s="16"/>
      <c r="OR37" s="16"/>
      <c r="OS37" s="16"/>
      <c r="OT37" s="16"/>
      <c r="OU37" s="16"/>
      <c r="OV37" s="16"/>
      <c r="OW37" s="16"/>
      <c r="OX37" s="16"/>
      <c r="OY37" s="16"/>
      <c r="OZ37" s="16"/>
      <c r="PA37" s="16"/>
      <c r="PB37" s="16"/>
      <c r="PC37" s="16"/>
      <c r="PD37" s="16"/>
      <c r="PE37" s="16"/>
    </row>
    <row r="38" spans="2:421">
      <c r="B38" s="126" t="s">
        <v>89</v>
      </c>
      <c r="C38" s="129">
        <v>1.51</v>
      </c>
      <c r="D38" s="129">
        <v>1.661</v>
      </c>
      <c r="E38" s="129">
        <v>1.4762967999999999</v>
      </c>
      <c r="F38" s="129">
        <v>1.59456</v>
      </c>
      <c r="G38" s="129">
        <v>1.9134720000000001</v>
      </c>
      <c r="LM38" s="1"/>
      <c r="LN38" s="102"/>
      <c r="LO38" s="98"/>
      <c r="LP38" s="105"/>
      <c r="LQ38" s="105"/>
      <c r="LR38" s="105"/>
      <c r="LS38" s="105"/>
      <c r="LT38" s="105"/>
      <c r="LU38" s="105"/>
      <c r="LV38" s="105"/>
      <c r="LW38" s="105"/>
      <c r="LX38" s="105"/>
      <c r="LY38" s="1"/>
      <c r="LZ38" s="1"/>
      <c r="MA38" s="1"/>
      <c r="MB38" s="1"/>
      <c r="MC38" s="1"/>
      <c r="MD38" s="1"/>
      <c r="ME38" s="1"/>
      <c r="MF38" s="1"/>
      <c r="MG38" s="1"/>
      <c r="MK38" s="137"/>
      <c r="ML38" s="1"/>
      <c r="MM38" s="73"/>
      <c r="MN38" s="1"/>
      <c r="MO38" s="110"/>
      <c r="MP38" s="110"/>
      <c r="MQ38" s="110"/>
      <c r="MR38" s="110"/>
      <c r="MS38" s="110"/>
      <c r="MT38" s="110"/>
      <c r="MU38" s="110"/>
      <c r="MV38" s="110"/>
      <c r="MW38" s="110"/>
      <c r="MX38" s="1"/>
      <c r="MY38" s="1"/>
      <c r="MZ38" s="1"/>
      <c r="NA38" s="1"/>
      <c r="NB38" s="1"/>
      <c r="NC38" s="1"/>
      <c r="ND38" s="1"/>
      <c r="NE38" s="1"/>
      <c r="NF38" s="1"/>
      <c r="NH38" s="1"/>
      <c r="NI38" s="85"/>
      <c r="NJ38" s="85"/>
      <c r="NK38" s="85"/>
      <c r="NL38" s="68"/>
      <c r="NM38" s="1"/>
      <c r="NN38" s="16"/>
      <c r="NO38" s="16"/>
      <c r="NP38" s="44"/>
      <c r="NQ38" s="16"/>
      <c r="NR38" s="16"/>
      <c r="NS38" s="42"/>
      <c r="NT38" s="42"/>
      <c r="NU38" s="42"/>
      <c r="NV38" s="42"/>
      <c r="NW38" s="42"/>
      <c r="NX38" s="42"/>
      <c r="NY38" s="42"/>
      <c r="NZ38" s="42"/>
      <c r="OA38" s="42"/>
      <c r="OB38" s="16"/>
      <c r="OC38" s="27"/>
      <c r="OD38" s="27"/>
      <c r="OE38" s="27"/>
      <c r="OF38" s="27"/>
      <c r="OG38" s="27"/>
      <c r="OH38" s="17"/>
      <c r="OI38" s="17"/>
      <c r="OJ38" s="17"/>
      <c r="OK38" s="17"/>
      <c r="OL38" s="17"/>
      <c r="OM38" s="17"/>
      <c r="ON38" s="17"/>
      <c r="OO38" s="17"/>
      <c r="OP38" s="17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16"/>
    </row>
    <row r="39" spans="2:421">
      <c r="B39" s="127" t="s">
        <v>6</v>
      </c>
      <c r="C39" s="128">
        <v>2.2599999999999998</v>
      </c>
      <c r="D39" s="128">
        <v>2.4859999999999998</v>
      </c>
      <c r="E39" s="128">
        <v>2.7619459999999996</v>
      </c>
      <c r="F39" s="128">
        <v>2.9831999999999996</v>
      </c>
      <c r="G39" s="128">
        <v>3.2815199999999995</v>
      </c>
      <c r="LM39" s="1"/>
      <c r="LN39" s="95"/>
      <c r="LO39" s="85"/>
      <c r="LP39" s="105"/>
      <c r="LQ39" s="105"/>
      <c r="LR39" s="105"/>
      <c r="LS39" s="105"/>
      <c r="LT39" s="105"/>
      <c r="LU39" s="105"/>
      <c r="LV39" s="105"/>
      <c r="LW39" s="105"/>
      <c r="LX39" s="105"/>
      <c r="LY39" s="1"/>
      <c r="LZ39" s="1"/>
      <c r="MA39" s="1"/>
      <c r="MB39" s="1"/>
      <c r="MC39" s="1"/>
      <c r="MD39" s="1"/>
      <c r="ME39" s="1"/>
      <c r="MF39" s="1"/>
      <c r="MG39" s="1"/>
      <c r="MK39" s="137"/>
      <c r="ML39" s="1"/>
      <c r="MM39" s="73"/>
      <c r="MN39" s="1"/>
      <c r="MO39" s="110"/>
      <c r="MP39" s="110"/>
      <c r="MQ39" s="110"/>
      <c r="MR39" s="110"/>
      <c r="MS39" s="110"/>
      <c r="MT39" s="110"/>
      <c r="MU39" s="110"/>
      <c r="MV39" s="110"/>
      <c r="MW39" s="110"/>
      <c r="MX39" s="1"/>
      <c r="MY39" s="1"/>
      <c r="MZ39" s="1"/>
      <c r="NA39" s="1"/>
      <c r="NB39" s="1"/>
      <c r="NC39" s="1"/>
      <c r="ND39" s="1"/>
      <c r="NE39" s="1"/>
      <c r="NF39" s="1"/>
      <c r="NH39" s="1"/>
      <c r="NI39" s="85"/>
      <c r="NJ39" s="3"/>
      <c r="NK39" s="85"/>
      <c r="NL39" s="68"/>
      <c r="NM39" s="1"/>
      <c r="NN39" s="16"/>
      <c r="NO39" s="16"/>
      <c r="NP39" s="44"/>
      <c r="NQ39" s="16"/>
      <c r="NR39" s="16"/>
      <c r="NS39" s="42"/>
      <c r="NT39" s="42"/>
      <c r="NU39" s="42"/>
      <c r="NV39" s="42"/>
      <c r="NW39" s="42"/>
      <c r="NX39" s="42"/>
      <c r="NY39" s="42"/>
      <c r="NZ39" s="42"/>
      <c r="OA39" s="42"/>
      <c r="OB39" s="16"/>
      <c r="OC39" s="27"/>
      <c r="OD39" s="27"/>
      <c r="OE39" s="27"/>
      <c r="OF39" s="27"/>
      <c r="OG39" s="27"/>
      <c r="OH39" s="17"/>
      <c r="OI39" s="17"/>
      <c r="OJ39" s="17"/>
      <c r="OK39" s="17"/>
      <c r="OL39" s="17"/>
      <c r="OM39" s="17"/>
      <c r="ON39" s="17"/>
      <c r="OO39" s="17"/>
      <c r="OP39" s="17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</row>
    <row r="40" spans="2:421" ht="23.25">
      <c r="B40" s="126" t="s">
        <v>119</v>
      </c>
      <c r="C40" s="142">
        <v>1.24</v>
      </c>
      <c r="D40" s="142">
        <v>1.488</v>
      </c>
      <c r="E40" s="142">
        <v>1.653168</v>
      </c>
      <c r="F40" s="142">
        <v>1.6367999999999998</v>
      </c>
      <c r="G40" s="142">
        <v>1.3094399999999999</v>
      </c>
      <c r="LM40" s="1"/>
      <c r="LN40" s="95"/>
      <c r="LO40" s="85"/>
      <c r="LP40" s="84"/>
      <c r="LQ40" s="84"/>
      <c r="LR40" s="84"/>
      <c r="LS40" s="84"/>
      <c r="LT40" s="84"/>
      <c r="LU40" s="84"/>
      <c r="LV40" s="84"/>
      <c r="LW40" s="84"/>
      <c r="LX40" s="84"/>
      <c r="LY40" s="1"/>
      <c r="LZ40" s="84"/>
      <c r="MA40" s="84"/>
      <c r="MB40" s="2"/>
      <c r="MC40" s="2"/>
      <c r="MD40" s="2"/>
      <c r="ME40" s="2"/>
      <c r="MF40" s="2"/>
      <c r="MG40" s="2"/>
      <c r="MK40" s="137"/>
      <c r="ML40" s="1"/>
      <c r="MM40" s="102"/>
      <c r="MN40" s="98"/>
      <c r="MO40" s="105"/>
      <c r="MP40" s="105"/>
      <c r="MQ40" s="105"/>
      <c r="MR40" s="105"/>
      <c r="MS40" s="105"/>
      <c r="MT40" s="105"/>
      <c r="MU40" s="105"/>
      <c r="MV40" s="105"/>
      <c r="MW40" s="105"/>
      <c r="MX40" s="1"/>
      <c r="MY40" s="1"/>
      <c r="MZ40" s="1"/>
      <c r="NA40" s="1"/>
      <c r="NB40" s="1"/>
      <c r="NC40" s="1"/>
      <c r="ND40" s="1"/>
      <c r="NE40" s="1"/>
      <c r="NF40" s="1"/>
      <c r="NH40" s="1"/>
      <c r="NI40" s="85"/>
      <c r="NJ40" s="85"/>
      <c r="NK40" s="85"/>
      <c r="NL40" s="68"/>
      <c r="NM40" s="1"/>
      <c r="NN40" s="16"/>
      <c r="NO40" s="16"/>
      <c r="NP40" s="44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27"/>
      <c r="OD40" s="27"/>
      <c r="OE40" s="2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</row>
    <row r="41" spans="2:421">
      <c r="B41" s="127" t="s">
        <v>28</v>
      </c>
      <c r="C41" s="128">
        <v>2.12</v>
      </c>
      <c r="D41" s="128">
        <v>2.3319999999999999</v>
      </c>
      <c r="E41" s="128">
        <v>2.8499371999999998</v>
      </c>
      <c r="F41" s="128">
        <v>2.0521599999999998</v>
      </c>
      <c r="G41" s="128">
        <v>2.0521599999999998</v>
      </c>
      <c r="LM41" s="1"/>
      <c r="LN41" s="95"/>
      <c r="LO41" s="85"/>
      <c r="LP41" s="105"/>
      <c r="LQ41" s="105"/>
      <c r="LR41" s="105"/>
      <c r="LS41" s="105"/>
      <c r="LT41" s="105"/>
      <c r="LU41" s="105"/>
      <c r="LV41" s="105"/>
      <c r="LW41" s="105"/>
      <c r="LX41" s="105"/>
      <c r="LY41" s="1"/>
      <c r="LZ41" s="1"/>
      <c r="MA41" s="1"/>
      <c r="MB41" s="1"/>
      <c r="MC41" s="1"/>
      <c r="MD41" s="1"/>
      <c r="ME41" s="1"/>
      <c r="MF41" s="1"/>
      <c r="MG41" s="1"/>
      <c r="MK41" s="137"/>
      <c r="ML41" s="1"/>
      <c r="MM41" s="95"/>
      <c r="MN41" s="85"/>
      <c r="MO41" s="105"/>
      <c r="MP41" s="105"/>
      <c r="MQ41" s="105"/>
      <c r="MR41" s="105"/>
      <c r="MS41" s="105"/>
      <c r="MT41" s="105"/>
      <c r="MU41" s="105"/>
      <c r="MV41" s="105"/>
      <c r="MW41" s="105"/>
      <c r="MX41" s="1"/>
      <c r="MY41" s="1"/>
      <c r="MZ41" s="1"/>
      <c r="NA41" s="1"/>
      <c r="NB41" s="1"/>
      <c r="NC41" s="1"/>
      <c r="ND41" s="1"/>
      <c r="NE41" s="1"/>
      <c r="NF41" s="1"/>
      <c r="NH41" s="1"/>
      <c r="NI41" s="85"/>
      <c r="NJ41" s="85"/>
      <c r="NK41" s="85"/>
      <c r="NL41" s="68"/>
      <c r="NM41" s="1"/>
      <c r="NN41" s="16"/>
      <c r="NO41" s="16"/>
      <c r="NP41" s="44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27"/>
      <c r="OD41" s="27"/>
      <c r="OE41" s="2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/>
      <c r="PD41" s="16"/>
      <c r="PE41" s="16"/>
    </row>
    <row r="42" spans="2:421">
      <c r="B42" s="127" t="s">
        <v>72</v>
      </c>
      <c r="C42" s="139">
        <v>1.78</v>
      </c>
      <c r="D42" s="139">
        <v>2.1360000000000001</v>
      </c>
      <c r="E42" s="139">
        <v>2.3730960000000003</v>
      </c>
      <c r="F42" s="139">
        <v>1.9224000000000001</v>
      </c>
      <c r="G42" s="139">
        <v>1.9224000000000001</v>
      </c>
      <c r="LM42" s="1"/>
      <c r="LN42" s="95"/>
      <c r="LO42" s="85"/>
      <c r="LP42" s="84"/>
      <c r="LQ42" s="84"/>
      <c r="LR42" s="84"/>
      <c r="LS42" s="84"/>
      <c r="LT42" s="84"/>
      <c r="LU42" s="84"/>
      <c r="LV42" s="84"/>
      <c r="LW42" s="84"/>
      <c r="LX42" s="84"/>
      <c r="LY42" s="1"/>
      <c r="LZ42" s="1"/>
      <c r="MA42" s="1"/>
      <c r="MB42" s="1"/>
      <c r="MC42" s="1"/>
      <c r="MD42" s="1"/>
      <c r="ME42" s="1"/>
      <c r="MF42" s="1"/>
      <c r="MG42" s="1"/>
      <c r="MK42" s="137"/>
      <c r="ML42" s="1"/>
      <c r="MM42" s="95"/>
      <c r="MN42" s="85"/>
      <c r="MO42" s="84"/>
      <c r="MP42" s="84"/>
      <c r="MQ42" s="84"/>
      <c r="MR42" s="84"/>
      <c r="MS42" s="84"/>
      <c r="MT42" s="84"/>
      <c r="MU42" s="84"/>
      <c r="MV42" s="84"/>
      <c r="MW42" s="84"/>
      <c r="MX42" s="1"/>
      <c r="MY42" s="84"/>
      <c r="MZ42" s="84"/>
      <c r="NA42" s="2"/>
      <c r="NB42" s="2"/>
      <c r="NC42" s="2"/>
      <c r="ND42" s="2"/>
      <c r="NE42" s="2"/>
      <c r="NF42" s="2"/>
      <c r="NH42" s="1"/>
      <c r="NI42" s="79"/>
      <c r="NJ42" s="79"/>
      <c r="NK42" s="79"/>
      <c r="NL42" s="67"/>
      <c r="NM42" s="1"/>
      <c r="NN42" s="25"/>
      <c r="NO42" s="25"/>
      <c r="NP42" s="26"/>
      <c r="NQ42" s="25"/>
      <c r="NR42" s="25"/>
      <c r="NS42" s="25"/>
      <c r="NT42" s="25"/>
      <c r="NU42" s="25"/>
      <c r="NV42" s="25"/>
      <c r="NW42" s="25"/>
      <c r="NX42" s="25"/>
      <c r="NY42" s="25"/>
      <c r="NZ42" s="25"/>
      <c r="OA42" s="25"/>
      <c r="OB42" s="20"/>
      <c r="OC42" s="26"/>
      <c r="OD42" s="26"/>
      <c r="OE42" s="26"/>
      <c r="OF42" s="26"/>
      <c r="OG42" s="26"/>
      <c r="OH42" s="25"/>
      <c r="OI42" s="25"/>
      <c r="OJ42" s="25"/>
      <c r="OK42" s="25"/>
      <c r="OL42" s="25"/>
      <c r="OM42" s="25"/>
      <c r="ON42" s="25"/>
      <c r="OO42" s="25"/>
      <c r="OP42" s="25"/>
      <c r="OQ42" s="16"/>
      <c r="OR42" s="25"/>
      <c r="OS42" s="25"/>
      <c r="OT42" s="25"/>
      <c r="OU42" s="25"/>
      <c r="OV42" s="25"/>
      <c r="OW42" s="25"/>
      <c r="OX42" s="25"/>
      <c r="OY42" s="25"/>
      <c r="OZ42" s="25"/>
      <c r="PA42" s="25"/>
      <c r="PB42" s="25"/>
      <c r="PC42" s="25"/>
      <c r="PD42" s="25"/>
      <c r="PE42" s="25"/>
    </row>
    <row r="43" spans="2:421">
      <c r="B43" s="127" t="s">
        <v>90</v>
      </c>
      <c r="C43" s="128">
        <v>1.98</v>
      </c>
      <c r="D43" s="128">
        <v>2.1779999999999999</v>
      </c>
      <c r="E43" s="128">
        <v>2.4197579999999999</v>
      </c>
      <c r="F43" s="128">
        <v>2.1779999999999999</v>
      </c>
      <c r="G43" s="128">
        <v>1.7423999999999999</v>
      </c>
      <c r="LM43" s="10"/>
      <c r="LN43" s="112"/>
      <c r="LO43" s="92"/>
      <c r="LP43" s="91"/>
      <c r="LQ43" s="91"/>
      <c r="LR43" s="91"/>
      <c r="LS43" s="91"/>
      <c r="LT43" s="91"/>
      <c r="LU43" s="91"/>
      <c r="LV43" s="91"/>
      <c r="LW43" s="91"/>
      <c r="LX43" s="91"/>
      <c r="LY43" s="10"/>
      <c r="LZ43" s="10"/>
      <c r="MA43" s="10"/>
      <c r="MB43" s="10"/>
      <c r="MC43" s="10"/>
      <c r="MD43" s="10"/>
      <c r="ME43" s="10"/>
      <c r="MF43" s="10"/>
      <c r="MG43" s="10"/>
      <c r="MK43" s="137"/>
      <c r="ML43" s="1"/>
      <c r="MM43" s="95"/>
      <c r="MN43" s="85"/>
      <c r="MO43" s="105"/>
      <c r="MP43" s="105"/>
      <c r="MQ43" s="105"/>
      <c r="MR43" s="105"/>
      <c r="MS43" s="105"/>
      <c r="MT43" s="105"/>
      <c r="MU43" s="105"/>
      <c r="MV43" s="105"/>
      <c r="MW43" s="105"/>
      <c r="MX43" s="1"/>
      <c r="MY43" s="1"/>
      <c r="MZ43" s="1"/>
      <c r="NA43" s="1"/>
      <c r="NB43" s="1"/>
      <c r="NC43" s="1"/>
      <c r="ND43" s="1"/>
      <c r="NE43" s="1"/>
      <c r="NF43" s="1"/>
      <c r="NH43" s="1"/>
      <c r="NI43" s="16"/>
      <c r="NJ43" s="85"/>
      <c r="NK43" s="85"/>
      <c r="NL43" s="68"/>
      <c r="NM43" s="1"/>
      <c r="NN43" s="17"/>
      <c r="NO43" s="17"/>
      <c r="NP43" s="27"/>
      <c r="NQ43" s="17"/>
      <c r="NR43" s="17"/>
      <c r="NS43" s="42"/>
      <c r="NT43" s="42"/>
      <c r="NU43" s="42"/>
      <c r="NV43" s="42"/>
      <c r="NW43" s="42"/>
      <c r="NX43" s="42"/>
      <c r="NY43" s="42"/>
      <c r="NZ43" s="42"/>
      <c r="OA43" s="42"/>
      <c r="OB43" s="20"/>
      <c r="OC43" s="27"/>
      <c r="OD43" s="27"/>
      <c r="OE43" s="27"/>
      <c r="OF43" s="27"/>
      <c r="OG43" s="27"/>
      <c r="OH43" s="17"/>
      <c r="OI43" s="17"/>
      <c r="OJ43" s="17"/>
      <c r="OK43" s="17"/>
      <c r="OL43" s="17"/>
      <c r="OM43" s="17"/>
      <c r="ON43" s="17"/>
      <c r="OO43" s="17"/>
      <c r="OP43" s="17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/>
      <c r="PD43" s="16"/>
      <c r="PE43" s="16"/>
    </row>
    <row r="44" spans="2:421" ht="45.75">
      <c r="B44" s="126" t="s">
        <v>149</v>
      </c>
      <c r="C44" s="129">
        <v>1.35</v>
      </c>
      <c r="D44" s="129">
        <v>1.6200000000000003</v>
      </c>
      <c r="E44" s="129">
        <v>2.1597840000000006</v>
      </c>
      <c r="F44" s="129">
        <v>2.1384000000000003</v>
      </c>
      <c r="G44" s="129">
        <v>2.3522400000000006</v>
      </c>
      <c r="LM44" s="1"/>
      <c r="LN44" s="95"/>
      <c r="LO44" s="85"/>
      <c r="LP44" s="84"/>
      <c r="LQ44" s="84"/>
      <c r="LR44" s="84"/>
      <c r="LS44" s="84"/>
      <c r="LT44" s="84"/>
      <c r="LU44" s="84"/>
      <c r="LV44" s="84"/>
      <c r="LW44" s="84"/>
      <c r="LX44" s="84"/>
      <c r="LY44" s="1"/>
      <c r="LZ44" s="84"/>
      <c r="MA44" s="84"/>
      <c r="MB44" s="84"/>
      <c r="MC44" s="84"/>
      <c r="MD44" s="84"/>
      <c r="ME44" s="84"/>
      <c r="MF44" s="84"/>
      <c r="MG44" s="84"/>
      <c r="MK44" s="137"/>
      <c r="ML44" s="1"/>
      <c r="MM44" s="95"/>
      <c r="MN44" s="85"/>
      <c r="MO44" s="84"/>
      <c r="MP44" s="84"/>
      <c r="MQ44" s="84"/>
      <c r="MR44" s="84"/>
      <c r="MS44" s="84"/>
      <c r="MT44" s="84"/>
      <c r="MU44" s="84"/>
      <c r="MV44" s="84"/>
      <c r="MW44" s="84"/>
      <c r="MX44" s="1"/>
      <c r="MY44" s="1"/>
      <c r="MZ44" s="1"/>
      <c r="NA44" s="1"/>
      <c r="NB44" s="1"/>
      <c r="NC44" s="1"/>
      <c r="ND44" s="1"/>
      <c r="NE44" s="1"/>
      <c r="NF44" s="1"/>
      <c r="NH44" s="1"/>
      <c r="NI44" s="16"/>
      <c r="NJ44" s="85"/>
      <c r="NK44" s="85"/>
      <c r="NL44" s="68"/>
      <c r="NM44" s="1"/>
      <c r="NN44" s="17"/>
      <c r="NO44" s="17"/>
      <c r="NP44" s="27"/>
      <c r="NQ44" s="17"/>
      <c r="NR44" s="17"/>
      <c r="NS44" s="42"/>
      <c r="NT44" s="42"/>
      <c r="NU44" s="42"/>
      <c r="NV44" s="42"/>
      <c r="NW44" s="42"/>
      <c r="NX44" s="42"/>
      <c r="NY44" s="42"/>
      <c r="NZ44" s="42"/>
      <c r="OA44" s="42"/>
      <c r="OB44" s="20"/>
      <c r="OC44" s="27"/>
      <c r="OD44" s="27"/>
      <c r="OE44" s="27"/>
      <c r="OF44" s="27"/>
      <c r="OG44" s="27"/>
      <c r="OH44" s="17"/>
      <c r="OI44" s="17"/>
      <c r="OJ44" s="17"/>
      <c r="OK44" s="17"/>
      <c r="OL44" s="17"/>
      <c r="OM44" s="17"/>
      <c r="ON44" s="17"/>
      <c r="OO44" s="17"/>
      <c r="OP44" s="17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/>
      <c r="PD44" s="16"/>
      <c r="PE44" s="16"/>
    </row>
    <row r="45" spans="2:421" ht="23.25">
      <c r="B45" s="127" t="s">
        <v>172</v>
      </c>
      <c r="C45" s="128">
        <v>1.93</v>
      </c>
      <c r="D45" s="128">
        <v>2.1230000000000002</v>
      </c>
      <c r="E45" s="128">
        <v>2.3586530000000003</v>
      </c>
      <c r="F45" s="128">
        <v>1.6984000000000001</v>
      </c>
      <c r="G45" s="128">
        <v>1.5285600000000001</v>
      </c>
      <c r="LM45" s="1"/>
      <c r="LN45" s="95"/>
      <c r="LO45" s="85"/>
      <c r="LP45" s="84"/>
      <c r="LQ45" s="84"/>
      <c r="LR45" s="84"/>
      <c r="LS45" s="84"/>
      <c r="LT45" s="84"/>
      <c r="LU45" s="84"/>
      <c r="LV45" s="84"/>
      <c r="LW45" s="84"/>
      <c r="LX45" s="84"/>
      <c r="LY45" s="1"/>
      <c r="LZ45" s="84"/>
      <c r="MA45" s="84"/>
      <c r="MB45" s="84"/>
      <c r="MC45" s="84"/>
      <c r="MD45" s="84"/>
      <c r="ME45" s="84"/>
      <c r="MF45" s="84"/>
      <c r="MG45" s="84"/>
      <c r="MK45" s="137"/>
      <c r="ML45" s="10"/>
      <c r="MM45" s="112"/>
      <c r="MN45" s="92"/>
      <c r="MO45" s="91"/>
      <c r="MP45" s="91"/>
      <c r="MQ45" s="91"/>
      <c r="MR45" s="91"/>
      <c r="MS45" s="91"/>
      <c r="MT45" s="91"/>
      <c r="MU45" s="91"/>
      <c r="MV45" s="91"/>
      <c r="MW45" s="91"/>
      <c r="MX45" s="10"/>
      <c r="MY45" s="10"/>
      <c r="MZ45" s="10"/>
      <c r="NA45" s="10"/>
      <c r="NB45" s="10"/>
      <c r="NC45" s="10"/>
      <c r="ND45" s="10"/>
      <c r="NE45" s="10"/>
      <c r="NF45" s="10"/>
      <c r="NH45" s="1"/>
      <c r="NI45" s="16"/>
      <c r="NJ45" s="85"/>
      <c r="NK45" s="85"/>
      <c r="NL45" s="68"/>
      <c r="NM45" s="1"/>
      <c r="NN45" s="17"/>
      <c r="NO45" s="17"/>
      <c r="NP45" s="27"/>
      <c r="NQ45" s="17"/>
      <c r="NR45" s="17"/>
      <c r="NS45" s="42"/>
      <c r="NT45" s="42"/>
      <c r="NU45" s="42"/>
      <c r="NV45" s="42"/>
      <c r="NW45" s="42"/>
      <c r="NX45" s="42"/>
      <c r="NY45" s="42"/>
      <c r="NZ45" s="42"/>
      <c r="OA45" s="42"/>
      <c r="OB45" s="20"/>
      <c r="OC45" s="27"/>
      <c r="OD45" s="27"/>
      <c r="OE45" s="27"/>
      <c r="OF45" s="27"/>
      <c r="OG45" s="27"/>
      <c r="OH45" s="17"/>
      <c r="OI45" s="17"/>
      <c r="OJ45" s="17"/>
      <c r="OK45" s="17"/>
      <c r="OL45" s="17"/>
      <c r="OM45" s="17"/>
      <c r="ON45" s="17"/>
      <c r="OO45" s="17"/>
      <c r="OP45" s="17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</row>
    <row r="46" spans="2:421">
      <c r="B46" s="127" t="s">
        <v>92</v>
      </c>
      <c r="C46" s="139">
        <v>1.25</v>
      </c>
      <c r="D46" s="139">
        <v>1.375</v>
      </c>
      <c r="E46" s="139">
        <v>1.6803874999999999</v>
      </c>
      <c r="F46" s="139">
        <v>1.8149999999999999</v>
      </c>
      <c r="G46" s="139">
        <v>1.6335000000000002</v>
      </c>
      <c r="LM46" s="1"/>
      <c r="LN46" s="95"/>
      <c r="LO46" s="85"/>
      <c r="LP46" s="84"/>
      <c r="LQ46" s="84"/>
      <c r="LR46" s="84"/>
      <c r="LS46" s="84"/>
      <c r="LT46" s="84"/>
      <c r="LU46" s="84"/>
      <c r="LV46" s="84"/>
      <c r="LW46" s="84"/>
      <c r="LX46" s="84"/>
      <c r="LY46" s="1"/>
      <c r="LZ46" s="84"/>
      <c r="MA46" s="84"/>
      <c r="MB46" s="84"/>
      <c r="MC46" s="84"/>
      <c r="MD46" s="84"/>
      <c r="ME46" s="84"/>
      <c r="MF46" s="84"/>
      <c r="MG46" s="84"/>
      <c r="MK46" s="137"/>
      <c r="ML46" s="1"/>
      <c r="MM46" s="95"/>
      <c r="MN46" s="85"/>
      <c r="MO46" s="84"/>
      <c r="MP46" s="84"/>
      <c r="MQ46" s="84"/>
      <c r="MR46" s="84"/>
      <c r="MS46" s="84"/>
      <c r="MT46" s="84"/>
      <c r="MU46" s="84"/>
      <c r="MV46" s="84"/>
      <c r="MW46" s="84"/>
      <c r="MX46" s="1"/>
      <c r="MY46" s="84"/>
      <c r="MZ46" s="84"/>
      <c r="NA46" s="84"/>
      <c r="NB46" s="84"/>
      <c r="NC46" s="84"/>
      <c r="ND46" s="84"/>
      <c r="NE46" s="84"/>
      <c r="NF46" s="84"/>
      <c r="NH46" s="1"/>
      <c r="NI46" s="31"/>
      <c r="NJ46" s="79"/>
      <c r="NK46" s="79"/>
      <c r="NL46" s="67"/>
      <c r="NM46" s="1"/>
      <c r="NN46" s="25"/>
      <c r="NO46" s="25"/>
      <c r="NP46" s="26"/>
      <c r="NQ46" s="25"/>
      <c r="NR46" s="25"/>
      <c r="NS46" s="25"/>
      <c r="NT46" s="25"/>
      <c r="NU46" s="25"/>
      <c r="NV46" s="25"/>
      <c r="NW46" s="25"/>
      <c r="NX46" s="25"/>
      <c r="NY46" s="25"/>
      <c r="NZ46" s="25"/>
      <c r="OA46" s="25"/>
      <c r="OB46" s="20"/>
      <c r="OC46" s="26"/>
      <c r="OD46" s="26"/>
      <c r="OE46" s="26"/>
      <c r="OF46" s="26"/>
      <c r="OG46" s="26"/>
      <c r="OH46" s="25"/>
      <c r="OI46" s="25"/>
      <c r="OJ46" s="25"/>
      <c r="OK46" s="25"/>
      <c r="OL46" s="25"/>
      <c r="OM46" s="25"/>
      <c r="ON46" s="25"/>
      <c r="OO46" s="25"/>
      <c r="OP46" s="25"/>
      <c r="OQ46" s="16"/>
      <c r="OR46" s="25"/>
      <c r="OS46" s="25"/>
      <c r="OT46" s="25"/>
      <c r="OU46" s="25"/>
      <c r="OV46" s="25"/>
      <c r="OW46" s="25"/>
      <c r="OX46" s="25"/>
      <c r="OY46" s="25"/>
      <c r="OZ46" s="25"/>
      <c r="PA46" s="25"/>
      <c r="PB46" s="25"/>
      <c r="PC46" s="25"/>
      <c r="PD46" s="25"/>
      <c r="PE46" s="25"/>
    </row>
    <row r="47" spans="2:421" ht="23.25">
      <c r="B47" s="127" t="s">
        <v>80</v>
      </c>
      <c r="C47" s="128">
        <v>1.73</v>
      </c>
      <c r="D47" s="128">
        <v>1.5569999999999999</v>
      </c>
      <c r="E47" s="128">
        <v>1.9028096999999999</v>
      </c>
      <c r="F47" s="128">
        <v>2.05524</v>
      </c>
      <c r="G47" s="128">
        <v>2.05524</v>
      </c>
      <c r="LM47" s="1"/>
      <c r="LN47" s="95"/>
      <c r="LO47" s="85"/>
      <c r="LP47" s="105"/>
      <c r="LQ47" s="84"/>
      <c r="LR47" s="84"/>
      <c r="LS47" s="84"/>
      <c r="LT47" s="84"/>
      <c r="LU47" s="84"/>
      <c r="LV47" s="84"/>
      <c r="LW47" s="84"/>
      <c r="LX47" s="84"/>
      <c r="LY47" s="1"/>
      <c r="LZ47" s="1"/>
      <c r="MA47" s="1"/>
      <c r="MB47" s="1"/>
      <c r="MC47" s="1"/>
      <c r="MD47" s="1"/>
      <c r="ME47" s="1"/>
      <c r="MF47" s="1"/>
      <c r="MG47" s="1"/>
      <c r="MK47" s="137"/>
      <c r="ML47" s="1"/>
      <c r="MM47" s="95"/>
      <c r="MN47" s="85"/>
      <c r="MO47" s="84"/>
      <c r="MP47" s="84"/>
      <c r="MQ47" s="84"/>
      <c r="MR47" s="84"/>
      <c r="MS47" s="84"/>
      <c r="MT47" s="84"/>
      <c r="MU47" s="84"/>
      <c r="MV47" s="84"/>
      <c r="MW47" s="84"/>
      <c r="MX47" s="1"/>
      <c r="MY47" s="84"/>
      <c r="MZ47" s="84"/>
      <c r="NA47" s="84"/>
      <c r="NB47" s="84"/>
      <c r="NC47" s="84"/>
      <c r="ND47" s="84"/>
      <c r="NE47" s="84"/>
      <c r="NF47" s="84"/>
      <c r="NH47" s="1"/>
      <c r="NI47" s="64"/>
      <c r="NJ47" s="87"/>
      <c r="NK47" s="85"/>
      <c r="NL47" s="68"/>
      <c r="NM47" s="1"/>
      <c r="NN47" s="42"/>
      <c r="NO47" s="42"/>
      <c r="NP47" s="41"/>
      <c r="NQ47" s="17"/>
      <c r="NR47" s="17"/>
      <c r="NS47" s="42"/>
      <c r="NT47" s="42"/>
      <c r="NU47" s="42"/>
      <c r="NV47" s="42"/>
      <c r="NW47" s="42"/>
      <c r="NX47" s="42"/>
      <c r="NY47" s="42"/>
      <c r="NZ47" s="42"/>
      <c r="OA47" s="42"/>
      <c r="OB47" s="20"/>
      <c r="OC47" s="27"/>
      <c r="OD47" s="27"/>
      <c r="OE47" s="27"/>
      <c r="OF47" s="27"/>
      <c r="OG47" s="27"/>
      <c r="OH47" s="17"/>
      <c r="OI47" s="17"/>
      <c r="OJ47" s="17"/>
      <c r="OK47" s="17"/>
      <c r="OL47" s="17"/>
      <c r="OM47" s="17"/>
      <c r="ON47" s="17"/>
      <c r="OO47" s="17"/>
      <c r="OP47" s="17"/>
      <c r="OQ47" s="16"/>
      <c r="OR47" s="42"/>
      <c r="OS47" s="42"/>
      <c r="OT47" s="42"/>
      <c r="OU47" s="42"/>
      <c r="OV47" s="42"/>
      <c r="OW47" s="42"/>
      <c r="OX47" s="42"/>
      <c r="OY47" s="42"/>
      <c r="OZ47" s="42"/>
      <c r="PA47" s="42"/>
      <c r="PB47" s="42"/>
      <c r="PC47" s="42"/>
      <c r="PD47" s="42"/>
      <c r="PE47" s="42"/>
    </row>
    <row r="48" spans="2:421">
      <c r="B48" s="126" t="s">
        <v>47</v>
      </c>
      <c r="C48" s="129">
        <v>1.9</v>
      </c>
      <c r="D48" s="129">
        <v>1.7099999999999997</v>
      </c>
      <c r="E48" s="129">
        <v>1.8998099999999998</v>
      </c>
      <c r="F48" s="129">
        <v>1.8809999999999998</v>
      </c>
      <c r="G48" s="129">
        <v>2.2571999999999997</v>
      </c>
      <c r="LM48" s="1"/>
      <c r="LN48" s="95"/>
      <c r="LO48" s="85"/>
      <c r="LP48" s="105"/>
      <c r="LQ48" s="105"/>
      <c r="LR48" s="105"/>
      <c r="LS48" s="105"/>
      <c r="LT48" s="105"/>
      <c r="LU48" s="105"/>
      <c r="LV48" s="105"/>
      <c r="LW48" s="105"/>
      <c r="LX48" s="105"/>
      <c r="LY48" s="1"/>
      <c r="LZ48" s="1"/>
      <c r="MA48" s="1"/>
      <c r="MB48" s="1"/>
      <c r="MC48" s="1"/>
      <c r="MD48" s="1"/>
      <c r="ME48" s="1"/>
      <c r="MF48" s="1"/>
      <c r="MG48" s="1"/>
      <c r="MK48" s="137"/>
      <c r="ML48" s="1"/>
      <c r="MM48" s="95"/>
      <c r="MN48" s="85"/>
      <c r="MO48" s="84"/>
      <c r="MP48" s="84"/>
      <c r="MQ48" s="84"/>
      <c r="MR48" s="84"/>
      <c r="MS48" s="84"/>
      <c r="MT48" s="84"/>
      <c r="MU48" s="84"/>
      <c r="MV48" s="84"/>
      <c r="MW48" s="84"/>
      <c r="MX48" s="1"/>
      <c r="MY48" s="84"/>
      <c r="MZ48" s="84"/>
      <c r="NA48" s="84"/>
      <c r="NB48" s="84"/>
      <c r="NC48" s="84"/>
      <c r="ND48" s="84"/>
      <c r="NE48" s="84"/>
      <c r="NF48" s="84"/>
      <c r="NH48" s="1"/>
      <c r="NI48" s="104"/>
      <c r="NJ48" s="104"/>
      <c r="NK48" s="104"/>
      <c r="NL48" s="68"/>
      <c r="NM48" s="1"/>
      <c r="NN48" s="17"/>
      <c r="NO48" s="17"/>
      <c r="NP48" s="27"/>
      <c r="NQ48" s="17"/>
      <c r="NR48" s="17"/>
      <c r="NS48" s="42"/>
      <c r="NT48" s="42"/>
      <c r="NU48" s="42"/>
      <c r="NV48" s="42"/>
      <c r="NW48" s="42"/>
      <c r="NX48" s="42"/>
      <c r="NY48" s="42"/>
      <c r="NZ48" s="42"/>
      <c r="OA48" s="42"/>
      <c r="OB48" s="20"/>
      <c r="OC48" s="27"/>
      <c r="OD48" s="27"/>
      <c r="OE48" s="27"/>
      <c r="OF48" s="27"/>
      <c r="OG48" s="27"/>
      <c r="OH48" s="17"/>
      <c r="OI48" s="17"/>
      <c r="OJ48" s="17"/>
      <c r="OK48" s="17"/>
      <c r="OL48" s="17"/>
      <c r="OM48" s="17"/>
      <c r="ON48" s="17"/>
      <c r="OO48" s="17"/>
      <c r="OP48" s="17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</row>
    <row r="49" spans="2:421">
      <c r="B49" s="126" t="s">
        <v>91</v>
      </c>
      <c r="C49" s="141">
        <v>2</v>
      </c>
      <c r="D49" s="141">
        <v>2.2000000000000002</v>
      </c>
      <c r="E49" s="141">
        <v>2.6886200000000002</v>
      </c>
      <c r="F49" s="141">
        <v>2.9040000000000008</v>
      </c>
      <c r="G49" s="141">
        <v>2.3232000000000008</v>
      </c>
      <c r="LM49" s="10"/>
      <c r="LN49" s="112"/>
      <c r="LO49" s="92"/>
      <c r="LP49" s="10"/>
      <c r="LQ49" s="10"/>
      <c r="LR49" s="10"/>
      <c r="LS49" s="10"/>
      <c r="LT49" s="10"/>
      <c r="LU49" s="10"/>
      <c r="LV49" s="10"/>
      <c r="LW49" s="10"/>
      <c r="LX49" s="10"/>
      <c r="LY49" s="10"/>
      <c r="LZ49" s="10"/>
      <c r="MA49" s="10"/>
      <c r="MB49" s="10"/>
      <c r="MC49" s="10"/>
      <c r="MD49" s="10"/>
      <c r="ME49" s="10"/>
      <c r="MF49" s="10"/>
      <c r="MG49" s="10"/>
      <c r="MK49" s="137"/>
      <c r="ML49" s="1"/>
      <c r="MM49" s="95"/>
      <c r="MN49" s="85"/>
      <c r="MO49" s="105"/>
      <c r="MP49" s="84"/>
      <c r="MQ49" s="84"/>
      <c r="MR49" s="84"/>
      <c r="MS49" s="84"/>
      <c r="MT49" s="84"/>
      <c r="MU49" s="84"/>
      <c r="MV49" s="84"/>
      <c r="MW49" s="84"/>
      <c r="MX49" s="1"/>
      <c r="MY49" s="1"/>
      <c r="MZ49" s="1"/>
      <c r="NA49" s="1"/>
      <c r="NB49" s="1"/>
      <c r="NC49" s="1"/>
      <c r="ND49" s="1"/>
      <c r="NE49" s="1"/>
      <c r="NF49" s="1"/>
      <c r="NH49" s="1"/>
      <c r="NI49" s="104"/>
      <c r="NJ49" s="104"/>
      <c r="NK49" s="104"/>
      <c r="NL49" s="68"/>
      <c r="NM49" s="1"/>
      <c r="NN49" s="17"/>
      <c r="NO49" s="17"/>
      <c r="NP49" s="27"/>
      <c r="NQ49" s="17"/>
      <c r="NR49" s="17"/>
      <c r="NS49" s="42"/>
      <c r="NT49" s="42"/>
      <c r="NU49" s="42"/>
      <c r="NV49" s="42"/>
      <c r="NW49" s="42"/>
      <c r="NX49" s="42"/>
      <c r="NY49" s="42"/>
      <c r="NZ49" s="42"/>
      <c r="OA49" s="42"/>
      <c r="OB49" s="20"/>
      <c r="OC49" s="27"/>
      <c r="OD49" s="27"/>
      <c r="OE49" s="27"/>
      <c r="OF49" s="27"/>
      <c r="OG49" s="27"/>
      <c r="OH49" s="17"/>
      <c r="OI49" s="17"/>
      <c r="OJ49" s="17"/>
      <c r="OK49" s="17"/>
      <c r="OL49" s="17"/>
      <c r="OM49" s="17"/>
      <c r="ON49" s="17"/>
      <c r="OO49" s="17"/>
      <c r="OP49" s="17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</row>
    <row r="50" spans="2:421">
      <c r="B50" s="126" t="s">
        <v>95</v>
      </c>
      <c r="C50" s="143">
        <v>2.14</v>
      </c>
      <c r="D50" s="143">
        <v>2.14</v>
      </c>
      <c r="E50" s="143">
        <v>2.615294</v>
      </c>
      <c r="F50" s="143">
        <v>2.8248000000000002</v>
      </c>
      <c r="G50" s="143">
        <v>2.2598400000000001</v>
      </c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K50" s="137"/>
      <c r="ML50" s="1"/>
      <c r="MM50" s="95"/>
      <c r="MN50" s="85"/>
      <c r="MO50" s="105"/>
      <c r="MP50" s="105"/>
      <c r="MQ50" s="105"/>
      <c r="MR50" s="105"/>
      <c r="MS50" s="105"/>
      <c r="MT50" s="105"/>
      <c r="MU50" s="105"/>
      <c r="MV50" s="105"/>
      <c r="MW50" s="105"/>
      <c r="MX50" s="1"/>
      <c r="MY50" s="1"/>
      <c r="MZ50" s="1"/>
      <c r="NA50" s="1"/>
      <c r="NB50" s="1"/>
      <c r="NC50" s="1"/>
      <c r="ND50" s="1"/>
      <c r="NE50" s="1"/>
      <c r="NF50" s="1"/>
      <c r="NH50" s="1"/>
      <c r="NI50" s="82"/>
      <c r="NJ50" s="82"/>
      <c r="NK50" s="82"/>
      <c r="NL50" s="67"/>
      <c r="NM50" s="1"/>
      <c r="NN50" s="23"/>
      <c r="NO50" s="23"/>
      <c r="NP50" s="26"/>
      <c r="NQ50" s="25"/>
      <c r="NR50" s="25"/>
      <c r="NS50" s="25"/>
      <c r="NT50" s="25"/>
      <c r="NU50" s="25"/>
      <c r="NV50" s="25"/>
      <c r="NW50" s="25"/>
      <c r="NX50" s="25"/>
      <c r="NY50" s="25"/>
      <c r="NZ50" s="25"/>
      <c r="OA50" s="25"/>
      <c r="OB50" s="20"/>
      <c r="OC50" s="26"/>
      <c r="OD50" s="26"/>
      <c r="OE50" s="26"/>
      <c r="OF50" s="26"/>
      <c r="OG50" s="26"/>
      <c r="OH50" s="25"/>
      <c r="OI50" s="25"/>
      <c r="OJ50" s="25"/>
      <c r="OK50" s="25"/>
      <c r="OL50" s="25"/>
      <c r="OM50" s="25"/>
      <c r="ON50" s="25"/>
      <c r="OO50" s="25"/>
      <c r="OP50" s="25"/>
      <c r="OQ50" s="16"/>
      <c r="OR50" s="25"/>
      <c r="OS50" s="25"/>
      <c r="OT50" s="25"/>
      <c r="OU50" s="25"/>
      <c r="OV50" s="25"/>
      <c r="OW50" s="25"/>
      <c r="OX50" s="25"/>
      <c r="OY50" s="25"/>
      <c r="OZ50" s="25"/>
      <c r="PA50" s="25"/>
      <c r="PB50" s="25"/>
      <c r="PC50" s="25"/>
      <c r="PD50" s="25"/>
      <c r="PE50" s="25"/>
    </row>
    <row r="51" spans="2:421">
      <c r="B51" s="126" t="s">
        <v>69</v>
      </c>
      <c r="C51" s="129">
        <v>1.78</v>
      </c>
      <c r="D51" s="129">
        <v>1.78</v>
      </c>
      <c r="E51" s="129">
        <v>1.5820639999999999</v>
      </c>
      <c r="F51" s="129">
        <v>1.1392</v>
      </c>
      <c r="G51" s="129">
        <v>1.02528</v>
      </c>
      <c r="LM51" s="1"/>
      <c r="LN51" s="80"/>
      <c r="LO51" s="80"/>
      <c r="LP51" s="80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K51" s="137"/>
      <c r="ML51" s="10"/>
      <c r="MM51" s="112"/>
      <c r="MN51" s="92"/>
      <c r="MO51" s="10"/>
      <c r="MP51" s="10"/>
      <c r="MQ51" s="10"/>
      <c r="MR51" s="10"/>
      <c r="MS51" s="10"/>
      <c r="MT51" s="10"/>
      <c r="MU51" s="10"/>
      <c r="MV51" s="10"/>
      <c r="MW51" s="10"/>
      <c r="MX51" s="10"/>
      <c r="MY51" s="10"/>
      <c r="MZ51" s="10"/>
      <c r="NA51" s="10"/>
      <c r="NB51" s="10"/>
      <c r="NC51" s="10"/>
      <c r="ND51" s="10"/>
      <c r="NE51" s="10"/>
      <c r="NF51" s="10"/>
      <c r="NH51" s="1"/>
      <c r="NI51" s="104"/>
      <c r="NJ51" s="104"/>
      <c r="NK51" s="104"/>
      <c r="NL51" s="68"/>
      <c r="NM51" s="1"/>
      <c r="NN51" s="16"/>
      <c r="NO51" s="16"/>
      <c r="NP51" s="27"/>
      <c r="NQ51" s="17"/>
      <c r="NR51" s="17"/>
      <c r="NS51" s="42"/>
      <c r="NT51" s="42"/>
      <c r="NU51" s="42"/>
      <c r="NV51" s="42"/>
      <c r="NW51" s="42"/>
      <c r="NX51" s="42"/>
      <c r="NY51" s="42"/>
      <c r="NZ51" s="42"/>
      <c r="OA51" s="42"/>
      <c r="OB51" s="20"/>
      <c r="OC51" s="27"/>
      <c r="OD51" s="27"/>
      <c r="OE51" s="27"/>
      <c r="OF51" s="27"/>
      <c r="OG51" s="27"/>
      <c r="OH51" s="17"/>
      <c r="OI51" s="17"/>
      <c r="OJ51" s="17"/>
      <c r="OK51" s="17"/>
      <c r="OL51" s="17"/>
      <c r="OM51" s="17"/>
      <c r="ON51" s="17"/>
      <c r="OO51" s="17"/>
      <c r="OP51" s="17"/>
      <c r="OQ51" s="16"/>
      <c r="OR51" s="16"/>
      <c r="OS51" s="16"/>
      <c r="OT51" s="16"/>
      <c r="OU51" s="16"/>
      <c r="OV51" s="16"/>
      <c r="OW51" s="16"/>
      <c r="OX51" s="16"/>
      <c r="OY51" s="16"/>
      <c r="OZ51" s="16"/>
      <c r="PA51" s="16"/>
      <c r="PB51" s="16"/>
      <c r="PC51" s="16"/>
      <c r="PD51" s="16"/>
      <c r="PE51" s="16"/>
    </row>
    <row r="52" spans="2:421" ht="23.25">
      <c r="B52" s="126" t="s">
        <v>19</v>
      </c>
      <c r="C52" s="142">
        <v>1.88</v>
      </c>
      <c r="D52" s="142">
        <v>2.0680000000000001</v>
      </c>
      <c r="E52" s="142">
        <v>2.0677932000000001</v>
      </c>
      <c r="F52" s="142">
        <v>1.8612000000000002</v>
      </c>
      <c r="G52" s="142">
        <v>1.8612000000000002</v>
      </c>
      <c r="LM52" s="1"/>
      <c r="LN52" s="80"/>
      <c r="LO52" s="1"/>
      <c r="LP52" s="84"/>
      <c r="LQ52" s="84"/>
      <c r="LR52" s="84"/>
      <c r="LS52" s="84"/>
      <c r="LT52" s="84"/>
      <c r="LU52" s="84"/>
      <c r="LV52" s="84"/>
      <c r="LW52" s="84"/>
      <c r="LX52" s="84"/>
      <c r="LY52" s="1"/>
      <c r="LZ52" s="84"/>
      <c r="MA52" s="84"/>
      <c r="MB52" s="84"/>
      <c r="MC52" s="84"/>
      <c r="MD52" s="84"/>
      <c r="ME52" s="84"/>
      <c r="MF52" s="84"/>
      <c r="MG52" s="84"/>
      <c r="MK52" s="137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H52" s="1"/>
      <c r="NI52" s="82"/>
      <c r="NJ52" s="82"/>
      <c r="NK52" s="82"/>
      <c r="NL52" s="69"/>
      <c r="NM52" s="1"/>
      <c r="NN52" s="23"/>
      <c r="NO52" s="23"/>
      <c r="NP52" s="26"/>
      <c r="NQ52" s="25"/>
      <c r="NR52" s="25"/>
      <c r="NS52" s="25"/>
      <c r="NT52" s="25"/>
      <c r="NU52" s="25"/>
      <c r="NV52" s="25"/>
      <c r="NW52" s="25"/>
      <c r="NX52" s="25"/>
      <c r="NY52" s="25"/>
      <c r="NZ52" s="25"/>
      <c r="OA52" s="25"/>
      <c r="OB52" s="20"/>
      <c r="OC52" s="26"/>
      <c r="OD52" s="26"/>
      <c r="OE52" s="26"/>
      <c r="OF52" s="26"/>
      <c r="OG52" s="26"/>
      <c r="OH52" s="25"/>
      <c r="OI52" s="25"/>
      <c r="OJ52" s="25"/>
      <c r="OK52" s="25"/>
      <c r="OL52" s="25"/>
      <c r="OM52" s="25"/>
      <c r="ON52" s="25"/>
      <c r="OO52" s="25"/>
      <c r="OP52" s="25"/>
      <c r="OQ52" s="16"/>
      <c r="OR52" s="25"/>
      <c r="OS52" s="25"/>
      <c r="OT52" s="25"/>
      <c r="OU52" s="25"/>
      <c r="OV52" s="25"/>
      <c r="OW52" s="25"/>
      <c r="OX52" s="25"/>
      <c r="OY52" s="25"/>
      <c r="OZ52" s="25"/>
      <c r="PA52" s="25"/>
      <c r="PB52" s="25"/>
      <c r="PC52" s="25"/>
      <c r="PD52" s="25"/>
      <c r="PE52" s="25"/>
    </row>
    <row r="53" spans="2:421">
      <c r="B53" s="126" t="s">
        <v>29</v>
      </c>
      <c r="C53" s="129">
        <v>1.83</v>
      </c>
      <c r="D53" s="129">
        <v>1.6469999999999998</v>
      </c>
      <c r="E53" s="129">
        <v>1.4638535999999998</v>
      </c>
      <c r="F53" s="129">
        <v>1.3175999999999999</v>
      </c>
      <c r="G53" s="129">
        <v>1.5811199999999999</v>
      </c>
      <c r="LM53" s="1"/>
      <c r="LN53" s="80"/>
      <c r="LO53" s="1"/>
      <c r="LP53" s="84"/>
      <c r="LQ53" s="84"/>
      <c r="LR53" s="84"/>
      <c r="LS53" s="84"/>
      <c r="LT53" s="84"/>
      <c r="LU53" s="84"/>
      <c r="LV53" s="84"/>
      <c r="LW53" s="84"/>
      <c r="LX53" s="84"/>
      <c r="LY53" s="1"/>
      <c r="LZ53" s="84"/>
      <c r="MA53" s="84"/>
      <c r="MB53" s="84"/>
      <c r="MC53" s="84"/>
      <c r="MD53" s="84"/>
      <c r="ME53" s="84"/>
      <c r="MF53" s="84"/>
      <c r="MG53" s="84"/>
      <c r="MK53" s="137"/>
      <c r="ML53" s="1"/>
      <c r="MM53" s="80"/>
      <c r="MN53" s="80"/>
      <c r="MO53" s="80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H53" s="1"/>
      <c r="NI53" s="1"/>
      <c r="NJ53" s="1"/>
      <c r="NK53" s="1"/>
      <c r="NL53" s="32"/>
      <c r="NM53" s="1"/>
      <c r="NN53" s="16"/>
      <c r="NO53" s="16"/>
      <c r="NP53" s="4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</row>
    <row r="54" spans="2:421">
      <c r="B54" s="127" t="s">
        <v>182</v>
      </c>
      <c r="C54" s="128">
        <v>2.0699999999999998</v>
      </c>
      <c r="D54" s="128">
        <v>1.6559999999999999</v>
      </c>
      <c r="E54" s="128">
        <v>1.4718528</v>
      </c>
      <c r="F54" s="128">
        <v>1.3248</v>
      </c>
      <c r="G54" s="128">
        <v>1.5897600000000001</v>
      </c>
      <c r="LM54" s="1"/>
      <c r="LN54" s="80"/>
      <c r="LO54" s="1"/>
      <c r="LP54" s="84"/>
      <c r="LQ54" s="84"/>
      <c r="LR54" s="84"/>
      <c r="LS54" s="84"/>
      <c r="LT54" s="84"/>
      <c r="LU54" s="84"/>
      <c r="LV54" s="84"/>
      <c r="LW54" s="84"/>
      <c r="LX54" s="84"/>
      <c r="LY54" s="1"/>
      <c r="LZ54" s="84"/>
      <c r="MA54" s="84"/>
      <c r="MB54" s="84"/>
      <c r="MC54" s="84"/>
      <c r="MD54" s="84"/>
      <c r="ME54" s="84"/>
      <c r="MF54" s="84"/>
      <c r="MG54" s="84"/>
      <c r="MK54" s="137"/>
      <c r="ML54" s="1"/>
      <c r="MM54" s="80"/>
      <c r="MN54" s="1"/>
      <c r="MO54" s="84"/>
      <c r="MP54" s="84"/>
      <c r="MQ54" s="84"/>
      <c r="MR54" s="84"/>
      <c r="MS54" s="84"/>
      <c r="MT54" s="84"/>
      <c r="MU54" s="84"/>
      <c r="MV54" s="84"/>
      <c r="MW54" s="84"/>
      <c r="MX54" s="1"/>
      <c r="MY54" s="84"/>
      <c r="MZ54" s="84"/>
      <c r="NA54" s="84"/>
      <c r="NB54" s="84"/>
      <c r="NC54" s="84"/>
      <c r="ND54" s="84"/>
      <c r="NE54" s="84"/>
      <c r="NF54" s="84"/>
      <c r="NH54" s="14"/>
      <c r="NI54" s="14"/>
      <c r="NJ54" s="14"/>
      <c r="NK54" s="14"/>
      <c r="NL54" s="65"/>
      <c r="NM54" s="1"/>
      <c r="NN54" s="14"/>
      <c r="NO54" s="14"/>
      <c r="NP54" s="47"/>
      <c r="NQ54" s="14"/>
      <c r="NR54" s="14"/>
      <c r="NS54" s="14"/>
      <c r="NT54" s="14"/>
      <c r="NU54" s="14"/>
      <c r="NV54" s="14"/>
      <c r="NW54" s="14"/>
      <c r="NX54" s="14"/>
      <c r="NY54" s="14"/>
      <c r="NZ54" s="14"/>
      <c r="OA54" s="14"/>
      <c r="OB54" s="1"/>
      <c r="OC54" s="14"/>
      <c r="OD54" s="14"/>
      <c r="OE54" s="14"/>
      <c r="OF54" s="14"/>
      <c r="OG54" s="14"/>
      <c r="OH54" s="14"/>
      <c r="OI54" s="14"/>
      <c r="OJ54" s="14"/>
      <c r="OK54" s="14"/>
      <c r="OL54" s="14"/>
      <c r="OM54" s="14"/>
      <c r="ON54" s="14"/>
      <c r="OO54" s="14"/>
      <c r="OP54" s="14"/>
      <c r="OQ54" s="1"/>
      <c r="OR54" s="14"/>
      <c r="OS54" s="14"/>
      <c r="OT54" s="14"/>
      <c r="OU54" s="14"/>
      <c r="OV54" s="14"/>
      <c r="OW54" s="14"/>
      <c r="OX54" s="14"/>
      <c r="OY54" s="14"/>
      <c r="OZ54" s="14"/>
      <c r="PA54" s="14"/>
      <c r="PB54" s="14"/>
      <c r="PC54" s="14"/>
      <c r="PD54" s="14"/>
      <c r="PE54" s="14"/>
    </row>
    <row r="55" spans="2:421">
      <c r="B55" s="126" t="s">
        <v>183</v>
      </c>
      <c r="C55" s="129">
        <v>1.7</v>
      </c>
      <c r="D55" s="129">
        <v>2.04</v>
      </c>
      <c r="E55" s="129">
        <v>1.8131520000000001</v>
      </c>
      <c r="F55" s="129">
        <v>1.7952000000000001</v>
      </c>
      <c r="G55" s="129">
        <v>1.61568</v>
      </c>
      <c r="LM55" s="1"/>
      <c r="LN55" s="80"/>
      <c r="LO55" s="1"/>
      <c r="LP55" s="84"/>
      <c r="LQ55" s="84"/>
      <c r="LR55" s="84"/>
      <c r="LS55" s="84"/>
      <c r="LT55" s="84"/>
      <c r="LU55" s="84"/>
      <c r="LV55" s="84"/>
      <c r="LW55" s="84"/>
      <c r="LX55" s="84"/>
      <c r="LY55" s="1"/>
      <c r="LZ55" s="84"/>
      <c r="MA55" s="84"/>
      <c r="MB55" s="84"/>
      <c r="MC55" s="84"/>
      <c r="MD55" s="84"/>
      <c r="ME55" s="84"/>
      <c r="MF55" s="84"/>
      <c r="MG55" s="84"/>
      <c r="MK55" s="137"/>
      <c r="ML55" s="1"/>
      <c r="MM55" s="80"/>
      <c r="MN55" s="1"/>
      <c r="MO55" s="84"/>
      <c r="MP55" s="84"/>
      <c r="MQ55" s="84"/>
      <c r="MR55" s="84"/>
      <c r="MS55" s="84"/>
      <c r="MT55" s="84"/>
      <c r="MU55" s="84"/>
      <c r="MV55" s="84"/>
      <c r="MW55" s="84"/>
      <c r="MX55" s="1"/>
      <c r="MY55" s="84"/>
      <c r="MZ55" s="84"/>
      <c r="NA55" s="84"/>
      <c r="NB55" s="84"/>
      <c r="NC55" s="84"/>
      <c r="ND55" s="84"/>
      <c r="NE55" s="84"/>
      <c r="NF55" s="84"/>
      <c r="NH55" s="1"/>
      <c r="NI55" s="86"/>
      <c r="NJ55" s="88"/>
      <c r="NK55" s="87"/>
      <c r="NL55" s="68"/>
      <c r="NM55" s="1"/>
      <c r="NN55" s="16"/>
      <c r="NO55" s="16"/>
      <c r="NP55" s="44"/>
      <c r="NQ55" s="16"/>
      <c r="NR55" s="16"/>
      <c r="NS55" s="16"/>
      <c r="NT55" s="16"/>
      <c r="NU55" s="16"/>
      <c r="NV55" s="16"/>
      <c r="NW55" s="16"/>
      <c r="NX55" s="16"/>
      <c r="NY55" s="16"/>
      <c r="NZ55" s="16"/>
      <c r="OA55" s="16"/>
      <c r="OB55" s="16"/>
      <c r="OC55" s="16"/>
      <c r="OD55" s="16"/>
      <c r="OE55" s="16"/>
      <c r="OF55" s="16"/>
      <c r="OG55" s="16"/>
      <c r="OH55" s="16"/>
      <c r="OI55" s="16"/>
      <c r="OJ55" s="16"/>
      <c r="OK55" s="16"/>
      <c r="OL55" s="16"/>
      <c r="OM55" s="16"/>
      <c r="ON55" s="16"/>
      <c r="OO55" s="16"/>
      <c r="OP55" s="16"/>
      <c r="OQ55" s="16"/>
      <c r="OR55" s="16"/>
      <c r="OS55" s="16"/>
      <c r="OT55" s="16"/>
      <c r="OU55" s="16"/>
      <c r="OV55" s="16"/>
      <c r="OW55" s="16"/>
      <c r="OX55" s="16"/>
      <c r="OY55" s="16"/>
      <c r="OZ55" s="16"/>
      <c r="PA55" s="16"/>
      <c r="PB55" s="16"/>
      <c r="PC55" s="16"/>
      <c r="PD55" s="16"/>
      <c r="PE55" s="16"/>
    </row>
    <row r="56" spans="2:421" ht="23.25">
      <c r="B56" s="127" t="s">
        <v>46</v>
      </c>
      <c r="C56" s="128">
        <v>1.61</v>
      </c>
      <c r="D56" s="128">
        <v>1.4490000000000001</v>
      </c>
      <c r="E56" s="128">
        <v>1.4488551000000001</v>
      </c>
      <c r="F56" s="128">
        <v>1.04328</v>
      </c>
      <c r="G56" s="128">
        <v>0.83462400000000003</v>
      </c>
      <c r="LM56" s="1"/>
      <c r="LN56" s="80"/>
      <c r="LO56" s="1"/>
      <c r="LP56" s="84"/>
      <c r="LQ56" s="84"/>
      <c r="LR56" s="84"/>
      <c r="LS56" s="84"/>
      <c r="LT56" s="84"/>
      <c r="LU56" s="84"/>
      <c r="LV56" s="84"/>
      <c r="LW56" s="84"/>
      <c r="LX56" s="84"/>
      <c r="LY56" s="1"/>
      <c r="LZ56" s="84"/>
      <c r="MA56" s="84"/>
      <c r="MB56" s="84"/>
      <c r="MC56" s="84"/>
      <c r="MD56" s="84"/>
      <c r="ME56" s="84"/>
      <c r="MF56" s="84"/>
      <c r="MG56" s="84"/>
      <c r="MK56" s="137"/>
      <c r="ML56" s="1"/>
      <c r="MM56" s="80"/>
      <c r="MN56" s="1"/>
      <c r="MO56" s="84"/>
      <c r="MP56" s="84"/>
      <c r="MQ56" s="84"/>
      <c r="MR56" s="84"/>
      <c r="MS56" s="84"/>
      <c r="MT56" s="84"/>
      <c r="MU56" s="84"/>
      <c r="MV56" s="84"/>
      <c r="MW56" s="84"/>
      <c r="MX56" s="1"/>
      <c r="MY56" s="84"/>
      <c r="MZ56" s="84"/>
      <c r="NA56" s="84"/>
      <c r="NB56" s="84"/>
      <c r="NC56" s="84"/>
      <c r="ND56" s="84"/>
      <c r="NE56" s="84"/>
      <c r="NF56" s="84"/>
      <c r="NH56" s="1"/>
      <c r="NI56" s="86"/>
      <c r="NJ56" s="86"/>
      <c r="NK56" s="87"/>
      <c r="NL56" s="68"/>
      <c r="NM56" s="1"/>
      <c r="NN56" s="16"/>
      <c r="NO56" s="16"/>
      <c r="NP56" s="2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20"/>
      <c r="OC56" s="30"/>
      <c r="OD56" s="30"/>
      <c r="OE56" s="30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6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</row>
    <row r="57" spans="2:421">
      <c r="B57" s="127" t="s">
        <v>150</v>
      </c>
      <c r="C57" s="139">
        <v>1.81</v>
      </c>
      <c r="D57" s="139">
        <v>1.9910000000000001</v>
      </c>
      <c r="E57" s="139">
        <v>2.2120009999999999</v>
      </c>
      <c r="F57" s="139">
        <v>1.7919</v>
      </c>
      <c r="G57" s="139">
        <v>1.9710900000000002</v>
      </c>
      <c r="LM57" s="1"/>
      <c r="LN57" s="80"/>
      <c r="LO57" s="1"/>
      <c r="LP57" s="84"/>
      <c r="LQ57" s="84"/>
      <c r="LR57" s="84"/>
      <c r="LS57" s="84"/>
      <c r="LT57" s="84"/>
      <c r="LU57" s="84"/>
      <c r="LV57" s="84"/>
      <c r="LW57" s="84"/>
      <c r="LX57" s="84"/>
      <c r="LY57" s="1"/>
      <c r="LZ57" s="84"/>
      <c r="MA57" s="84"/>
      <c r="MB57" s="84"/>
      <c r="MC57" s="84"/>
      <c r="MD57" s="84"/>
      <c r="ME57" s="84"/>
      <c r="MF57" s="84"/>
      <c r="MG57" s="84"/>
      <c r="MK57" s="137"/>
      <c r="ML57" s="1"/>
      <c r="MM57" s="80"/>
      <c r="MN57" s="1"/>
      <c r="MO57" s="84"/>
      <c r="MP57" s="84"/>
      <c r="MQ57" s="84"/>
      <c r="MR57" s="84"/>
      <c r="MS57" s="84"/>
      <c r="MT57" s="84"/>
      <c r="MU57" s="84"/>
      <c r="MV57" s="84"/>
      <c r="MW57" s="84"/>
      <c r="MX57" s="1"/>
      <c r="MY57" s="84"/>
      <c r="MZ57" s="84"/>
      <c r="NA57" s="84"/>
      <c r="NB57" s="84"/>
      <c r="NC57" s="84"/>
      <c r="ND57" s="84"/>
      <c r="NE57" s="84"/>
      <c r="NF57" s="84"/>
      <c r="NH57" s="1"/>
      <c r="NI57" s="86"/>
      <c r="NJ57" s="87"/>
      <c r="NK57" s="87"/>
      <c r="NL57" s="68"/>
      <c r="NM57" s="1"/>
      <c r="NN57" s="16"/>
      <c r="NO57" s="16"/>
      <c r="NP57" s="2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20"/>
      <c r="OC57" s="30"/>
      <c r="OD57" s="30"/>
      <c r="OE57" s="30"/>
      <c r="OF57" s="33"/>
      <c r="OG57" s="33"/>
      <c r="OH57" s="33"/>
      <c r="OI57" s="33"/>
      <c r="OJ57" s="33"/>
      <c r="OK57" s="33"/>
      <c r="OL57" s="33"/>
      <c r="OM57" s="33"/>
      <c r="ON57" s="33"/>
      <c r="OO57" s="33"/>
      <c r="OP57" s="33"/>
      <c r="OQ57" s="16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</row>
    <row r="58" spans="2:421">
      <c r="B58" s="127" t="s">
        <v>56</v>
      </c>
      <c r="C58" s="144">
        <v>2.21</v>
      </c>
      <c r="D58" s="144">
        <v>1.768</v>
      </c>
      <c r="E58" s="144">
        <v>1.7678232000000003</v>
      </c>
      <c r="F58" s="144">
        <v>1.7503200000000003</v>
      </c>
      <c r="G58" s="144">
        <v>1.7503200000000003</v>
      </c>
      <c r="LM58" s="1"/>
      <c r="LN58" s="80"/>
      <c r="LO58" s="1"/>
      <c r="LP58" s="84"/>
      <c r="LQ58" s="84"/>
      <c r="LR58" s="84"/>
      <c r="LS58" s="84"/>
      <c r="LT58" s="84"/>
      <c r="LU58" s="84"/>
      <c r="LV58" s="84"/>
      <c r="LW58" s="84"/>
      <c r="LX58" s="84"/>
      <c r="LY58" s="1"/>
      <c r="LZ58" s="84"/>
      <c r="MA58" s="84"/>
      <c r="MB58" s="84"/>
      <c r="MC58" s="84"/>
      <c r="MD58" s="84"/>
      <c r="ME58" s="84"/>
      <c r="MF58" s="84"/>
      <c r="MG58" s="84"/>
      <c r="MK58" s="137"/>
      <c r="ML58" s="1"/>
      <c r="MM58" s="80"/>
      <c r="MN58" s="1"/>
      <c r="MO58" s="84"/>
      <c r="MP58" s="84"/>
      <c r="MQ58" s="84"/>
      <c r="MR58" s="84"/>
      <c r="MS58" s="84"/>
      <c r="MT58" s="84"/>
      <c r="MU58" s="84"/>
      <c r="MV58" s="84"/>
      <c r="MW58" s="84"/>
      <c r="MX58" s="1"/>
      <c r="MY58" s="84"/>
      <c r="MZ58" s="84"/>
      <c r="NA58" s="84"/>
      <c r="NB58" s="84"/>
      <c r="NC58" s="84"/>
      <c r="ND58" s="84"/>
      <c r="NE58" s="84"/>
      <c r="NF58" s="84"/>
      <c r="NH58" s="1"/>
      <c r="NI58" s="87"/>
      <c r="NJ58" s="87"/>
      <c r="NK58" s="86"/>
      <c r="NL58" s="68"/>
      <c r="NM58" s="1"/>
      <c r="NN58" s="16"/>
      <c r="NO58" s="16"/>
      <c r="NP58" s="50"/>
      <c r="NQ58" s="50"/>
      <c r="NR58" s="50"/>
      <c r="NS58" s="50"/>
      <c r="NT58" s="50"/>
      <c r="NU58" s="50"/>
      <c r="NV58" s="50"/>
      <c r="NW58" s="50"/>
      <c r="NX58" s="17"/>
      <c r="NY58" s="17"/>
      <c r="NZ58" s="17"/>
      <c r="OA58" s="17"/>
      <c r="OB58" s="20"/>
      <c r="OC58" s="30"/>
      <c r="OD58" s="30"/>
      <c r="OE58" s="30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/>
      <c r="PD58" s="16"/>
      <c r="PE58" s="16"/>
    </row>
    <row r="59" spans="2:421">
      <c r="B59" s="126" t="s">
        <v>31</v>
      </c>
      <c r="C59" s="129">
        <v>2.29</v>
      </c>
      <c r="D59" s="129">
        <v>2.5190000000000001</v>
      </c>
      <c r="E59" s="129">
        <v>2.5187481000000003</v>
      </c>
      <c r="F59" s="129">
        <v>2.72052</v>
      </c>
      <c r="G59" s="129">
        <v>3.264624</v>
      </c>
      <c r="LM59" s="1"/>
      <c r="LN59" s="80"/>
      <c r="LO59" s="1"/>
      <c r="LP59" s="84"/>
      <c r="LQ59" s="84"/>
      <c r="LR59" s="84"/>
      <c r="LS59" s="84"/>
      <c r="LT59" s="84"/>
      <c r="LU59" s="84"/>
      <c r="LV59" s="84"/>
      <c r="LW59" s="84"/>
      <c r="LX59" s="84"/>
      <c r="LY59" s="1"/>
      <c r="LZ59" s="84"/>
      <c r="MA59" s="84"/>
      <c r="MB59" s="84"/>
      <c r="MC59" s="84"/>
      <c r="MD59" s="84"/>
      <c r="ME59" s="84"/>
      <c r="MF59" s="84"/>
      <c r="MG59" s="84"/>
      <c r="MK59" s="137"/>
      <c r="ML59" s="1"/>
      <c r="MM59" s="80"/>
      <c r="MN59" s="1"/>
      <c r="MO59" s="84"/>
      <c r="MP59" s="84"/>
      <c r="MQ59" s="84"/>
      <c r="MR59" s="84"/>
      <c r="MS59" s="84"/>
      <c r="MT59" s="84"/>
      <c r="MU59" s="84"/>
      <c r="MV59" s="84"/>
      <c r="MW59" s="84"/>
      <c r="MX59" s="1"/>
      <c r="MY59" s="84"/>
      <c r="MZ59" s="84"/>
      <c r="NA59" s="84"/>
      <c r="NB59" s="84"/>
      <c r="NC59" s="84"/>
      <c r="ND59" s="84"/>
      <c r="NE59" s="84"/>
      <c r="NF59" s="84"/>
      <c r="NH59" s="1"/>
      <c r="NI59" s="87"/>
      <c r="NJ59" s="87"/>
      <c r="NK59" s="86"/>
      <c r="NL59" s="67"/>
      <c r="NM59" s="1"/>
      <c r="NN59" s="50"/>
      <c r="NO59" s="50"/>
      <c r="NP59" s="50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20"/>
      <c r="OC59" s="29"/>
      <c r="OD59" s="29"/>
      <c r="OE59" s="29"/>
      <c r="OF59" s="25"/>
      <c r="OG59" s="25"/>
      <c r="OH59" s="25"/>
      <c r="OI59" s="25"/>
      <c r="OJ59" s="25"/>
      <c r="OK59" s="25"/>
      <c r="OL59" s="25"/>
      <c r="OM59" s="25"/>
      <c r="ON59" s="25"/>
      <c r="OO59" s="25"/>
      <c r="OP59" s="25"/>
      <c r="OQ59" s="16"/>
      <c r="OR59" s="23"/>
      <c r="OS59" s="23"/>
      <c r="OT59" s="23"/>
      <c r="OU59" s="23"/>
      <c r="OV59" s="23"/>
      <c r="OW59" s="23"/>
      <c r="OX59" s="23"/>
      <c r="OY59" s="23"/>
      <c r="OZ59" s="23"/>
      <c r="PA59" s="23"/>
      <c r="PB59" s="23"/>
      <c r="PC59" s="23"/>
      <c r="PD59" s="23"/>
      <c r="PE59" s="23"/>
    </row>
    <row r="60" spans="2:421" ht="23.25">
      <c r="B60" s="126" t="s">
        <v>171</v>
      </c>
      <c r="C60" s="129">
        <v>1.5</v>
      </c>
      <c r="D60" s="129">
        <v>1.2</v>
      </c>
      <c r="E60" s="129">
        <v>1.1998799999999998</v>
      </c>
      <c r="F60" s="129">
        <v>1.2959999999999998</v>
      </c>
      <c r="G60" s="129">
        <v>1.5551999999999997</v>
      </c>
      <c r="LM60" s="1"/>
      <c r="LN60" s="80"/>
      <c r="LO60" s="1"/>
      <c r="LP60" s="84"/>
      <c r="LQ60" s="84"/>
      <c r="LR60" s="84"/>
      <c r="LS60" s="84"/>
      <c r="LT60" s="84"/>
      <c r="LU60" s="84"/>
      <c r="LV60" s="84"/>
      <c r="LW60" s="84"/>
      <c r="LX60" s="84"/>
      <c r="LY60" s="1"/>
      <c r="LZ60" s="84"/>
      <c r="MA60" s="84"/>
      <c r="MB60" s="84"/>
      <c r="MC60" s="84"/>
      <c r="MD60" s="84"/>
      <c r="ME60" s="84"/>
      <c r="MF60" s="84"/>
      <c r="MG60" s="84"/>
      <c r="MK60" s="137"/>
      <c r="ML60" s="1"/>
      <c r="MM60" s="80"/>
      <c r="MN60" s="1"/>
      <c r="MO60" s="84"/>
      <c r="MP60" s="84"/>
      <c r="MQ60" s="84"/>
      <c r="MR60" s="84"/>
      <c r="MS60" s="84"/>
      <c r="MT60" s="84"/>
      <c r="MU60" s="84"/>
      <c r="MV60" s="84"/>
      <c r="MW60" s="84"/>
      <c r="MX60" s="1"/>
      <c r="MY60" s="84"/>
      <c r="MZ60" s="84"/>
      <c r="NA60" s="84"/>
      <c r="NB60" s="84"/>
      <c r="NC60" s="84"/>
      <c r="ND60" s="84"/>
      <c r="NE60" s="84"/>
      <c r="NF60" s="84"/>
      <c r="NH60" s="1"/>
      <c r="NI60" s="100"/>
      <c r="NJ60" s="100"/>
      <c r="NK60" s="99"/>
      <c r="NL60" s="68"/>
      <c r="NM60" s="1"/>
      <c r="NN60" s="150"/>
      <c r="NO60" s="150"/>
      <c r="NP60" s="150"/>
      <c r="NQ60" s="151"/>
      <c r="NR60" s="151"/>
      <c r="NS60" s="151"/>
      <c r="NT60" s="151"/>
      <c r="NU60" s="151"/>
      <c r="NV60" s="151"/>
      <c r="NW60" s="151"/>
      <c r="NX60" s="151"/>
      <c r="NY60" s="151"/>
      <c r="NZ60" s="151"/>
      <c r="OA60" s="151"/>
      <c r="OB60" s="20"/>
      <c r="OC60" s="30"/>
      <c r="OD60" s="30"/>
      <c r="OE60" s="30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6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</row>
    <row r="61" spans="2:421">
      <c r="B61" s="127" t="s">
        <v>54</v>
      </c>
      <c r="C61" s="128">
        <v>1.97</v>
      </c>
      <c r="D61" s="128">
        <v>1.7730000000000001</v>
      </c>
      <c r="E61" s="128">
        <v>1.5758424000000002</v>
      </c>
      <c r="F61" s="128">
        <v>1.1347200000000002</v>
      </c>
      <c r="G61" s="128">
        <v>1.2481920000000002</v>
      </c>
      <c r="LM61" s="1"/>
      <c r="LN61" s="80"/>
      <c r="LO61" s="1"/>
      <c r="LP61" s="84"/>
      <c r="LQ61" s="84"/>
      <c r="LR61" s="84"/>
      <c r="LS61" s="84"/>
      <c r="LT61" s="84"/>
      <c r="LU61" s="84"/>
      <c r="LV61" s="84"/>
      <c r="LW61" s="84"/>
      <c r="LX61" s="84"/>
      <c r="LY61" s="1"/>
      <c r="LZ61" s="84"/>
      <c r="MA61" s="84"/>
      <c r="MB61" s="84"/>
      <c r="MC61" s="84"/>
      <c r="MD61" s="84"/>
      <c r="ME61" s="84"/>
      <c r="MF61" s="84"/>
      <c r="MG61" s="84"/>
      <c r="MK61" s="137"/>
      <c r="ML61" s="1"/>
      <c r="MM61" s="80"/>
      <c r="MN61" s="1"/>
      <c r="MO61" s="84"/>
      <c r="MP61" s="84"/>
      <c r="MQ61" s="84"/>
      <c r="MR61" s="84"/>
      <c r="MS61" s="84"/>
      <c r="MT61" s="84"/>
      <c r="MU61" s="84"/>
      <c r="MV61" s="84"/>
      <c r="MW61" s="84"/>
      <c r="MX61" s="1"/>
      <c r="MY61" s="84"/>
      <c r="MZ61" s="84"/>
      <c r="NA61" s="84"/>
      <c r="NB61" s="84"/>
      <c r="NC61" s="84"/>
      <c r="ND61" s="84"/>
      <c r="NE61" s="84"/>
      <c r="NF61" s="84"/>
      <c r="NH61" s="1"/>
      <c r="NI61" s="87"/>
      <c r="NJ61" s="87"/>
      <c r="NK61" s="86"/>
      <c r="NL61" s="68"/>
      <c r="NM61" s="1"/>
      <c r="NN61" s="16"/>
      <c r="NO61" s="16"/>
      <c r="NP61" s="50"/>
      <c r="NQ61" s="16"/>
      <c r="NR61" s="16"/>
      <c r="NS61" s="16"/>
      <c r="NT61" s="16"/>
      <c r="NU61" s="16"/>
      <c r="NV61" s="16"/>
      <c r="NW61" s="16"/>
      <c r="NX61" s="16"/>
      <c r="NY61" s="16"/>
      <c r="NZ61" s="16"/>
      <c r="OA61" s="16"/>
      <c r="OB61" s="20"/>
      <c r="OC61" s="30"/>
      <c r="OD61" s="30"/>
      <c r="OE61" s="30"/>
      <c r="OF61" s="30"/>
      <c r="OG61" s="30"/>
      <c r="OH61" s="30"/>
      <c r="OI61" s="30"/>
      <c r="OJ61" s="30"/>
      <c r="OK61" s="30"/>
      <c r="OL61" s="30"/>
      <c r="OM61" s="30"/>
      <c r="ON61" s="30"/>
      <c r="OO61" s="30"/>
      <c r="OP61" s="30"/>
      <c r="OQ61" s="16"/>
      <c r="OR61" s="16"/>
      <c r="OS61" s="16"/>
      <c r="OT61" s="16"/>
      <c r="OU61" s="16"/>
      <c r="OV61" s="16"/>
      <c r="OW61" s="16"/>
      <c r="OX61" s="16"/>
      <c r="OY61" s="16"/>
      <c r="OZ61" s="16"/>
      <c r="PA61" s="16"/>
      <c r="PB61" s="16"/>
      <c r="PC61" s="16"/>
      <c r="PD61" s="16"/>
      <c r="PE61" s="16"/>
    </row>
    <row r="62" spans="2:421">
      <c r="B62" s="127" t="s">
        <v>94</v>
      </c>
      <c r="C62" s="128">
        <v>1.53</v>
      </c>
      <c r="D62" s="128">
        <v>1.8359999999999999</v>
      </c>
      <c r="E62" s="128">
        <v>1.6318367999999999</v>
      </c>
      <c r="F62" s="128">
        <v>1.4687999999999999</v>
      </c>
      <c r="G62" s="128">
        <v>1.32192</v>
      </c>
      <c r="LM62" s="1"/>
      <c r="LN62" s="80"/>
      <c r="LO62" s="1"/>
      <c r="LP62" s="84"/>
      <c r="LQ62" s="84"/>
      <c r="LR62" s="84"/>
      <c r="LS62" s="84"/>
      <c r="LT62" s="84"/>
      <c r="LU62" s="84"/>
      <c r="LV62" s="84"/>
      <c r="LW62" s="84"/>
      <c r="LX62" s="84"/>
      <c r="LY62" s="1"/>
      <c r="LZ62" s="84"/>
      <c r="MA62" s="84"/>
      <c r="MB62" s="84"/>
      <c r="MC62" s="84"/>
      <c r="MD62" s="84"/>
      <c r="ME62" s="84"/>
      <c r="MF62" s="84"/>
      <c r="MG62" s="84"/>
      <c r="MK62" s="137"/>
      <c r="ML62" s="1"/>
      <c r="MM62" s="80"/>
      <c r="MN62" s="1"/>
      <c r="MO62" s="84"/>
      <c r="MP62" s="84"/>
      <c r="MQ62" s="84"/>
      <c r="MR62" s="84"/>
      <c r="MS62" s="84"/>
      <c r="MT62" s="84"/>
      <c r="MU62" s="84"/>
      <c r="MV62" s="84"/>
      <c r="MW62" s="84"/>
      <c r="MX62" s="1"/>
      <c r="MY62" s="84"/>
      <c r="MZ62" s="84"/>
      <c r="NA62" s="84"/>
      <c r="NB62" s="84"/>
      <c r="NC62" s="84"/>
      <c r="ND62" s="84"/>
      <c r="NE62" s="84"/>
      <c r="NF62" s="84"/>
      <c r="NH62" s="1"/>
      <c r="NI62" s="87"/>
      <c r="NJ62" s="87"/>
      <c r="NK62" s="86"/>
      <c r="NL62" s="68"/>
      <c r="NM62" s="1"/>
      <c r="NN62" s="16"/>
      <c r="NO62" s="16"/>
      <c r="NP62" s="50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20"/>
      <c r="OC62" s="30"/>
      <c r="OD62" s="30"/>
      <c r="OE62" s="30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/>
      <c r="PD62" s="16"/>
      <c r="PE62" s="16"/>
    </row>
    <row r="63" spans="2:421">
      <c r="B63" s="126" t="s">
        <v>147</v>
      </c>
      <c r="C63" s="141">
        <v>2.2599999999999998</v>
      </c>
      <c r="D63" s="141">
        <v>2.4859999999999998</v>
      </c>
      <c r="E63" s="141">
        <v>3.3143351999999995</v>
      </c>
      <c r="F63" s="141">
        <v>2.3865599999999998</v>
      </c>
      <c r="G63" s="141">
        <v>2.8638719999999998</v>
      </c>
      <c r="LM63" s="1"/>
      <c r="LN63" s="80"/>
      <c r="LO63" s="1"/>
      <c r="LP63" s="84"/>
      <c r="LQ63" s="84"/>
      <c r="LR63" s="84"/>
      <c r="LS63" s="84"/>
      <c r="LT63" s="84"/>
      <c r="LU63" s="84"/>
      <c r="LV63" s="84"/>
      <c r="LW63" s="84"/>
      <c r="LX63" s="84"/>
      <c r="LY63" s="1"/>
      <c r="LZ63" s="84"/>
      <c r="MA63" s="84"/>
      <c r="MB63" s="84"/>
      <c r="MC63" s="84"/>
      <c r="MD63" s="84"/>
      <c r="ME63" s="84"/>
      <c r="MF63" s="84"/>
      <c r="MG63" s="84"/>
      <c r="MK63" s="137"/>
      <c r="ML63" s="1"/>
      <c r="MM63" s="80"/>
      <c r="MN63" s="1"/>
      <c r="MO63" s="84"/>
      <c r="MP63" s="84"/>
      <c r="MQ63" s="84"/>
      <c r="MR63" s="84"/>
      <c r="MS63" s="84"/>
      <c r="MT63" s="84"/>
      <c r="MU63" s="84"/>
      <c r="MV63" s="84"/>
      <c r="MW63" s="84"/>
      <c r="MX63" s="1"/>
      <c r="MY63" s="84"/>
      <c r="MZ63" s="84"/>
      <c r="NA63" s="84"/>
      <c r="NB63" s="84"/>
      <c r="NC63" s="84"/>
      <c r="ND63" s="84"/>
      <c r="NE63" s="84"/>
      <c r="NF63" s="84"/>
      <c r="NH63" s="16"/>
      <c r="NI63" s="87"/>
      <c r="NJ63" s="87"/>
      <c r="NK63" s="86"/>
      <c r="NL63" s="68"/>
      <c r="NM63" s="1"/>
      <c r="NN63" s="16"/>
      <c r="NO63" s="16"/>
      <c r="NP63" s="50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20"/>
      <c r="OC63" s="30"/>
      <c r="OD63" s="30"/>
      <c r="OE63" s="30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6"/>
      <c r="OR63" s="16"/>
      <c r="OS63" s="16"/>
      <c r="OT63" s="16"/>
      <c r="OU63" s="16"/>
      <c r="OV63" s="16"/>
      <c r="OW63" s="16"/>
      <c r="OX63" s="16"/>
      <c r="OY63" s="16"/>
      <c r="OZ63" s="16"/>
      <c r="PA63" s="16"/>
      <c r="PB63" s="16"/>
      <c r="PC63" s="16"/>
      <c r="PD63" s="16"/>
      <c r="PE63" s="16"/>
    </row>
    <row r="64" spans="2:421" ht="34.5">
      <c r="B64" s="126" t="s">
        <v>173</v>
      </c>
      <c r="C64" s="129">
        <v>1.93</v>
      </c>
      <c r="D64" s="129">
        <v>1.544</v>
      </c>
      <c r="E64" s="129">
        <v>1.3723072000000001</v>
      </c>
      <c r="F64" s="129">
        <v>1.3587200000000001</v>
      </c>
      <c r="G64" s="129">
        <v>1.3587200000000001</v>
      </c>
      <c r="LM64" s="1"/>
      <c r="LN64" s="80"/>
      <c r="LO64" s="1"/>
      <c r="LP64" s="84"/>
      <c r="LQ64" s="84"/>
      <c r="LR64" s="84"/>
      <c r="LS64" s="84"/>
      <c r="LT64" s="84"/>
      <c r="LU64" s="84"/>
      <c r="LV64" s="84"/>
      <c r="LW64" s="84"/>
      <c r="LX64" s="84"/>
      <c r="LY64" s="1"/>
      <c r="LZ64" s="84"/>
      <c r="MA64" s="84"/>
      <c r="MB64" s="84"/>
      <c r="MC64" s="84"/>
      <c r="MD64" s="84"/>
      <c r="ME64" s="84"/>
      <c r="MF64" s="84"/>
      <c r="MG64" s="84"/>
      <c r="MK64" s="137"/>
      <c r="ML64" s="1"/>
      <c r="MM64" s="80"/>
      <c r="MN64" s="1"/>
      <c r="MO64" s="84"/>
      <c r="MP64" s="84"/>
      <c r="MQ64" s="84"/>
      <c r="MR64" s="84"/>
      <c r="MS64" s="84"/>
      <c r="MT64" s="84"/>
      <c r="MU64" s="84"/>
      <c r="MV64" s="84"/>
      <c r="MW64" s="84"/>
      <c r="MX64" s="1"/>
      <c r="MY64" s="84"/>
      <c r="MZ64" s="84"/>
      <c r="NA64" s="84"/>
      <c r="NB64" s="84"/>
      <c r="NC64" s="84"/>
      <c r="ND64" s="84"/>
      <c r="NE64" s="84"/>
      <c r="NF64" s="84"/>
      <c r="NH64" s="16"/>
      <c r="NI64" s="73"/>
      <c r="NJ64" s="87"/>
      <c r="NK64" s="86"/>
      <c r="NL64" s="68"/>
      <c r="NM64" s="1"/>
      <c r="NN64" s="16"/>
      <c r="NO64" s="16"/>
      <c r="NP64" s="50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20"/>
      <c r="OC64" s="30"/>
      <c r="OD64" s="30"/>
      <c r="OE64" s="30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6"/>
      <c r="OR64" s="16"/>
      <c r="OS64" s="16"/>
      <c r="OT64" s="16"/>
      <c r="OU64" s="16"/>
      <c r="OV64" s="16"/>
      <c r="OW64" s="16"/>
      <c r="OX64" s="16"/>
      <c r="OY64" s="16"/>
      <c r="OZ64" s="16"/>
      <c r="PA64" s="16"/>
      <c r="PB64" s="16"/>
      <c r="PC64" s="16"/>
      <c r="PD64" s="16"/>
      <c r="PE64" s="16"/>
    </row>
    <row r="65" spans="2:421" ht="23.25">
      <c r="B65" s="127" t="s">
        <v>120</v>
      </c>
      <c r="C65" s="133">
        <v>2.4</v>
      </c>
      <c r="D65" s="133">
        <v>1.92</v>
      </c>
      <c r="E65" s="133">
        <v>1.9198080000000002</v>
      </c>
      <c r="F65" s="133">
        <v>1.9008000000000003</v>
      </c>
      <c r="G65" s="133">
        <v>2.2809600000000003</v>
      </c>
      <c r="LM65" s="1"/>
      <c r="LN65" s="80"/>
      <c r="LO65" s="1"/>
      <c r="LP65" s="84"/>
      <c r="LQ65" s="84"/>
      <c r="LR65" s="84"/>
      <c r="LS65" s="84"/>
      <c r="LT65" s="84"/>
      <c r="LU65" s="84"/>
      <c r="LV65" s="84"/>
      <c r="LW65" s="84"/>
      <c r="LX65" s="84"/>
      <c r="LY65" s="81"/>
      <c r="LZ65" s="84"/>
      <c r="MA65" s="84"/>
      <c r="MB65" s="84"/>
      <c r="MC65" s="84"/>
      <c r="MD65" s="84"/>
      <c r="ME65" s="84"/>
      <c r="MF65" s="84"/>
      <c r="MG65" s="84"/>
      <c r="MK65" s="137"/>
      <c r="ML65" s="1"/>
      <c r="MM65" s="80"/>
      <c r="MN65" s="1"/>
      <c r="MO65" s="84"/>
      <c r="MP65" s="84"/>
      <c r="MQ65" s="84"/>
      <c r="MR65" s="84"/>
      <c r="MS65" s="84"/>
      <c r="MT65" s="84"/>
      <c r="MU65" s="84"/>
      <c r="MV65" s="84"/>
      <c r="MW65" s="84"/>
      <c r="MX65" s="1"/>
      <c r="MY65" s="84"/>
      <c r="MZ65" s="84"/>
      <c r="NA65" s="84"/>
      <c r="NB65" s="84"/>
      <c r="NC65" s="84"/>
      <c r="ND65" s="84"/>
      <c r="NE65" s="84"/>
      <c r="NF65" s="84"/>
      <c r="NH65" s="16"/>
      <c r="NI65" s="73"/>
      <c r="NJ65" s="86"/>
      <c r="NK65" s="86"/>
      <c r="NL65" s="67"/>
      <c r="NM65" s="1"/>
      <c r="NN65" s="23"/>
      <c r="NO65" s="23"/>
      <c r="NP65" s="51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20"/>
      <c r="OC65" s="29"/>
      <c r="OD65" s="29"/>
      <c r="OE65" s="29"/>
      <c r="OF65" s="25"/>
      <c r="OG65" s="25"/>
      <c r="OH65" s="25"/>
      <c r="OI65" s="25"/>
      <c r="OJ65" s="25"/>
      <c r="OK65" s="25"/>
      <c r="OL65" s="25"/>
      <c r="OM65" s="25"/>
      <c r="ON65" s="25"/>
      <c r="OO65" s="25"/>
      <c r="OP65" s="25"/>
      <c r="OQ65" s="16"/>
      <c r="OR65" s="23"/>
      <c r="OS65" s="23"/>
      <c r="OT65" s="23"/>
      <c r="OU65" s="23"/>
      <c r="OV65" s="23"/>
      <c r="OW65" s="23"/>
      <c r="OX65" s="23"/>
      <c r="OY65" s="23"/>
      <c r="OZ65" s="23"/>
      <c r="PA65" s="23"/>
      <c r="PB65" s="23"/>
      <c r="PC65" s="23"/>
      <c r="PD65" s="23"/>
      <c r="PE65" s="23"/>
    </row>
    <row r="66" spans="2:421">
      <c r="B66" s="127" t="s">
        <v>148</v>
      </c>
      <c r="C66" s="128">
        <v>2.31</v>
      </c>
      <c r="D66" s="128">
        <v>2.0789999999999997</v>
      </c>
      <c r="E66" s="128">
        <v>2.3097689999999997</v>
      </c>
      <c r="F66" s="128">
        <v>2.0789999999999997</v>
      </c>
      <c r="G66" s="128">
        <v>2.0789999999999997</v>
      </c>
      <c r="LM66" s="1"/>
      <c r="LN66" s="80"/>
      <c r="LO66" s="1"/>
      <c r="LP66" s="84"/>
      <c r="LQ66" s="84"/>
      <c r="LR66" s="84"/>
      <c r="LS66" s="84"/>
      <c r="LT66" s="84"/>
      <c r="LU66" s="84"/>
      <c r="LV66" s="84"/>
      <c r="LW66" s="84"/>
      <c r="LX66" s="84"/>
      <c r="LY66" s="81"/>
      <c r="LZ66" s="84"/>
      <c r="MA66" s="84"/>
      <c r="MB66" s="84"/>
      <c r="MC66" s="84"/>
      <c r="MD66" s="84"/>
      <c r="ME66" s="84"/>
      <c r="MF66" s="84"/>
      <c r="MG66" s="84"/>
      <c r="MK66" s="137"/>
      <c r="ML66" s="1"/>
      <c r="MM66" s="80"/>
      <c r="MN66" s="1"/>
      <c r="MO66" s="84"/>
      <c r="MP66" s="84"/>
      <c r="MQ66" s="84"/>
      <c r="MR66" s="84"/>
      <c r="MS66" s="84"/>
      <c r="MT66" s="84"/>
      <c r="MU66" s="84"/>
      <c r="MV66" s="84"/>
      <c r="MW66" s="84"/>
      <c r="MX66" s="1"/>
      <c r="MY66" s="84"/>
      <c r="MZ66" s="84"/>
      <c r="NA66" s="84"/>
      <c r="NB66" s="84"/>
      <c r="NC66" s="84"/>
      <c r="ND66" s="84"/>
      <c r="NE66" s="84"/>
      <c r="NF66" s="84"/>
      <c r="NH66" s="16"/>
      <c r="NI66" s="100"/>
      <c r="NJ66" s="100"/>
      <c r="NK66" s="99"/>
      <c r="NL66" s="68"/>
      <c r="NM66" s="1"/>
      <c r="NN66" s="16"/>
      <c r="NO66" s="16"/>
      <c r="NP66" s="50"/>
      <c r="NQ66" s="151"/>
      <c r="NR66" s="151"/>
      <c r="NS66" s="151"/>
      <c r="NT66" s="151"/>
      <c r="NU66" s="151"/>
      <c r="NV66" s="151"/>
      <c r="NW66" s="151"/>
      <c r="NX66" s="151"/>
      <c r="NY66" s="151"/>
      <c r="NZ66" s="151"/>
      <c r="OA66" s="151"/>
      <c r="OB66" s="20"/>
      <c r="OC66" s="30"/>
      <c r="OD66" s="30"/>
      <c r="OE66" s="30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6"/>
      <c r="OR66" s="16"/>
      <c r="OS66" s="16"/>
      <c r="OT66" s="16"/>
      <c r="OU66" s="16"/>
      <c r="OV66" s="16"/>
      <c r="OW66" s="16"/>
      <c r="OX66" s="16"/>
      <c r="OY66" s="16"/>
      <c r="OZ66" s="16"/>
      <c r="PA66" s="16"/>
      <c r="PB66" s="16"/>
      <c r="PC66" s="16"/>
      <c r="PD66" s="16"/>
      <c r="PE66" s="16"/>
    </row>
    <row r="67" spans="2:421">
      <c r="B67" s="127" t="s">
        <v>32</v>
      </c>
      <c r="C67" s="128">
        <v>2.11</v>
      </c>
      <c r="D67" s="128">
        <v>2.11</v>
      </c>
      <c r="E67" s="128">
        <v>2.8130519999999999</v>
      </c>
      <c r="F67" s="128">
        <v>2.0255999999999998</v>
      </c>
      <c r="G67" s="128">
        <v>2.0255999999999998</v>
      </c>
      <c r="LM67" s="1"/>
      <c r="LN67" s="80"/>
      <c r="LO67" s="1"/>
      <c r="LP67" s="84"/>
      <c r="LQ67" s="81"/>
      <c r="LR67" s="81"/>
      <c r="LS67" s="81"/>
      <c r="LT67" s="81"/>
      <c r="LU67" s="81"/>
      <c r="LV67" s="81"/>
      <c r="LW67" s="81"/>
      <c r="LX67" s="81"/>
      <c r="LY67" s="81"/>
      <c r="LZ67" s="84"/>
      <c r="MA67" s="81"/>
      <c r="MB67" s="81"/>
      <c r="MC67" s="81"/>
      <c r="MD67" s="81"/>
      <c r="ME67" s="81"/>
      <c r="MF67" s="81"/>
      <c r="MG67" s="81"/>
      <c r="MK67" s="137"/>
      <c r="ML67" s="1"/>
      <c r="MM67" s="80"/>
      <c r="MN67" s="1"/>
      <c r="MO67" s="84"/>
      <c r="MP67" s="84"/>
      <c r="MQ67" s="84"/>
      <c r="MR67" s="84"/>
      <c r="MS67" s="84"/>
      <c r="MT67" s="84"/>
      <c r="MU67" s="84"/>
      <c r="MV67" s="84"/>
      <c r="MW67" s="84"/>
      <c r="MX67" s="81"/>
      <c r="MY67" s="84"/>
      <c r="MZ67" s="84"/>
      <c r="NA67" s="84"/>
      <c r="NB67" s="84"/>
      <c r="NC67" s="84"/>
      <c r="ND67" s="84"/>
      <c r="NE67" s="84"/>
      <c r="NF67" s="84"/>
      <c r="NH67" s="16"/>
      <c r="NI67" s="87"/>
      <c r="NJ67" s="87"/>
      <c r="NK67" s="86"/>
      <c r="NL67" s="68"/>
      <c r="NM67" s="1"/>
      <c r="NN67" s="16"/>
      <c r="NO67" s="16"/>
      <c r="NP67" s="50"/>
      <c r="NQ67" s="16"/>
      <c r="NR67" s="16"/>
      <c r="NS67" s="16"/>
      <c r="NT67" s="16"/>
      <c r="NU67" s="16"/>
      <c r="NV67" s="16"/>
      <c r="NW67" s="16"/>
      <c r="NX67" s="16"/>
      <c r="NY67" s="16"/>
      <c r="NZ67" s="16"/>
      <c r="OA67" s="16"/>
      <c r="OB67" s="20"/>
      <c r="OC67" s="30"/>
      <c r="OD67" s="30"/>
      <c r="OE67" s="30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6"/>
      <c r="OR67" s="16"/>
      <c r="OS67" s="16"/>
      <c r="OT67" s="16"/>
      <c r="OU67" s="16"/>
      <c r="OV67" s="16"/>
      <c r="OW67" s="16"/>
      <c r="OX67" s="16"/>
      <c r="OY67" s="16"/>
      <c r="OZ67" s="16"/>
      <c r="PA67" s="16"/>
      <c r="PB67" s="16"/>
      <c r="PC67" s="16"/>
      <c r="PD67" s="16"/>
      <c r="PE67" s="16"/>
    </row>
    <row r="68" spans="2:421">
      <c r="B68" s="127" t="s">
        <v>14</v>
      </c>
      <c r="C68" s="128">
        <v>1.66</v>
      </c>
      <c r="D68" s="128">
        <v>1.3279999999999998</v>
      </c>
      <c r="E68" s="128">
        <v>1.6229487999999999</v>
      </c>
      <c r="F68" s="128">
        <v>1.6068799999999999</v>
      </c>
      <c r="G68" s="128">
        <v>1.285504</v>
      </c>
      <c r="LM68" s="1"/>
      <c r="LN68" s="89"/>
      <c r="LO68" s="1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K68" s="137"/>
      <c r="ML68" s="1"/>
      <c r="MM68" s="80"/>
      <c r="MN68" s="1"/>
      <c r="MO68" s="84"/>
      <c r="MP68" s="84"/>
      <c r="MQ68" s="84"/>
      <c r="MR68" s="84"/>
      <c r="MS68" s="84"/>
      <c r="MT68" s="84"/>
      <c r="MU68" s="84"/>
      <c r="MV68" s="84"/>
      <c r="MW68" s="84"/>
      <c r="MX68" s="81"/>
      <c r="MY68" s="84"/>
      <c r="MZ68" s="84"/>
      <c r="NA68" s="84"/>
      <c r="NB68" s="84"/>
      <c r="NC68" s="84"/>
      <c r="ND68" s="84"/>
      <c r="NE68" s="84"/>
      <c r="NF68" s="84"/>
      <c r="NH68" s="16"/>
      <c r="NI68" s="87"/>
      <c r="NJ68" s="87"/>
      <c r="NK68" s="86"/>
      <c r="NL68" s="68"/>
      <c r="NM68" s="1"/>
      <c r="NN68" s="16"/>
      <c r="NO68" s="16"/>
      <c r="NP68" s="50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20"/>
      <c r="OC68" s="30"/>
      <c r="OD68" s="30"/>
      <c r="OE68" s="30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/>
      <c r="PD68" s="16"/>
      <c r="PE68" s="16"/>
    </row>
    <row r="69" spans="2:421" ht="23.25">
      <c r="B69" s="127" t="s">
        <v>132</v>
      </c>
      <c r="C69" s="144">
        <v>1.26</v>
      </c>
      <c r="D69" s="144">
        <v>1.1339999999999999</v>
      </c>
      <c r="E69" s="144">
        <v>1.0078991999999998</v>
      </c>
      <c r="F69" s="144">
        <v>0.81647999999999998</v>
      </c>
      <c r="G69" s="144">
        <v>0.89812800000000004</v>
      </c>
      <c r="LM69" s="1"/>
      <c r="LN69" s="89"/>
      <c r="LO69" s="1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K69" s="137"/>
      <c r="ML69" s="1"/>
      <c r="MM69" s="80"/>
      <c r="MN69" s="1"/>
      <c r="MO69" s="84"/>
      <c r="MP69" s="81"/>
      <c r="MQ69" s="81"/>
      <c r="MR69" s="81"/>
      <c r="MS69" s="81"/>
      <c r="MT69" s="81"/>
      <c r="MU69" s="81"/>
      <c r="MV69" s="81"/>
      <c r="MW69" s="81"/>
      <c r="MX69" s="81"/>
      <c r="MY69" s="84"/>
      <c r="MZ69" s="81"/>
      <c r="NA69" s="81"/>
      <c r="NB69" s="81"/>
      <c r="NC69" s="81"/>
      <c r="ND69" s="81"/>
      <c r="NE69" s="81"/>
      <c r="NF69" s="81"/>
      <c r="NH69" s="16"/>
      <c r="NI69" s="73"/>
      <c r="NJ69" s="87"/>
      <c r="NK69" s="86"/>
      <c r="NL69" s="68"/>
      <c r="NM69" s="1"/>
      <c r="NN69" s="16"/>
      <c r="NO69" s="16"/>
      <c r="NP69" s="50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20"/>
      <c r="OC69" s="30"/>
      <c r="OD69" s="30"/>
      <c r="OE69" s="30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6"/>
      <c r="OR69" s="16"/>
      <c r="OS69" s="16"/>
      <c r="OT69" s="16"/>
      <c r="OU69" s="16"/>
      <c r="OV69" s="16"/>
      <c r="OW69" s="16"/>
      <c r="OX69" s="16"/>
      <c r="OY69" s="16"/>
      <c r="OZ69" s="16"/>
      <c r="PA69" s="16"/>
      <c r="PB69" s="16"/>
      <c r="PC69" s="16"/>
      <c r="PD69" s="16"/>
      <c r="PE69" s="16"/>
    </row>
    <row r="70" spans="2:421" ht="57">
      <c r="B70" s="126" t="s">
        <v>181</v>
      </c>
      <c r="C70" s="143">
        <v>1.48</v>
      </c>
      <c r="D70" s="143">
        <v>1.6280000000000001</v>
      </c>
      <c r="E70" s="143">
        <v>1.8087080000000002</v>
      </c>
      <c r="F70" s="143">
        <v>1.3024</v>
      </c>
      <c r="G70" s="143">
        <v>1.56288</v>
      </c>
      <c r="LM70" s="10"/>
      <c r="LN70" s="113"/>
      <c r="LO70" s="10"/>
      <c r="LP70" s="114"/>
      <c r="LQ70" s="114"/>
      <c r="LR70" s="114"/>
      <c r="LS70" s="114"/>
      <c r="LT70" s="114"/>
      <c r="LU70" s="114"/>
      <c r="LV70" s="114"/>
      <c r="LW70" s="114"/>
      <c r="LX70" s="114"/>
      <c r="LY70" s="114"/>
      <c r="LZ70" s="114"/>
      <c r="MA70" s="114"/>
      <c r="MB70" s="114"/>
      <c r="MC70" s="114"/>
      <c r="MD70" s="114"/>
      <c r="ME70" s="114"/>
      <c r="MF70" s="114"/>
      <c r="MG70" s="114"/>
      <c r="MK70" s="137"/>
      <c r="ML70" s="1"/>
      <c r="MM70" s="89"/>
      <c r="MN70" s="1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H70" s="16"/>
      <c r="NI70" s="73"/>
      <c r="NJ70" s="87"/>
      <c r="NK70" s="86"/>
      <c r="NL70" s="68"/>
      <c r="NM70" s="1"/>
      <c r="NN70" s="16"/>
      <c r="NO70" s="16"/>
      <c r="NP70" s="50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20"/>
      <c r="OC70" s="30"/>
      <c r="OD70" s="30"/>
      <c r="OE70" s="30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6"/>
      <c r="OR70" s="16"/>
      <c r="OS70" s="16"/>
      <c r="OT70" s="16"/>
      <c r="OU70" s="16"/>
      <c r="OV70" s="16"/>
      <c r="OW70" s="16"/>
      <c r="OX70" s="16"/>
      <c r="OY70" s="16"/>
      <c r="OZ70" s="16"/>
      <c r="PA70" s="16"/>
      <c r="PB70" s="16"/>
      <c r="PC70" s="16"/>
      <c r="PD70" s="16"/>
      <c r="PE70" s="16"/>
    </row>
    <row r="71" spans="2:421">
      <c r="B71" s="126" t="s">
        <v>125</v>
      </c>
      <c r="C71" s="141">
        <v>2.06</v>
      </c>
      <c r="D71" s="141">
        <v>2.266</v>
      </c>
      <c r="E71" s="141">
        <v>3.0210311999999999</v>
      </c>
      <c r="F71" s="141">
        <v>3.2630399999999993</v>
      </c>
      <c r="G71" s="141">
        <v>2.6104319999999994</v>
      </c>
      <c r="LM71" s="1"/>
      <c r="LN71" s="1"/>
      <c r="LO71" s="1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K71" s="137"/>
      <c r="ML71" s="1"/>
      <c r="MM71" s="89"/>
      <c r="MN71" s="1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H71" s="16"/>
      <c r="NI71" s="87"/>
      <c r="NJ71" s="87"/>
      <c r="NK71" s="86"/>
      <c r="NL71" s="68"/>
      <c r="NM71" s="1"/>
      <c r="NN71" s="16"/>
      <c r="NO71" s="16"/>
      <c r="NP71" s="50"/>
      <c r="NQ71" s="16"/>
      <c r="NR71" s="16"/>
      <c r="NS71" s="16"/>
      <c r="NT71" s="16"/>
      <c r="NU71" s="16"/>
      <c r="NV71" s="16"/>
      <c r="NW71" s="16"/>
      <c r="NX71" s="16"/>
      <c r="NY71" s="16"/>
      <c r="NZ71" s="16"/>
      <c r="OA71" s="16"/>
      <c r="OB71" s="20"/>
      <c r="OC71" s="30"/>
      <c r="OD71" s="30"/>
      <c r="OE71" s="30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6"/>
      <c r="OR71" s="16"/>
      <c r="OS71" s="16"/>
      <c r="OT71" s="16"/>
      <c r="OU71" s="16"/>
      <c r="OV71" s="16"/>
      <c r="OW71" s="16"/>
      <c r="OX71" s="16"/>
      <c r="OY71" s="16"/>
      <c r="OZ71" s="16"/>
      <c r="PA71" s="16"/>
      <c r="PB71" s="16"/>
      <c r="PC71" s="16"/>
      <c r="PD71" s="16"/>
      <c r="PE71" s="16"/>
    </row>
    <row r="72" spans="2:421">
      <c r="B72" s="127" t="s">
        <v>174</v>
      </c>
      <c r="C72" s="128">
        <v>1.41</v>
      </c>
      <c r="D72" s="128">
        <v>1.2689999999999999</v>
      </c>
      <c r="E72" s="128">
        <v>1.409859</v>
      </c>
      <c r="F72" s="128">
        <v>1.1420999999999999</v>
      </c>
      <c r="G72" s="128">
        <v>0.91367999999999994</v>
      </c>
      <c r="LM72" s="1"/>
      <c r="LN72" s="1"/>
      <c r="LO72" s="1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1"/>
      <c r="MA72" s="1"/>
      <c r="MB72" s="1"/>
      <c r="MC72" s="1"/>
      <c r="MD72" s="1"/>
      <c r="ME72" s="1"/>
      <c r="MF72" s="1"/>
      <c r="MG72" s="1"/>
      <c r="MK72" s="137"/>
      <c r="ML72" s="10"/>
      <c r="MM72" s="113"/>
      <c r="MN72" s="10"/>
      <c r="MO72" s="114"/>
      <c r="MP72" s="114"/>
      <c r="MQ72" s="114"/>
      <c r="MR72" s="114"/>
      <c r="MS72" s="114"/>
      <c r="MT72" s="114"/>
      <c r="MU72" s="114"/>
      <c r="MV72" s="114"/>
      <c r="MW72" s="114"/>
      <c r="MX72" s="114"/>
      <c r="MY72" s="114"/>
      <c r="MZ72" s="114"/>
      <c r="NA72" s="114"/>
      <c r="NB72" s="114"/>
      <c r="NC72" s="114"/>
      <c r="ND72" s="114"/>
      <c r="NE72" s="114"/>
      <c r="NF72" s="114"/>
      <c r="NH72" s="16"/>
      <c r="NI72" s="73"/>
      <c r="NJ72" s="87"/>
      <c r="NK72" s="86"/>
      <c r="NL72" s="68"/>
      <c r="NM72" s="1"/>
      <c r="NN72" s="16"/>
      <c r="NO72" s="16"/>
      <c r="NP72" s="50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20"/>
      <c r="OC72" s="30"/>
      <c r="OD72" s="30"/>
      <c r="OE72" s="30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6"/>
      <c r="OR72" s="16"/>
      <c r="OS72" s="16"/>
      <c r="OT72" s="16"/>
      <c r="OU72" s="16"/>
      <c r="OV72" s="16"/>
      <c r="OW72" s="16"/>
      <c r="OX72" s="16"/>
      <c r="OY72" s="16"/>
      <c r="OZ72" s="16"/>
      <c r="PA72" s="16"/>
      <c r="PB72" s="16"/>
      <c r="PC72" s="16"/>
      <c r="PD72" s="16"/>
      <c r="PE72" s="16"/>
    </row>
    <row r="73" spans="2:421">
      <c r="B73" s="127" t="s">
        <v>44</v>
      </c>
      <c r="C73" s="128">
        <v>2.29</v>
      </c>
      <c r="D73" s="128">
        <v>1.8320000000000001</v>
      </c>
      <c r="E73" s="128">
        <v>1.8318168000000001</v>
      </c>
      <c r="F73" s="128">
        <v>1.4839199999999999</v>
      </c>
      <c r="G73" s="128">
        <v>1.3355279999999998</v>
      </c>
      <c r="LM73" s="1"/>
      <c r="LN73" s="1"/>
      <c r="LO73" s="1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1"/>
      <c r="MA73" s="1"/>
      <c r="MB73" s="1"/>
      <c r="MC73" s="1"/>
      <c r="MD73" s="1"/>
      <c r="ME73" s="1"/>
      <c r="MF73" s="1"/>
      <c r="MG73" s="1"/>
      <c r="MK73" s="137"/>
      <c r="ML73" s="1"/>
      <c r="MM73" s="1"/>
      <c r="MN73" s="1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H73" s="16"/>
      <c r="NI73" s="73"/>
      <c r="NJ73" s="87"/>
      <c r="NK73" s="86"/>
      <c r="NL73" s="68"/>
      <c r="NM73" s="1"/>
      <c r="NN73" s="16"/>
      <c r="NO73" s="16"/>
      <c r="NP73" s="50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20"/>
      <c r="OC73" s="30"/>
      <c r="OD73" s="30"/>
      <c r="OE73" s="30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6"/>
      <c r="OR73" s="16"/>
      <c r="OS73" s="16"/>
      <c r="OT73" s="16"/>
      <c r="OU73" s="16"/>
      <c r="OV73" s="16"/>
      <c r="OW73" s="16"/>
      <c r="OX73" s="16"/>
      <c r="OY73" s="16"/>
      <c r="OZ73" s="16"/>
      <c r="PA73" s="16"/>
      <c r="PB73" s="16"/>
      <c r="PC73" s="16"/>
      <c r="PD73" s="16"/>
      <c r="PE73" s="16"/>
    </row>
    <row r="74" spans="2:421">
      <c r="B74" s="126" t="s">
        <v>9</v>
      </c>
      <c r="C74" s="129">
        <v>2.25</v>
      </c>
      <c r="D74" s="129">
        <v>2.25</v>
      </c>
      <c r="E74" s="129">
        <v>2.2497750000000001</v>
      </c>
      <c r="F74" s="129">
        <v>2.4299999999999997</v>
      </c>
      <c r="G74" s="129">
        <v>2.9159999999999995</v>
      </c>
      <c r="LM74" s="1"/>
      <c r="LN74" s="1"/>
      <c r="LO74" s="1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1"/>
      <c r="MA74" s="1"/>
      <c r="MB74" s="1"/>
      <c r="MC74" s="1"/>
      <c r="MD74" s="1"/>
      <c r="ME74" s="1"/>
      <c r="MF74" s="1"/>
      <c r="MG74" s="1"/>
      <c r="MK74" s="137"/>
      <c r="ML74" s="1"/>
      <c r="MM74" s="1"/>
      <c r="MN74" s="1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1"/>
      <c r="MZ74" s="1"/>
      <c r="NA74" s="1"/>
      <c r="NB74" s="1"/>
      <c r="NC74" s="1"/>
      <c r="ND74" s="1"/>
      <c r="NE74" s="1"/>
      <c r="NF74" s="1"/>
      <c r="NH74" s="16"/>
      <c r="NI74" s="73"/>
      <c r="NJ74" s="87"/>
      <c r="NK74" s="86"/>
      <c r="NL74" s="68"/>
      <c r="NM74" s="1"/>
      <c r="NN74" s="16"/>
      <c r="NO74" s="16"/>
      <c r="NP74" s="50"/>
      <c r="NQ74" s="16"/>
      <c r="NR74" s="16"/>
      <c r="NS74" s="16"/>
      <c r="NT74" s="16"/>
      <c r="NU74" s="16"/>
      <c r="NV74" s="16"/>
      <c r="NW74" s="16"/>
      <c r="NX74" s="16"/>
      <c r="NY74" s="16"/>
      <c r="NZ74" s="16"/>
      <c r="OA74" s="16"/>
      <c r="OB74" s="20"/>
      <c r="OC74" s="30"/>
      <c r="OD74" s="30"/>
      <c r="OE74" s="30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6"/>
      <c r="OR74" s="16"/>
      <c r="OS74" s="16"/>
      <c r="OT74" s="16"/>
      <c r="OU74" s="16"/>
      <c r="OV74" s="16"/>
      <c r="OW74" s="16"/>
      <c r="OX74" s="16"/>
      <c r="OY74" s="16"/>
      <c r="OZ74" s="16"/>
      <c r="PA74" s="16"/>
      <c r="PB74" s="16"/>
      <c r="PC74" s="16"/>
      <c r="PD74" s="16"/>
      <c r="PE74" s="16"/>
    </row>
    <row r="75" spans="2:421">
      <c r="B75" s="127" t="s">
        <v>96</v>
      </c>
      <c r="C75" s="128">
        <v>1.45</v>
      </c>
      <c r="D75" s="128">
        <v>1.1599999999999999</v>
      </c>
      <c r="E75" s="128">
        <v>1.1598840000000001</v>
      </c>
      <c r="F75" s="128">
        <v>0.83520000000000005</v>
      </c>
      <c r="G75" s="128">
        <v>0.83520000000000005</v>
      </c>
      <c r="LM75" s="1"/>
      <c r="LN75" s="1"/>
      <c r="LO75" s="1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1"/>
      <c r="MA75" s="1"/>
      <c r="MB75" s="1"/>
      <c r="MC75" s="1"/>
      <c r="MD75" s="1"/>
      <c r="ME75" s="1"/>
      <c r="MF75" s="1"/>
      <c r="MG75" s="1"/>
      <c r="MK75" s="137"/>
      <c r="ML75" s="1"/>
      <c r="MM75" s="1"/>
      <c r="MN75" s="1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1"/>
      <c r="MZ75" s="1"/>
      <c r="NA75" s="1"/>
      <c r="NB75" s="1"/>
      <c r="NC75" s="1"/>
      <c r="ND75" s="1"/>
      <c r="NE75" s="1"/>
      <c r="NF75" s="1"/>
      <c r="NH75" s="16"/>
      <c r="NI75" s="73"/>
      <c r="NJ75" s="87"/>
      <c r="NK75" s="86"/>
      <c r="NL75" s="68"/>
      <c r="NM75" s="1"/>
      <c r="NN75" s="16"/>
      <c r="NO75" s="16"/>
      <c r="NP75" s="50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20"/>
      <c r="OC75" s="30"/>
      <c r="OD75" s="30"/>
      <c r="OE75" s="30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6"/>
      <c r="OR75" s="16"/>
      <c r="OS75" s="16"/>
      <c r="OT75" s="16"/>
      <c r="OU75" s="16"/>
      <c r="OV75" s="16"/>
      <c r="OW75" s="16"/>
      <c r="OX75" s="16"/>
      <c r="OY75" s="16"/>
      <c r="OZ75" s="16"/>
      <c r="PA75" s="16"/>
      <c r="PB75" s="16"/>
      <c r="PC75" s="16"/>
      <c r="PD75" s="16"/>
      <c r="PE75" s="16"/>
    </row>
    <row r="76" spans="2:421">
      <c r="B76" s="126" t="s">
        <v>135</v>
      </c>
      <c r="C76" s="143">
        <v>2.15</v>
      </c>
      <c r="D76" s="143">
        <v>2.3649999999999998</v>
      </c>
      <c r="E76" s="143">
        <v>3.1530179999999994</v>
      </c>
      <c r="F76" s="143">
        <v>2.5541999999999998</v>
      </c>
      <c r="G76" s="143">
        <v>2.0433599999999998</v>
      </c>
      <c r="LM76" s="1"/>
      <c r="LN76" s="1"/>
      <c r="LO76" s="1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1"/>
      <c r="MA76" s="1"/>
      <c r="MB76" s="1"/>
      <c r="MC76" s="1"/>
      <c r="MD76" s="1"/>
      <c r="ME76" s="1"/>
      <c r="MF76" s="1"/>
      <c r="MG76" s="1"/>
      <c r="MK76" s="137"/>
      <c r="ML76" s="1"/>
      <c r="MM76" s="1"/>
      <c r="MN76" s="1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1"/>
      <c r="MZ76" s="1"/>
      <c r="NA76" s="1"/>
      <c r="NB76" s="1"/>
      <c r="NC76" s="1"/>
      <c r="ND76" s="1"/>
      <c r="NE76" s="1"/>
      <c r="NF76" s="1"/>
      <c r="NH76" s="16"/>
      <c r="NI76" s="73"/>
      <c r="NJ76" s="87"/>
      <c r="NK76" s="86"/>
      <c r="NL76" s="68"/>
      <c r="NM76" s="1"/>
      <c r="NN76" s="16"/>
      <c r="NO76" s="16"/>
      <c r="NP76" s="50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20"/>
      <c r="OC76" s="30"/>
      <c r="OD76" s="30"/>
      <c r="OE76" s="30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6"/>
      <c r="OR76" s="16"/>
      <c r="OS76" s="16"/>
      <c r="OT76" s="16"/>
      <c r="OU76" s="16"/>
      <c r="OV76" s="16"/>
      <c r="OW76" s="16"/>
      <c r="OX76" s="16"/>
      <c r="OY76" s="16"/>
      <c r="OZ76" s="16"/>
      <c r="PA76" s="16"/>
      <c r="PB76" s="16"/>
      <c r="PC76" s="16"/>
      <c r="PD76" s="16"/>
      <c r="PE76" s="16"/>
    </row>
    <row r="77" spans="2:421">
      <c r="B77" s="126" t="s">
        <v>41</v>
      </c>
      <c r="C77" s="142">
        <v>2.2799999999999998</v>
      </c>
      <c r="D77" s="142">
        <v>2.7359999999999998</v>
      </c>
      <c r="E77" s="142">
        <v>3.6476351999999994</v>
      </c>
      <c r="F77" s="142">
        <v>2.6265599999999996</v>
      </c>
      <c r="G77" s="142">
        <v>2.6265599999999996</v>
      </c>
      <c r="LM77" s="1"/>
      <c r="LN77" s="1"/>
      <c r="LO77" s="1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1"/>
      <c r="MA77" s="1"/>
      <c r="MB77" s="1"/>
      <c r="MC77" s="1"/>
      <c r="MD77" s="1"/>
      <c r="ME77" s="1"/>
      <c r="MF77" s="1"/>
      <c r="MG77" s="1"/>
      <c r="MK77" s="137"/>
      <c r="ML77" s="1"/>
      <c r="MM77" s="1"/>
      <c r="MN77" s="1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1"/>
      <c r="MZ77" s="1"/>
      <c r="NA77" s="1"/>
      <c r="NB77" s="1"/>
      <c r="NC77" s="1"/>
      <c r="ND77" s="1"/>
      <c r="NE77" s="1"/>
      <c r="NF77" s="1"/>
      <c r="NH77" s="16"/>
      <c r="NI77" s="73"/>
      <c r="NJ77" s="87"/>
      <c r="NK77" s="86"/>
      <c r="NL77" s="68"/>
      <c r="NM77" s="1"/>
      <c r="NN77" s="16"/>
      <c r="NO77" s="16"/>
      <c r="NP77" s="50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20"/>
      <c r="OC77" s="30"/>
      <c r="OD77" s="30"/>
      <c r="OE77" s="30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6"/>
      <c r="OR77" s="16"/>
      <c r="OS77" s="16"/>
      <c r="OT77" s="16"/>
      <c r="OU77" s="16"/>
      <c r="OV77" s="16"/>
      <c r="OW77" s="16"/>
      <c r="OX77" s="16"/>
      <c r="OY77" s="16"/>
      <c r="OZ77" s="16"/>
      <c r="PA77" s="16"/>
      <c r="PB77" s="16"/>
      <c r="PC77" s="16"/>
      <c r="PD77" s="16"/>
      <c r="PE77" s="16"/>
    </row>
    <row r="78" spans="2:421">
      <c r="B78" s="126" t="s">
        <v>127</v>
      </c>
      <c r="C78" s="143">
        <v>1.27</v>
      </c>
      <c r="D78" s="143">
        <v>1.27</v>
      </c>
      <c r="E78" s="143">
        <v>1.128776</v>
      </c>
      <c r="F78" s="143">
        <v>0.91439999999999999</v>
      </c>
      <c r="G78" s="143">
        <v>1.0058400000000001</v>
      </c>
      <c r="LM78" s="1"/>
      <c r="LN78" s="1"/>
      <c r="LO78" s="1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1"/>
      <c r="MA78" s="1"/>
      <c r="MB78" s="1"/>
      <c r="MC78" s="1"/>
      <c r="MD78" s="1"/>
      <c r="ME78" s="1"/>
      <c r="MF78" s="1"/>
      <c r="MG78" s="1"/>
      <c r="MK78" s="137"/>
      <c r="ML78" s="1"/>
      <c r="MM78" s="1"/>
      <c r="MN78" s="1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1"/>
      <c r="MZ78" s="1"/>
      <c r="NA78" s="1"/>
      <c r="NB78" s="1"/>
      <c r="NC78" s="1"/>
      <c r="ND78" s="1"/>
      <c r="NE78" s="1"/>
      <c r="NF78" s="1"/>
      <c r="NH78" s="16"/>
      <c r="NI78" s="152"/>
      <c r="NJ78" s="152"/>
      <c r="NK78" s="153"/>
      <c r="NL78" s="70"/>
      <c r="NM78" s="1"/>
      <c r="NN78" s="34"/>
      <c r="NO78" s="34"/>
      <c r="NP78" s="154"/>
      <c r="NQ78" s="35"/>
      <c r="NR78" s="35"/>
      <c r="NS78" s="35"/>
      <c r="NT78" s="35"/>
      <c r="NU78" s="35"/>
      <c r="NV78" s="35"/>
      <c r="NW78" s="35"/>
      <c r="NX78" s="35"/>
      <c r="NY78" s="35"/>
      <c r="NZ78" s="35"/>
      <c r="OA78" s="35"/>
      <c r="OB78" s="20"/>
      <c r="OC78" s="43"/>
      <c r="OD78" s="43"/>
      <c r="OE78" s="43"/>
      <c r="OF78" s="35"/>
      <c r="OG78" s="35"/>
      <c r="OH78" s="35"/>
      <c r="OI78" s="35"/>
      <c r="OJ78" s="35"/>
      <c r="OK78" s="35"/>
      <c r="OL78" s="35"/>
      <c r="OM78" s="35"/>
      <c r="ON78" s="35"/>
      <c r="OO78" s="35"/>
      <c r="OP78" s="35"/>
      <c r="OQ78" s="16"/>
      <c r="OR78" s="34"/>
      <c r="OS78" s="34"/>
      <c r="OT78" s="34"/>
      <c r="OU78" s="34"/>
      <c r="OV78" s="34"/>
      <c r="OW78" s="34"/>
      <c r="OX78" s="34"/>
      <c r="OY78" s="34"/>
      <c r="OZ78" s="34"/>
      <c r="PA78" s="34"/>
      <c r="PB78" s="34"/>
      <c r="PC78" s="34"/>
      <c r="PD78" s="34"/>
      <c r="PE78" s="34"/>
    </row>
    <row r="79" spans="2:421">
      <c r="B79" s="126" t="s">
        <v>117</v>
      </c>
      <c r="C79" s="129">
        <v>1.99</v>
      </c>
      <c r="D79" s="129">
        <v>1.5920000000000001</v>
      </c>
      <c r="E79" s="129">
        <v>1.5918408000000002</v>
      </c>
      <c r="F79" s="129">
        <v>1.71936</v>
      </c>
      <c r="G79" s="129">
        <v>1.375488</v>
      </c>
      <c r="LM79" s="1"/>
      <c r="LN79" s="1"/>
      <c r="LO79" s="1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1"/>
      <c r="MA79" s="1"/>
      <c r="MB79" s="1"/>
      <c r="MC79" s="1"/>
      <c r="MD79" s="1"/>
      <c r="ME79" s="1"/>
      <c r="MF79" s="1"/>
      <c r="MG79" s="1"/>
      <c r="MK79" s="137"/>
      <c r="ML79" s="1"/>
      <c r="MM79" s="1"/>
      <c r="MN79" s="1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1"/>
      <c r="MZ79" s="1"/>
      <c r="NA79" s="1"/>
      <c r="NB79" s="1"/>
      <c r="NC79" s="1"/>
      <c r="ND79" s="1"/>
      <c r="NE79" s="1"/>
      <c r="NF79" s="1"/>
      <c r="NH79" s="1"/>
      <c r="NI79" s="100"/>
      <c r="NJ79" s="100"/>
      <c r="NK79" s="99"/>
      <c r="NL79" s="94"/>
      <c r="NM79" s="1"/>
      <c r="NN79" s="97"/>
      <c r="NO79" s="97"/>
      <c r="NP79" s="97"/>
      <c r="NQ79" s="97"/>
      <c r="NR79" s="97"/>
      <c r="NS79" s="97"/>
      <c r="NT79" s="97"/>
      <c r="NU79" s="97"/>
      <c r="NV79" s="97"/>
      <c r="NW79" s="97"/>
      <c r="NX79" s="97"/>
      <c r="NY79" s="97"/>
      <c r="NZ79" s="97"/>
      <c r="OA79" s="97"/>
      <c r="OB79" s="20"/>
      <c r="OC79" s="101"/>
      <c r="OD79" s="101"/>
      <c r="OE79" s="101"/>
      <c r="OF79" s="97"/>
      <c r="OG79" s="97"/>
      <c r="OH79" s="97"/>
      <c r="OI79" s="97"/>
      <c r="OJ79" s="97"/>
      <c r="OK79" s="97"/>
      <c r="OL79" s="97"/>
      <c r="OM79" s="97"/>
      <c r="ON79" s="97"/>
      <c r="OO79" s="97"/>
      <c r="OP79" s="97"/>
      <c r="OQ79" s="16"/>
      <c r="OR79" s="97"/>
      <c r="OS79" s="97"/>
      <c r="OT79" s="97"/>
      <c r="OU79" s="97"/>
      <c r="OV79" s="97"/>
      <c r="OW79" s="97"/>
      <c r="OX79" s="97"/>
      <c r="OY79" s="97"/>
      <c r="OZ79" s="97"/>
      <c r="PA79" s="97"/>
      <c r="PB79" s="97"/>
      <c r="PC79" s="97"/>
      <c r="PD79" s="97"/>
      <c r="PE79" s="97"/>
    </row>
    <row r="80" spans="2:421">
      <c r="B80" s="127" t="s">
        <v>164</v>
      </c>
      <c r="C80" s="128">
        <v>1.9</v>
      </c>
      <c r="D80" s="128">
        <v>2.2799999999999998</v>
      </c>
      <c r="E80" s="128">
        <v>2.2797719999999999</v>
      </c>
      <c r="F80" s="128">
        <v>2.052</v>
      </c>
      <c r="G80" s="128">
        <v>1.6415999999999999</v>
      </c>
      <c r="LM80" s="1"/>
      <c r="LN80" s="1"/>
      <c r="LO80" s="1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1"/>
      <c r="MA80" s="1"/>
      <c r="MB80" s="1"/>
      <c r="MC80" s="1"/>
      <c r="MD80" s="1"/>
      <c r="ME80" s="1"/>
      <c r="MF80" s="1"/>
      <c r="MG80" s="1"/>
      <c r="MK80" s="137"/>
      <c r="ML80" s="1"/>
      <c r="MM80" s="1"/>
      <c r="MN80" s="1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1"/>
      <c r="MZ80" s="1"/>
      <c r="NA80" s="1"/>
      <c r="NB80" s="1"/>
      <c r="NC80" s="1"/>
      <c r="ND80" s="1"/>
      <c r="NE80" s="1"/>
      <c r="NF80" s="1"/>
      <c r="NH80" s="1"/>
      <c r="NI80" s="87"/>
      <c r="NJ80" s="87"/>
      <c r="NK80" s="86"/>
      <c r="NL80" s="93"/>
      <c r="NM80" s="1"/>
      <c r="NN80" s="74"/>
      <c r="NO80" s="74"/>
      <c r="NP80" s="74"/>
      <c r="NQ80" s="74"/>
      <c r="NR80" s="74"/>
      <c r="NS80" s="74"/>
      <c r="NT80" s="74"/>
      <c r="NU80" s="74"/>
      <c r="NV80" s="74"/>
      <c r="NW80" s="74"/>
      <c r="NX80" s="74"/>
      <c r="NY80" s="74"/>
      <c r="NZ80" s="74"/>
      <c r="OA80" s="74"/>
      <c r="OB80" s="20"/>
      <c r="OC80" s="76"/>
      <c r="OD80" s="76"/>
      <c r="OE80" s="76"/>
      <c r="OF80" s="74"/>
      <c r="OG80" s="74"/>
      <c r="OH80" s="74"/>
      <c r="OI80" s="74"/>
      <c r="OJ80" s="74"/>
      <c r="OK80" s="74"/>
      <c r="OL80" s="74"/>
      <c r="OM80" s="74"/>
      <c r="ON80" s="74"/>
      <c r="OO80" s="74"/>
      <c r="OP80" s="74"/>
      <c r="OQ80" s="16"/>
      <c r="OR80" s="74"/>
      <c r="OS80" s="74"/>
      <c r="OT80" s="74"/>
      <c r="OU80" s="74"/>
      <c r="OV80" s="74"/>
      <c r="OW80" s="74"/>
      <c r="OX80" s="74"/>
      <c r="OY80" s="74"/>
      <c r="OZ80" s="74"/>
      <c r="PA80" s="74"/>
      <c r="PB80" s="74"/>
      <c r="PC80" s="74"/>
      <c r="PD80" s="74"/>
      <c r="PE80" s="74"/>
    </row>
    <row r="81" spans="2:421" ht="15.75" thickBot="1">
      <c r="B81" s="126" t="s">
        <v>165</v>
      </c>
      <c r="C81" s="129">
        <v>1.96</v>
      </c>
      <c r="D81" s="129">
        <v>2.1559999999999997</v>
      </c>
      <c r="E81" s="129">
        <v>1.9162527999999996</v>
      </c>
      <c r="F81" s="129">
        <v>2.0697599999999996</v>
      </c>
      <c r="G81" s="129">
        <v>2.2767359999999996</v>
      </c>
      <c r="LM81" s="1"/>
      <c r="LN81" s="1"/>
      <c r="LO81" s="1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1"/>
      <c r="MA81" s="1"/>
      <c r="MB81" s="1"/>
      <c r="MC81" s="1"/>
      <c r="MD81" s="1"/>
      <c r="ME81" s="1"/>
      <c r="MF81" s="1"/>
      <c r="MG81" s="1"/>
      <c r="MK81" s="137"/>
      <c r="ML81" s="1"/>
      <c r="MM81" s="1"/>
      <c r="MN81" s="1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1"/>
      <c r="MZ81" s="1"/>
      <c r="NA81" s="1"/>
      <c r="NB81" s="1"/>
      <c r="NC81" s="1"/>
      <c r="ND81" s="1"/>
      <c r="NE81" s="1"/>
      <c r="NF81" s="1"/>
      <c r="NH81" s="1"/>
      <c r="NI81" s="155"/>
      <c r="NJ81" s="155"/>
      <c r="NK81" s="156"/>
      <c r="NL81" s="157"/>
      <c r="NM81" s="1"/>
      <c r="NN81" s="158"/>
      <c r="NO81" s="158"/>
      <c r="NP81" s="159"/>
      <c r="NQ81" s="158"/>
      <c r="NR81" s="158"/>
      <c r="NS81" s="158"/>
      <c r="NT81" s="158"/>
      <c r="NU81" s="158"/>
      <c r="NV81" s="158"/>
      <c r="NW81" s="158"/>
      <c r="NX81" s="158"/>
      <c r="NY81" s="158"/>
      <c r="NZ81" s="158"/>
      <c r="OA81" s="158"/>
      <c r="OB81" s="20"/>
      <c r="OC81" s="159"/>
      <c r="OD81" s="159"/>
      <c r="OE81" s="159"/>
      <c r="OF81" s="158"/>
      <c r="OG81" s="158"/>
      <c r="OH81" s="158"/>
      <c r="OI81" s="158"/>
      <c r="OJ81" s="158"/>
      <c r="OK81" s="158"/>
      <c r="OL81" s="158"/>
      <c r="OM81" s="158"/>
      <c r="ON81" s="158"/>
      <c r="OO81" s="158"/>
      <c r="OP81" s="158"/>
      <c r="OQ81" s="16"/>
      <c r="OR81" s="158"/>
      <c r="OS81" s="158"/>
      <c r="OT81" s="158"/>
      <c r="OU81" s="158"/>
      <c r="OV81" s="158"/>
      <c r="OW81" s="158"/>
      <c r="OX81" s="158"/>
      <c r="OY81" s="158"/>
      <c r="OZ81" s="158"/>
      <c r="PA81" s="158"/>
      <c r="PB81" s="158"/>
      <c r="PC81" s="158"/>
      <c r="PD81" s="158"/>
      <c r="PE81" s="158"/>
    </row>
    <row r="82" spans="2:421" ht="15.75" thickTop="1">
      <c r="B82" s="127" t="s">
        <v>136</v>
      </c>
      <c r="C82" s="140">
        <v>1.62</v>
      </c>
      <c r="D82" s="140">
        <v>1.9440000000000002</v>
      </c>
      <c r="E82" s="140">
        <v>1.7278272000000001</v>
      </c>
      <c r="F82" s="140">
        <v>1.2441600000000002</v>
      </c>
      <c r="G82" s="140">
        <v>0.9953280000000001</v>
      </c>
      <c r="LM82" s="1"/>
      <c r="LN82" s="1"/>
      <c r="LO82" s="1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1"/>
      <c r="MA82" s="1"/>
      <c r="MB82" s="1"/>
      <c r="MC82" s="1"/>
      <c r="MD82" s="1"/>
      <c r="ME82" s="1"/>
      <c r="MF82" s="1"/>
      <c r="MG82" s="1"/>
      <c r="MK82" s="137"/>
      <c r="ML82" s="1"/>
      <c r="MM82" s="1"/>
      <c r="MN82" s="1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1"/>
      <c r="MZ82" s="1"/>
      <c r="NA82" s="1"/>
      <c r="NB82" s="1"/>
      <c r="NC82" s="1"/>
      <c r="ND82" s="1"/>
      <c r="NE82" s="1"/>
      <c r="NF82" s="1"/>
      <c r="NH82" s="1"/>
      <c r="NI82" s="7"/>
      <c r="NJ82" s="7"/>
      <c r="NK82" s="7"/>
      <c r="NL82" s="9"/>
      <c r="NM82" s="1"/>
      <c r="NN82" s="16"/>
      <c r="NO82" s="16"/>
      <c r="NP82" s="44"/>
      <c r="NQ82" s="16"/>
      <c r="NR82" s="16"/>
      <c r="NS82" s="16"/>
      <c r="NT82" s="16"/>
      <c r="NU82" s="16"/>
      <c r="NV82" s="16"/>
      <c r="NW82" s="16"/>
      <c r="NX82" s="16"/>
      <c r="NY82" s="16"/>
      <c r="NZ82" s="16"/>
      <c r="OA82" s="16"/>
      <c r="OB82" s="16"/>
      <c r="OC82" s="16"/>
      <c r="OD82" s="16"/>
      <c r="OE82" s="16"/>
      <c r="OF82" s="16"/>
      <c r="OG82" s="16"/>
      <c r="OH82" s="16"/>
      <c r="OI82" s="16"/>
      <c r="OJ82" s="16"/>
      <c r="OK82" s="16"/>
      <c r="OL82" s="16"/>
      <c r="OM82" s="16"/>
      <c r="ON82" s="16"/>
      <c r="OO82" s="16"/>
      <c r="OP82" s="16"/>
      <c r="OQ82" s="16"/>
      <c r="OR82" s="16"/>
      <c r="OS82" s="16"/>
      <c r="OT82" s="16"/>
      <c r="OU82" s="16"/>
      <c r="OV82" s="16"/>
      <c r="OW82" s="16"/>
      <c r="OX82" s="16"/>
      <c r="OY82" s="16"/>
      <c r="OZ82" s="16"/>
      <c r="PA82" s="16"/>
      <c r="PB82" s="16"/>
      <c r="PC82" s="16"/>
      <c r="PD82" s="16"/>
      <c r="PE82" s="16"/>
    </row>
    <row r="83" spans="2:421">
      <c r="B83" s="126" t="s">
        <v>163</v>
      </c>
      <c r="C83" s="129">
        <v>1.75</v>
      </c>
      <c r="D83" s="129">
        <v>1.575</v>
      </c>
      <c r="E83" s="129">
        <v>1.5748424999999999</v>
      </c>
      <c r="F83" s="129">
        <v>1.55925</v>
      </c>
      <c r="G83" s="129">
        <v>1.8710999999999998</v>
      </c>
      <c r="LM83" s="1"/>
      <c r="LN83" s="1"/>
      <c r="LO83" s="1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1"/>
      <c r="MA83" s="1"/>
      <c r="MB83" s="1"/>
      <c r="MC83" s="1"/>
      <c r="MD83" s="1"/>
      <c r="ME83" s="1"/>
      <c r="MF83" s="1"/>
      <c r="MG83" s="1"/>
      <c r="MK83" s="137"/>
      <c r="ML83" s="1"/>
      <c r="MM83" s="1"/>
      <c r="MN83" s="1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1"/>
      <c r="MZ83" s="1"/>
      <c r="NA83" s="1"/>
      <c r="NB83" s="1"/>
      <c r="NC83" s="1"/>
      <c r="ND83" s="1"/>
      <c r="NE83" s="1"/>
      <c r="NF83" s="1"/>
      <c r="NH83" s="14"/>
      <c r="NI83" s="14"/>
      <c r="NJ83" s="14"/>
      <c r="NK83" s="14"/>
      <c r="NL83" s="65"/>
      <c r="NM83" s="1"/>
      <c r="NN83" s="59"/>
      <c r="NO83" s="14"/>
      <c r="NP83" s="14"/>
      <c r="NQ83" s="14"/>
      <c r="NR83" s="14"/>
      <c r="NS83" s="14"/>
      <c r="NT83" s="14"/>
      <c r="NU83" s="14"/>
      <c r="NV83" s="14"/>
      <c r="NW83" s="14"/>
      <c r="NX83" s="14"/>
      <c r="NY83" s="14"/>
      <c r="NZ83" s="14"/>
      <c r="OA83" s="14"/>
      <c r="OB83" s="1"/>
      <c r="OC83" s="14"/>
      <c r="OD83" s="14"/>
      <c r="OE83" s="14"/>
      <c r="OF83" s="14"/>
      <c r="OG83" s="14"/>
      <c r="OH83" s="14"/>
      <c r="OI83" s="14"/>
      <c r="OJ83" s="14"/>
      <c r="OK83" s="14"/>
      <c r="OL83" s="14"/>
      <c r="OM83" s="14"/>
      <c r="ON83" s="14"/>
      <c r="OO83" s="14"/>
      <c r="OP83" s="14"/>
      <c r="OQ83" s="1"/>
      <c r="OR83" s="14"/>
      <c r="OS83" s="14"/>
      <c r="OT83" s="14"/>
      <c r="OU83" s="14"/>
      <c r="OV83" s="14"/>
      <c r="OW83" s="14"/>
      <c r="OX83" s="14"/>
      <c r="OY83" s="14"/>
      <c r="OZ83" s="14"/>
      <c r="PA83" s="14"/>
      <c r="PB83" s="14"/>
      <c r="PC83" s="14"/>
      <c r="PD83" s="14"/>
      <c r="PE83" s="14"/>
    </row>
    <row r="84" spans="2:421">
      <c r="B84" s="126" t="s">
        <v>153</v>
      </c>
      <c r="C84" s="129">
        <v>1.97</v>
      </c>
      <c r="D84" s="129">
        <v>1.5760000000000001</v>
      </c>
      <c r="E84" s="129">
        <v>1.4007488000000001</v>
      </c>
      <c r="F84" s="129">
        <v>1.2608000000000001</v>
      </c>
      <c r="G84" s="129">
        <v>1.5129600000000001</v>
      </c>
      <c r="LM84" s="1"/>
      <c r="LN84" s="1"/>
      <c r="LO84" s="1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1"/>
      <c r="MA84" s="1"/>
      <c r="MB84" s="1"/>
      <c r="MC84" s="1"/>
      <c r="MD84" s="1"/>
      <c r="ME84" s="1"/>
      <c r="MF84" s="1"/>
      <c r="MG84" s="1"/>
      <c r="MK84" s="137"/>
      <c r="ML84" s="1"/>
      <c r="MM84" s="1"/>
      <c r="MN84" s="1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1"/>
      <c r="MZ84" s="1"/>
      <c r="NA84" s="1"/>
      <c r="NB84" s="1"/>
      <c r="NC84" s="1"/>
      <c r="ND84" s="1"/>
      <c r="NE84" s="1"/>
      <c r="NF84" s="1"/>
      <c r="NH84" s="1"/>
      <c r="NI84" s="73"/>
      <c r="NJ84" s="73"/>
      <c r="NK84" s="73"/>
      <c r="NL84" s="68"/>
      <c r="NM84" s="1"/>
      <c r="NN84" s="57"/>
      <c r="NO84" s="16"/>
      <c r="NP84" s="16"/>
      <c r="NQ84" s="16"/>
      <c r="NR84" s="16"/>
      <c r="NS84" s="16"/>
      <c r="NT84" s="16"/>
      <c r="NU84" s="16"/>
      <c r="NV84" s="16"/>
      <c r="NW84" s="16"/>
      <c r="NX84" s="16"/>
      <c r="NY84" s="16"/>
      <c r="NZ84" s="16"/>
      <c r="OA84" s="16"/>
      <c r="OB84" s="16"/>
      <c r="OC84" s="16"/>
      <c r="OD84" s="16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11"/>
      <c r="OP84" s="17"/>
      <c r="OQ84" s="16"/>
      <c r="OR84" s="16"/>
      <c r="OS84" s="16"/>
      <c r="OT84" s="16"/>
      <c r="OU84" s="16"/>
      <c r="OV84" s="16"/>
      <c r="OW84" s="16"/>
      <c r="OX84" s="16"/>
      <c r="OY84" s="16"/>
      <c r="OZ84" s="16"/>
      <c r="PA84" s="16"/>
      <c r="PB84" s="16"/>
      <c r="PC84" s="16"/>
      <c r="PD84" s="16"/>
      <c r="PE84" s="16"/>
    </row>
    <row r="85" spans="2:421" ht="23.25">
      <c r="B85" s="127" t="s">
        <v>76</v>
      </c>
      <c r="C85" s="128">
        <v>1.51</v>
      </c>
      <c r="D85" s="128">
        <v>1.359</v>
      </c>
      <c r="E85" s="128">
        <v>1.3588641000000001</v>
      </c>
      <c r="F85" s="128">
        <v>1.1007900000000002</v>
      </c>
      <c r="G85" s="128">
        <v>1.3209480000000002</v>
      </c>
      <c r="LM85" s="1"/>
      <c r="LN85" s="1"/>
      <c r="LO85" s="1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1"/>
      <c r="MA85" s="1"/>
      <c r="MB85" s="1"/>
      <c r="MC85" s="1"/>
      <c r="MD85" s="1"/>
      <c r="ME85" s="1"/>
      <c r="MF85" s="1"/>
      <c r="MG85" s="1"/>
      <c r="MK85" s="137"/>
      <c r="ML85" s="1"/>
      <c r="MM85" s="1"/>
      <c r="MN85" s="1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1"/>
      <c r="MZ85" s="1"/>
      <c r="NA85" s="1"/>
      <c r="NB85" s="1"/>
      <c r="NC85" s="1"/>
      <c r="ND85" s="1"/>
      <c r="NE85" s="1"/>
      <c r="NF85" s="1"/>
      <c r="NH85" s="1"/>
      <c r="NI85" s="73"/>
      <c r="NJ85" s="73"/>
      <c r="NK85" s="73"/>
      <c r="NL85" s="68"/>
      <c r="NM85" s="1"/>
      <c r="NN85" s="57"/>
      <c r="NO85" s="16"/>
      <c r="NP85" s="16"/>
      <c r="NQ85" s="16"/>
      <c r="NR85" s="16"/>
      <c r="NS85" s="16"/>
      <c r="NT85" s="16"/>
      <c r="NU85" s="16"/>
      <c r="NV85" s="16"/>
      <c r="NW85" s="16"/>
      <c r="NX85" s="16"/>
      <c r="NY85" s="16"/>
      <c r="NZ85" s="16"/>
      <c r="OA85" s="16"/>
      <c r="OB85" s="16"/>
      <c r="OC85" s="16"/>
      <c r="OD85" s="16"/>
      <c r="OE85" s="16"/>
      <c r="OF85" s="16"/>
      <c r="OG85" s="16"/>
      <c r="OH85" s="16"/>
      <c r="OI85" s="16"/>
      <c r="OJ85" s="16"/>
      <c r="OK85" s="16"/>
      <c r="OL85" s="16"/>
      <c r="OM85" s="16"/>
      <c r="ON85" s="16"/>
      <c r="OO85" s="16"/>
      <c r="OP85" s="16"/>
      <c r="OQ85" s="16"/>
      <c r="OR85" s="16"/>
      <c r="OS85" s="16"/>
      <c r="OT85" s="16"/>
      <c r="OU85" s="16"/>
      <c r="OV85" s="16"/>
      <c r="OW85" s="16"/>
      <c r="OX85" s="16"/>
      <c r="OY85" s="16"/>
      <c r="OZ85" s="16"/>
      <c r="PA85" s="16"/>
      <c r="PB85" s="16"/>
      <c r="PC85" s="16"/>
      <c r="PD85" s="16"/>
      <c r="PE85" s="16"/>
    </row>
    <row r="86" spans="2:421">
      <c r="B86" s="127" t="s">
        <v>52</v>
      </c>
      <c r="C86" s="128">
        <v>2.19</v>
      </c>
      <c r="D86" s="128">
        <v>2.19</v>
      </c>
      <c r="E86" s="128">
        <v>2.189781</v>
      </c>
      <c r="F86" s="128">
        <v>2.3652000000000002</v>
      </c>
      <c r="G86" s="128">
        <v>2.8382400000000003</v>
      </c>
      <c r="LM86" s="1"/>
      <c r="LN86" s="1"/>
      <c r="LO86" s="1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1"/>
      <c r="MA86" s="1"/>
      <c r="MB86" s="1"/>
      <c r="MC86" s="1"/>
      <c r="MD86" s="1"/>
      <c r="ME86" s="1"/>
      <c r="MF86" s="1"/>
      <c r="MG86" s="1"/>
      <c r="MK86" s="137"/>
      <c r="ML86" s="1"/>
      <c r="MM86" s="1"/>
      <c r="MN86" s="1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1"/>
      <c r="MZ86" s="1"/>
      <c r="NA86" s="1"/>
      <c r="NB86" s="1"/>
      <c r="NC86" s="1"/>
      <c r="ND86" s="1"/>
      <c r="NE86" s="1"/>
      <c r="NF86" s="1"/>
      <c r="NH86" s="1"/>
      <c r="NI86" s="73"/>
      <c r="NJ86" s="73"/>
      <c r="NK86" s="73"/>
      <c r="NL86" s="68"/>
      <c r="NM86" s="1"/>
      <c r="NN86" s="58"/>
      <c r="NO86" s="16"/>
      <c r="NP86" s="2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6"/>
      <c r="OC86" s="27"/>
      <c r="OD86" s="27"/>
      <c r="OE86" s="2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6"/>
      <c r="OR86" s="16"/>
      <c r="OS86" s="16"/>
      <c r="OT86" s="16"/>
      <c r="OU86" s="16"/>
      <c r="OV86" s="16"/>
      <c r="OW86" s="16"/>
      <c r="OX86" s="16"/>
      <c r="OY86" s="16"/>
      <c r="OZ86" s="16"/>
      <c r="PA86" s="16"/>
      <c r="PB86" s="16"/>
      <c r="PC86" s="16"/>
      <c r="PD86" s="16"/>
      <c r="PE86" s="16"/>
    </row>
    <row r="87" spans="2:421">
      <c r="B87" s="126" t="s">
        <v>113</v>
      </c>
      <c r="C87" s="129">
        <v>1.32</v>
      </c>
      <c r="D87" s="129">
        <v>1.056</v>
      </c>
      <c r="E87" s="129">
        <v>0.93857279999999998</v>
      </c>
      <c r="F87" s="129">
        <v>0.92927999999999999</v>
      </c>
      <c r="G87" s="129">
        <v>1.1151360000000001</v>
      </c>
      <c r="LM87" s="1"/>
      <c r="LN87" s="1"/>
      <c r="LO87" s="1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1"/>
      <c r="MA87" s="1"/>
      <c r="MB87" s="1"/>
      <c r="MC87" s="1"/>
      <c r="MD87" s="1"/>
      <c r="ME87" s="1"/>
      <c r="MF87" s="1"/>
      <c r="MG87" s="1"/>
      <c r="MK87" s="137"/>
      <c r="ML87" s="1"/>
      <c r="MM87" s="1"/>
      <c r="MN87" s="1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1"/>
      <c r="MZ87" s="1"/>
      <c r="NA87" s="1"/>
      <c r="NB87" s="1"/>
      <c r="NC87" s="1"/>
      <c r="ND87" s="1"/>
      <c r="NE87" s="1"/>
      <c r="NF87" s="1"/>
      <c r="NH87" s="1"/>
      <c r="NI87" s="73"/>
      <c r="NJ87" s="73"/>
      <c r="NK87" s="73"/>
      <c r="NL87" s="68"/>
      <c r="NM87" s="1"/>
      <c r="NN87" s="58"/>
      <c r="NO87" s="16"/>
      <c r="NP87" s="2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6"/>
      <c r="OC87" s="27"/>
      <c r="OD87" s="27"/>
      <c r="OE87" s="2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/>
      <c r="PD87" s="16"/>
      <c r="PE87" s="16"/>
    </row>
    <row r="88" spans="2:421">
      <c r="B88" s="126" t="s">
        <v>157</v>
      </c>
      <c r="C88" s="141">
        <v>1.2</v>
      </c>
      <c r="D88" s="141">
        <v>1.0799999999999998</v>
      </c>
      <c r="E88" s="141">
        <v>1.0798919999999999</v>
      </c>
      <c r="F88" s="141">
        <v>0.87479999999999991</v>
      </c>
      <c r="G88" s="141">
        <v>0.96228000000000002</v>
      </c>
      <c r="LM88" s="1"/>
      <c r="LN88" s="1"/>
      <c r="LO88" s="1"/>
      <c r="LP88" s="2"/>
      <c r="LQ88" s="2"/>
      <c r="LR88" s="2"/>
      <c r="LS88" s="2"/>
      <c r="LT88" s="2"/>
      <c r="LU88" s="2"/>
      <c r="LV88" s="2"/>
      <c r="LW88" s="2"/>
      <c r="LX88" s="2"/>
      <c r="LY88" s="1"/>
      <c r="LZ88" s="1"/>
      <c r="MA88" s="1"/>
      <c r="MB88" s="1"/>
      <c r="MC88" s="1"/>
      <c r="MD88" s="1"/>
      <c r="ME88" s="1"/>
      <c r="MF88" s="1"/>
      <c r="MG88" s="1"/>
      <c r="MK88" s="137"/>
      <c r="ML88" s="1"/>
      <c r="MM88" s="1"/>
      <c r="MN88" s="1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1"/>
      <c r="MZ88" s="1"/>
      <c r="NA88" s="1"/>
      <c r="NB88" s="1"/>
      <c r="NC88" s="1"/>
      <c r="ND88" s="1"/>
      <c r="NE88" s="1"/>
      <c r="NF88" s="1"/>
      <c r="NH88" s="1"/>
      <c r="NI88" s="73"/>
      <c r="NJ88" s="73"/>
      <c r="NK88" s="73"/>
      <c r="NL88" s="68"/>
      <c r="NM88" s="1"/>
      <c r="NN88" s="58"/>
      <c r="NO88" s="16"/>
      <c r="NP88" s="2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6"/>
      <c r="OC88" s="27"/>
      <c r="OD88" s="27"/>
      <c r="OE88" s="2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6"/>
      <c r="OR88" s="16"/>
      <c r="OS88" s="16"/>
      <c r="OT88" s="16"/>
      <c r="OU88" s="16"/>
      <c r="OV88" s="16"/>
      <c r="OW88" s="16"/>
      <c r="OX88" s="16"/>
      <c r="OY88" s="16"/>
      <c r="OZ88" s="16"/>
      <c r="PA88" s="16"/>
      <c r="PB88" s="16"/>
      <c r="PC88" s="16"/>
      <c r="PD88" s="16"/>
      <c r="PE88" s="16"/>
    </row>
    <row r="89" spans="2:421">
      <c r="B89" s="127" t="s">
        <v>104</v>
      </c>
      <c r="C89" s="128">
        <v>2.2000000000000002</v>
      </c>
      <c r="D89" s="128">
        <v>1.7600000000000002</v>
      </c>
      <c r="E89" s="128">
        <v>2.1508960000000004</v>
      </c>
      <c r="F89" s="128">
        <v>1.9360000000000004</v>
      </c>
      <c r="G89" s="128">
        <v>1.9360000000000004</v>
      </c>
      <c r="LM89" s="10"/>
      <c r="LN89" s="10"/>
      <c r="LO89" s="10"/>
      <c r="LP89" s="114"/>
      <c r="LQ89" s="114"/>
      <c r="LR89" s="114"/>
      <c r="LS89" s="114"/>
      <c r="LT89" s="114"/>
      <c r="LU89" s="114"/>
      <c r="LV89" s="114"/>
      <c r="LW89" s="114"/>
      <c r="LX89" s="114"/>
      <c r="LY89" s="10"/>
      <c r="LZ89" s="10"/>
      <c r="MA89" s="10"/>
      <c r="MB89" s="10"/>
      <c r="MC89" s="10"/>
      <c r="MD89" s="10"/>
      <c r="ME89" s="10"/>
      <c r="MF89" s="10"/>
      <c r="MG89" s="10"/>
      <c r="MK89" s="137"/>
      <c r="ML89" s="1"/>
      <c r="MM89" s="1"/>
      <c r="MN89" s="1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1"/>
      <c r="MZ89" s="1"/>
      <c r="NA89" s="1"/>
      <c r="NB89" s="1"/>
      <c r="NC89" s="1"/>
      <c r="ND89" s="1"/>
      <c r="NE89" s="1"/>
      <c r="NF89" s="1"/>
      <c r="NH89" s="1"/>
      <c r="NI89" s="73"/>
      <c r="NJ89" s="73"/>
      <c r="NK89" s="73"/>
      <c r="NL89" s="68"/>
      <c r="NM89" s="1"/>
      <c r="NN89" s="58"/>
      <c r="NO89" s="16"/>
      <c r="NP89" s="2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6"/>
      <c r="OC89" s="27"/>
      <c r="OD89" s="27"/>
      <c r="OE89" s="2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6"/>
      <c r="OR89" s="16"/>
      <c r="OS89" s="16"/>
      <c r="OT89" s="16"/>
      <c r="OU89" s="16"/>
      <c r="OV89" s="16"/>
      <c r="OW89" s="16"/>
      <c r="OX89" s="16"/>
      <c r="OY89" s="16"/>
      <c r="OZ89" s="16"/>
      <c r="PA89" s="16"/>
      <c r="PB89" s="16"/>
      <c r="PC89" s="16"/>
      <c r="PD89" s="16"/>
      <c r="PE89" s="16"/>
    </row>
    <row r="90" spans="2:421" ht="34.5">
      <c r="B90" s="126" t="s">
        <v>111</v>
      </c>
      <c r="C90" s="129">
        <v>2.0099999999999998</v>
      </c>
      <c r="D90" s="129">
        <v>2.4119999999999999</v>
      </c>
      <c r="E90" s="129">
        <v>3.2156784000000003</v>
      </c>
      <c r="F90" s="129">
        <v>2.3155200000000002</v>
      </c>
      <c r="G90" s="129">
        <v>1.8524160000000003</v>
      </c>
      <c r="LM90" s="1"/>
      <c r="LN90" s="1"/>
      <c r="LO90" s="1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1"/>
      <c r="MA90" s="1"/>
      <c r="MB90" s="1"/>
      <c r="MC90" s="1"/>
      <c r="MD90" s="1"/>
      <c r="ME90" s="1"/>
      <c r="MF90" s="1"/>
      <c r="MG90" s="1"/>
      <c r="MK90" s="137"/>
      <c r="ML90" s="1"/>
      <c r="MM90" s="1"/>
      <c r="MN90" s="1"/>
      <c r="MO90" s="2"/>
      <c r="MP90" s="2"/>
      <c r="MQ90" s="2"/>
      <c r="MR90" s="2"/>
      <c r="MS90" s="2"/>
      <c r="MT90" s="2"/>
      <c r="MU90" s="2"/>
      <c r="MV90" s="2"/>
      <c r="MW90" s="2"/>
      <c r="MX90" s="1"/>
      <c r="MY90" s="1"/>
      <c r="MZ90" s="1"/>
      <c r="NA90" s="1"/>
      <c r="NB90" s="1"/>
      <c r="NC90" s="1"/>
      <c r="ND90" s="1"/>
      <c r="NE90" s="1"/>
      <c r="NF90" s="1"/>
      <c r="NH90" s="1"/>
      <c r="NI90" s="73"/>
      <c r="NJ90" s="73"/>
      <c r="NK90" s="73"/>
      <c r="NL90" s="68"/>
      <c r="NM90" s="1"/>
      <c r="NN90" s="58"/>
      <c r="NO90" s="16"/>
      <c r="NP90" s="2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6"/>
      <c r="OC90" s="27"/>
      <c r="OD90" s="27"/>
      <c r="OE90" s="2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6"/>
      <c r="OR90" s="16"/>
      <c r="OS90" s="16"/>
      <c r="OT90" s="16"/>
      <c r="OU90" s="16"/>
      <c r="OV90" s="16"/>
      <c r="OW90" s="16"/>
      <c r="OX90" s="16"/>
      <c r="OY90" s="16"/>
      <c r="OZ90" s="16"/>
      <c r="PA90" s="16"/>
      <c r="PB90" s="16"/>
      <c r="PC90" s="16"/>
      <c r="PD90" s="16"/>
      <c r="PE90" s="16"/>
    </row>
    <row r="91" spans="2:421">
      <c r="B91" s="127" t="s">
        <v>48</v>
      </c>
      <c r="C91" s="140">
        <v>2.31</v>
      </c>
      <c r="D91" s="140">
        <v>2.0789999999999997</v>
      </c>
      <c r="E91" s="140">
        <v>2.7717227999999996</v>
      </c>
      <c r="F91" s="140">
        <v>1.9958399999999998</v>
      </c>
      <c r="G91" s="140">
        <v>1.9958399999999998</v>
      </c>
      <c r="LM91" s="1"/>
      <c r="LN91" s="1"/>
      <c r="LO91" s="1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1"/>
      <c r="MA91" s="1"/>
      <c r="MB91" s="1"/>
      <c r="MC91" s="1"/>
      <c r="MD91" s="1"/>
      <c r="ME91" s="1"/>
      <c r="MF91" s="1"/>
      <c r="MG91" s="1"/>
      <c r="MK91" s="137"/>
      <c r="ML91" s="10"/>
      <c r="MM91" s="10"/>
      <c r="MN91" s="10"/>
      <c r="MO91" s="114"/>
      <c r="MP91" s="114"/>
      <c r="MQ91" s="114"/>
      <c r="MR91" s="114"/>
      <c r="MS91" s="114"/>
      <c r="MT91" s="114"/>
      <c r="MU91" s="114"/>
      <c r="MV91" s="114"/>
      <c r="MW91" s="114"/>
      <c r="MX91" s="10"/>
      <c r="MY91" s="10"/>
      <c r="MZ91" s="10"/>
      <c r="NA91" s="10"/>
      <c r="NB91" s="10"/>
      <c r="NC91" s="10"/>
      <c r="ND91" s="10"/>
      <c r="NE91" s="10"/>
      <c r="NF91" s="10"/>
      <c r="NH91" s="1"/>
      <c r="NI91" s="73"/>
      <c r="NJ91" s="73"/>
      <c r="NK91" s="79"/>
      <c r="NL91" s="67"/>
      <c r="NM91" s="1"/>
      <c r="NN91" s="60"/>
      <c r="NO91" s="23"/>
      <c r="NP91" s="26"/>
      <c r="NQ91" s="25"/>
      <c r="NR91" s="25"/>
      <c r="NS91" s="25"/>
      <c r="NT91" s="25"/>
      <c r="NU91" s="25"/>
      <c r="NV91" s="25"/>
      <c r="NW91" s="25"/>
      <c r="NX91" s="25"/>
      <c r="NY91" s="25"/>
      <c r="NZ91" s="25"/>
      <c r="OA91" s="25"/>
      <c r="OB91" s="16"/>
      <c r="OC91" s="26"/>
      <c r="OD91" s="26"/>
      <c r="OE91" s="26"/>
      <c r="OF91" s="25"/>
      <c r="OG91" s="25"/>
      <c r="OH91" s="25"/>
      <c r="OI91" s="25"/>
      <c r="OJ91" s="25"/>
      <c r="OK91" s="25"/>
      <c r="OL91" s="25"/>
      <c r="OM91" s="25"/>
      <c r="ON91" s="25"/>
      <c r="OO91" s="25"/>
      <c r="OP91" s="25"/>
      <c r="OQ91" s="16"/>
      <c r="OR91" s="23"/>
      <c r="OS91" s="23"/>
      <c r="OT91" s="23"/>
      <c r="OU91" s="23"/>
      <c r="OV91" s="23"/>
      <c r="OW91" s="23"/>
      <c r="OX91" s="23"/>
      <c r="OY91" s="23"/>
      <c r="OZ91" s="23"/>
      <c r="PA91" s="23"/>
      <c r="PB91" s="23"/>
      <c r="PC91" s="23"/>
      <c r="PD91" s="23"/>
      <c r="PE91" s="23"/>
    </row>
    <row r="92" spans="2:421">
      <c r="B92" s="127" t="s">
        <v>26</v>
      </c>
      <c r="C92" s="144">
        <v>1.78</v>
      </c>
      <c r="D92" s="144">
        <v>1.6019999999999999</v>
      </c>
      <c r="E92" s="144">
        <v>1.4238575999999998</v>
      </c>
      <c r="F92" s="144">
        <v>1.5379199999999997</v>
      </c>
      <c r="G92" s="144">
        <v>1.8455039999999996</v>
      </c>
      <c r="LM92" s="1"/>
      <c r="LN92" s="1"/>
      <c r="LO92" s="1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1"/>
      <c r="MA92" s="1"/>
      <c r="MB92" s="1"/>
      <c r="MC92" s="1"/>
      <c r="MD92" s="1"/>
      <c r="ME92" s="1"/>
      <c r="MF92" s="1"/>
      <c r="MG92" s="1"/>
      <c r="MK92" s="137"/>
      <c r="ML92" s="1"/>
      <c r="MM92" s="1"/>
      <c r="MN92" s="1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1"/>
      <c r="MZ92" s="1"/>
      <c r="NA92" s="1"/>
      <c r="NB92" s="1"/>
      <c r="NC92" s="1"/>
      <c r="ND92" s="1"/>
      <c r="NE92" s="1"/>
      <c r="NF92" s="1"/>
      <c r="NH92" s="1"/>
      <c r="NI92" s="73"/>
      <c r="NJ92" s="98"/>
      <c r="NK92" s="85"/>
      <c r="NL92" s="68"/>
      <c r="NM92" s="1"/>
      <c r="NN92" s="58"/>
      <c r="NO92" s="16"/>
      <c r="NP92" s="2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20"/>
      <c r="OC92" s="27"/>
      <c r="OD92" s="27"/>
      <c r="OE92" s="2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6"/>
      <c r="OR92" s="16"/>
      <c r="OS92" s="16"/>
      <c r="OT92" s="16"/>
      <c r="OU92" s="16"/>
      <c r="OV92" s="16"/>
      <c r="OW92" s="16"/>
      <c r="OX92" s="16"/>
      <c r="OY92" s="16"/>
      <c r="OZ92" s="16"/>
      <c r="PA92" s="16"/>
      <c r="PB92" s="16"/>
      <c r="PC92" s="16"/>
      <c r="PD92" s="16"/>
      <c r="PE92" s="16"/>
    </row>
    <row r="93" spans="2:421">
      <c r="B93" s="127" t="s">
        <v>140</v>
      </c>
      <c r="C93" s="128">
        <v>2.19</v>
      </c>
      <c r="D93" s="128">
        <v>2.19</v>
      </c>
      <c r="E93" s="128">
        <v>2.43309</v>
      </c>
      <c r="F93" s="128">
        <v>2.6280000000000001</v>
      </c>
      <c r="G93" s="128">
        <v>2.6280000000000001</v>
      </c>
      <c r="LM93" s="1"/>
      <c r="LN93" s="1"/>
      <c r="LO93" s="1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1"/>
      <c r="MA93" s="1"/>
      <c r="MB93" s="1"/>
      <c r="MC93" s="1"/>
      <c r="MD93" s="1"/>
      <c r="ME93" s="1"/>
      <c r="MF93" s="1"/>
      <c r="MG93" s="1"/>
      <c r="MK93" s="137"/>
      <c r="ML93" s="1"/>
      <c r="MM93" s="1"/>
      <c r="MN93" s="1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1"/>
      <c r="MZ93" s="1"/>
      <c r="NA93" s="1"/>
      <c r="NB93" s="1"/>
      <c r="NC93" s="1"/>
      <c r="ND93" s="1"/>
      <c r="NE93" s="1"/>
      <c r="NF93" s="1"/>
      <c r="NH93" s="1"/>
      <c r="NI93" s="73"/>
      <c r="NJ93" s="73"/>
      <c r="NK93" s="73"/>
      <c r="NL93" s="68"/>
      <c r="NM93" s="1"/>
      <c r="NN93" s="58"/>
      <c r="NO93" s="16"/>
      <c r="NP93" s="27"/>
      <c r="NQ93" s="16"/>
      <c r="NR93" s="16"/>
      <c r="NS93" s="16"/>
      <c r="NT93" s="16"/>
      <c r="NU93" s="16"/>
      <c r="NV93" s="16"/>
      <c r="NW93" s="16"/>
      <c r="NX93" s="16"/>
      <c r="NY93" s="16"/>
      <c r="NZ93" s="16"/>
      <c r="OA93" s="16"/>
      <c r="OB93" s="16"/>
      <c r="OC93" s="27"/>
      <c r="OD93" s="27"/>
      <c r="OE93" s="2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6"/>
      <c r="OR93" s="16"/>
      <c r="OS93" s="16"/>
      <c r="OT93" s="16"/>
      <c r="OU93" s="16"/>
      <c r="OV93" s="16"/>
      <c r="OW93" s="16"/>
      <c r="OX93" s="16"/>
      <c r="OY93" s="16"/>
      <c r="OZ93" s="16"/>
      <c r="PA93" s="16"/>
      <c r="PB93" s="16"/>
      <c r="PC93" s="16"/>
      <c r="PD93" s="16"/>
      <c r="PE93" s="16"/>
    </row>
    <row r="94" spans="2:421">
      <c r="B94" s="127" t="s">
        <v>12</v>
      </c>
      <c r="C94" s="128">
        <v>2.2999999999999998</v>
      </c>
      <c r="D94" s="128">
        <v>1.8399999999999999</v>
      </c>
      <c r="E94" s="128">
        <v>2.4530879999999997</v>
      </c>
      <c r="F94" s="128">
        <v>2.2079999999999997</v>
      </c>
      <c r="G94" s="128">
        <v>2.2079999999999997</v>
      </c>
      <c r="LM94" s="1"/>
      <c r="LN94" s="1"/>
      <c r="LO94" s="1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1"/>
      <c r="MA94" s="1"/>
      <c r="MB94" s="1"/>
      <c r="MC94" s="1"/>
      <c r="MD94" s="1"/>
      <c r="ME94" s="1"/>
      <c r="MF94" s="1"/>
      <c r="MG94" s="1"/>
      <c r="MK94" s="137"/>
      <c r="ML94" s="1"/>
      <c r="MM94" s="1"/>
      <c r="MN94" s="1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1"/>
      <c r="MZ94" s="1"/>
      <c r="NA94" s="1"/>
      <c r="NB94" s="1"/>
      <c r="NC94" s="1"/>
      <c r="ND94" s="1"/>
      <c r="NE94" s="1"/>
      <c r="NF94" s="1"/>
      <c r="NH94" s="16"/>
      <c r="NI94" s="73"/>
      <c r="NJ94" s="73"/>
      <c r="NK94" s="73"/>
      <c r="NL94" s="68"/>
      <c r="NM94" s="1"/>
      <c r="NN94" s="58"/>
      <c r="NO94" s="16"/>
      <c r="NP94" s="27"/>
      <c r="NQ94" s="52"/>
      <c r="NR94" s="52"/>
      <c r="NS94" s="52"/>
      <c r="NT94" s="52"/>
      <c r="NU94" s="52"/>
      <c r="NV94" s="52"/>
      <c r="NW94" s="52"/>
      <c r="NX94" s="52"/>
      <c r="NY94" s="52"/>
      <c r="NZ94" s="52"/>
      <c r="OA94" s="52"/>
      <c r="OB94" s="16"/>
      <c r="OC94" s="27"/>
      <c r="OD94" s="27"/>
      <c r="OE94" s="27"/>
      <c r="OF94" s="52"/>
      <c r="OG94" s="52"/>
      <c r="OH94" s="52"/>
      <c r="OI94" s="52"/>
      <c r="OJ94" s="52"/>
      <c r="OK94" s="52"/>
      <c r="OL94" s="52"/>
      <c r="OM94" s="52"/>
      <c r="ON94" s="52"/>
      <c r="OO94" s="52"/>
      <c r="OP94" s="52"/>
      <c r="OQ94" s="16"/>
      <c r="OR94" s="16"/>
      <c r="OS94" s="16"/>
      <c r="OT94" s="16"/>
      <c r="OU94" s="16"/>
      <c r="OV94" s="16"/>
      <c r="OW94" s="16"/>
      <c r="OX94" s="16"/>
      <c r="OY94" s="16"/>
      <c r="OZ94" s="16"/>
      <c r="PA94" s="16"/>
      <c r="PB94" s="16"/>
      <c r="PC94" s="16"/>
      <c r="PD94" s="16"/>
      <c r="PE94" s="16"/>
    </row>
    <row r="95" spans="2:421">
      <c r="B95" s="126" t="s">
        <v>83</v>
      </c>
      <c r="C95" s="129">
        <v>1.99</v>
      </c>
      <c r="D95" s="129">
        <v>1.5920000000000001</v>
      </c>
      <c r="E95" s="129">
        <v>1.9455832000000002</v>
      </c>
      <c r="F95" s="129">
        <v>2.1014400000000002</v>
      </c>
      <c r="G95" s="129">
        <v>2.5217280000000004</v>
      </c>
      <c r="LM95" s="1"/>
      <c r="LN95" s="1"/>
      <c r="LO95" s="1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1"/>
      <c r="MA95" s="1"/>
      <c r="MB95" s="1"/>
      <c r="MC95" s="1"/>
      <c r="MD95" s="1"/>
      <c r="ME95" s="1"/>
      <c r="MF95" s="1"/>
      <c r="MG95" s="1"/>
      <c r="MK95" s="137"/>
      <c r="ML95" s="1"/>
      <c r="MM95" s="1"/>
      <c r="MN95" s="1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1"/>
      <c r="MZ95" s="1"/>
      <c r="NA95" s="1"/>
      <c r="NB95" s="1"/>
      <c r="NC95" s="1"/>
      <c r="ND95" s="1"/>
      <c r="NE95" s="1"/>
      <c r="NF95" s="1"/>
      <c r="NH95" s="16"/>
      <c r="NI95" s="73"/>
      <c r="NJ95" s="73"/>
      <c r="NK95" s="73"/>
      <c r="NL95" s="68"/>
      <c r="NM95" s="1"/>
      <c r="NN95" s="58"/>
      <c r="NO95" s="16"/>
      <c r="NP95" s="2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6"/>
      <c r="OC95" s="27"/>
      <c r="OD95" s="27"/>
      <c r="OE95" s="2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6"/>
      <c r="OR95" s="16"/>
      <c r="OS95" s="16"/>
      <c r="OT95" s="16"/>
      <c r="OU95" s="16"/>
      <c r="OV95" s="16"/>
      <c r="OW95" s="16"/>
      <c r="OX95" s="16"/>
      <c r="OY95" s="16"/>
      <c r="OZ95" s="16"/>
      <c r="PA95" s="16"/>
      <c r="PB95" s="16"/>
      <c r="PC95" s="16"/>
      <c r="PD95" s="16"/>
      <c r="PE95" s="16"/>
    </row>
    <row r="96" spans="2:421">
      <c r="B96" s="126" t="s">
        <v>37</v>
      </c>
      <c r="C96" s="141">
        <v>1.94</v>
      </c>
      <c r="D96" s="141">
        <v>1.94</v>
      </c>
      <c r="E96" s="141">
        <v>1.9398059999999999</v>
      </c>
      <c r="F96" s="141">
        <v>1.9205999999999999</v>
      </c>
      <c r="G96" s="141">
        <v>1.5364799999999998</v>
      </c>
      <c r="LM96" s="1"/>
      <c r="LN96" s="1"/>
      <c r="LO96" s="1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1"/>
      <c r="MA96" s="1"/>
      <c r="MB96" s="1"/>
      <c r="MC96" s="1"/>
      <c r="MD96" s="1"/>
      <c r="ME96" s="1"/>
      <c r="MF96" s="1"/>
      <c r="MG96" s="1"/>
      <c r="MK96" s="137"/>
      <c r="ML96" s="1"/>
      <c r="MM96" s="1"/>
      <c r="MN96" s="1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1"/>
      <c r="MZ96" s="1"/>
      <c r="NA96" s="1"/>
      <c r="NB96" s="1"/>
      <c r="NC96" s="1"/>
      <c r="ND96" s="1"/>
      <c r="NE96" s="1"/>
      <c r="NF96" s="1"/>
      <c r="NH96" s="16"/>
      <c r="NI96" s="73"/>
      <c r="NJ96" s="73"/>
      <c r="NK96" s="73"/>
      <c r="NL96" s="68"/>
      <c r="NM96" s="1"/>
      <c r="NN96" s="58"/>
      <c r="NO96" s="16"/>
      <c r="NP96" s="2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6"/>
      <c r="OC96" s="27"/>
      <c r="OD96" s="27"/>
      <c r="OE96" s="2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6"/>
      <c r="OR96" s="16"/>
      <c r="OS96" s="16"/>
      <c r="OT96" s="16"/>
      <c r="OU96" s="16"/>
      <c r="OV96" s="16"/>
      <c r="OW96" s="16"/>
      <c r="OX96" s="16"/>
      <c r="OY96" s="16"/>
      <c r="OZ96" s="16"/>
      <c r="PA96" s="16"/>
      <c r="PB96" s="16"/>
      <c r="PC96" s="16"/>
      <c r="PD96" s="16"/>
      <c r="PE96" s="16"/>
    </row>
    <row r="97" spans="2:421">
      <c r="B97" s="126" t="s">
        <v>87</v>
      </c>
      <c r="C97" s="142">
        <v>2.37</v>
      </c>
      <c r="D97" s="142">
        <v>1.8960000000000001</v>
      </c>
      <c r="E97" s="142">
        <v>2.5277472000000003</v>
      </c>
      <c r="F97" s="142">
        <v>2.7302400000000007</v>
      </c>
      <c r="G97" s="142">
        <v>2.1841920000000004</v>
      </c>
      <c r="LM97" s="1"/>
      <c r="LN97" s="1"/>
      <c r="LO97" s="1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1"/>
      <c r="MA97" s="1"/>
      <c r="MB97" s="1"/>
      <c r="MC97" s="1"/>
      <c r="MD97" s="1"/>
      <c r="ME97" s="1"/>
      <c r="MF97" s="1"/>
      <c r="MG97" s="1"/>
      <c r="MK97" s="137"/>
      <c r="ML97" s="1"/>
      <c r="MM97" s="1"/>
      <c r="MN97" s="1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1"/>
      <c r="MZ97" s="1"/>
      <c r="NA97" s="1"/>
      <c r="NB97" s="1"/>
      <c r="NC97" s="1"/>
      <c r="ND97" s="1"/>
      <c r="NE97" s="1"/>
      <c r="NF97" s="1"/>
      <c r="NH97" s="16"/>
      <c r="NI97" s="73"/>
      <c r="NJ97" s="73"/>
      <c r="NK97" s="73"/>
      <c r="NL97" s="68"/>
      <c r="NM97" s="1"/>
      <c r="NN97" s="58"/>
      <c r="NO97" s="16"/>
      <c r="NP97" s="2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6"/>
      <c r="OC97" s="27"/>
      <c r="OD97" s="27"/>
      <c r="OE97" s="2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6"/>
      <c r="OR97" s="16"/>
      <c r="OS97" s="16"/>
      <c r="OT97" s="16"/>
      <c r="OU97" s="16"/>
      <c r="OV97" s="16"/>
      <c r="OW97" s="16"/>
      <c r="OX97" s="16"/>
      <c r="OY97" s="16"/>
      <c r="OZ97" s="16"/>
      <c r="PA97" s="16"/>
      <c r="PB97" s="16"/>
      <c r="PC97" s="16"/>
      <c r="PD97" s="16"/>
      <c r="PE97" s="16"/>
    </row>
    <row r="98" spans="2:421">
      <c r="B98" s="126" t="s">
        <v>17</v>
      </c>
      <c r="C98" s="129">
        <v>1.91</v>
      </c>
      <c r="D98" s="129">
        <v>1.9099999999999997</v>
      </c>
      <c r="E98" s="129">
        <v>2.1220099999999995</v>
      </c>
      <c r="F98" s="129">
        <v>2.101</v>
      </c>
      <c r="G98" s="129">
        <v>1.6808000000000001</v>
      </c>
      <c r="LM98" s="1"/>
      <c r="LN98" s="1"/>
      <c r="LO98" s="1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1"/>
      <c r="MA98" s="1"/>
      <c r="MB98" s="1"/>
      <c r="MC98" s="1"/>
      <c r="MD98" s="1"/>
      <c r="ME98" s="1"/>
      <c r="MF98" s="1"/>
      <c r="MG98" s="1"/>
      <c r="MK98" s="137"/>
      <c r="ML98" s="1"/>
      <c r="MM98" s="1"/>
      <c r="MN98" s="1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1"/>
      <c r="MZ98" s="1"/>
      <c r="NA98" s="1"/>
      <c r="NB98" s="1"/>
      <c r="NC98" s="1"/>
      <c r="ND98" s="1"/>
      <c r="NE98" s="1"/>
      <c r="NF98" s="1"/>
      <c r="NH98" s="16"/>
      <c r="NI98" s="73"/>
      <c r="NJ98" s="73"/>
      <c r="NK98" s="73"/>
      <c r="NL98" s="68"/>
      <c r="NM98" s="1"/>
      <c r="NN98" s="58"/>
      <c r="NO98" s="16"/>
      <c r="NP98" s="2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6"/>
      <c r="OC98" s="27"/>
      <c r="OD98" s="27"/>
      <c r="OE98" s="2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6"/>
      <c r="OR98" s="16"/>
      <c r="OS98" s="16"/>
      <c r="OT98" s="16"/>
      <c r="OU98" s="16"/>
      <c r="OV98" s="16"/>
      <c r="OW98" s="16"/>
      <c r="OX98" s="16"/>
      <c r="OY98" s="16"/>
      <c r="OZ98" s="16"/>
      <c r="PA98" s="16"/>
      <c r="PB98" s="16"/>
      <c r="PC98" s="16"/>
      <c r="PD98" s="16"/>
      <c r="PE98" s="16"/>
    </row>
    <row r="99" spans="2:421">
      <c r="B99" s="127" t="s">
        <v>180</v>
      </c>
      <c r="C99" s="128">
        <v>2.31</v>
      </c>
      <c r="D99" s="128">
        <v>2.31</v>
      </c>
      <c r="E99" s="128">
        <v>2.5664099999999999</v>
      </c>
      <c r="F99" s="128">
        <v>2.7719999999999998</v>
      </c>
      <c r="G99" s="128">
        <v>2.4947999999999997</v>
      </c>
      <c r="LM99" s="1"/>
      <c r="LN99" s="1"/>
      <c r="LO99" s="1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1"/>
      <c r="MA99" s="1"/>
      <c r="MB99" s="1"/>
      <c r="MC99" s="1"/>
      <c r="MD99" s="1"/>
      <c r="ME99" s="1"/>
      <c r="MF99" s="1"/>
      <c r="MG99" s="1"/>
      <c r="MK99" s="137"/>
      <c r="ML99" s="1"/>
      <c r="MM99" s="1"/>
      <c r="MN99" s="1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1"/>
      <c r="MZ99" s="1"/>
      <c r="NA99" s="1"/>
      <c r="NB99" s="1"/>
      <c r="NC99" s="1"/>
      <c r="ND99" s="1"/>
      <c r="NE99" s="1"/>
      <c r="NF99" s="1"/>
      <c r="NH99" s="16"/>
      <c r="NI99" s="73"/>
      <c r="NJ99" s="73"/>
      <c r="NK99" s="73"/>
      <c r="NL99" s="68"/>
      <c r="NM99" s="1"/>
      <c r="NN99" s="58"/>
      <c r="NO99" s="16"/>
      <c r="NP99" s="2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6"/>
      <c r="OC99" s="27"/>
      <c r="OD99" s="27"/>
      <c r="OE99" s="2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6"/>
      <c r="OR99" s="16"/>
      <c r="OS99" s="16"/>
      <c r="OT99" s="16"/>
      <c r="OU99" s="16"/>
      <c r="OV99" s="16"/>
      <c r="OW99" s="16"/>
      <c r="OX99" s="16"/>
      <c r="OY99" s="16"/>
      <c r="OZ99" s="16"/>
      <c r="PA99" s="16"/>
      <c r="PB99" s="16"/>
      <c r="PC99" s="16"/>
      <c r="PD99" s="16"/>
      <c r="PE99" s="16"/>
    </row>
    <row r="100" spans="2:421" ht="45.75">
      <c r="B100" s="126" t="s">
        <v>187</v>
      </c>
      <c r="C100" s="143">
        <v>1.48</v>
      </c>
      <c r="D100" s="143">
        <v>1.48</v>
      </c>
      <c r="E100" s="143">
        <v>1.64428</v>
      </c>
      <c r="F100" s="143">
        <v>1.7759999999999998</v>
      </c>
      <c r="G100" s="143">
        <v>1.9535999999999998</v>
      </c>
      <c r="LM100" s="1"/>
      <c r="LN100" s="1"/>
      <c r="LO100" s="1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1"/>
      <c r="MA100" s="1"/>
      <c r="MB100" s="1"/>
      <c r="MC100" s="1"/>
      <c r="MD100" s="1"/>
      <c r="ME100" s="1"/>
      <c r="MF100" s="1"/>
      <c r="MG100" s="1"/>
      <c r="MK100" s="137"/>
      <c r="ML100" s="1"/>
      <c r="MM100" s="1"/>
      <c r="MN100" s="1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1"/>
      <c r="MZ100" s="1"/>
      <c r="NA100" s="1"/>
      <c r="NB100" s="1"/>
      <c r="NC100" s="1"/>
      <c r="ND100" s="1"/>
      <c r="NE100" s="1"/>
      <c r="NF100" s="1"/>
      <c r="NH100" s="16"/>
      <c r="NI100" s="73"/>
      <c r="NJ100" s="73"/>
      <c r="NK100" s="73"/>
      <c r="NL100" s="68"/>
      <c r="NM100" s="1"/>
      <c r="NN100" s="58"/>
      <c r="NO100" s="16"/>
      <c r="NP100" s="27"/>
      <c r="NQ100" s="52"/>
      <c r="NR100" s="52"/>
      <c r="NS100" s="52"/>
      <c r="NT100" s="52"/>
      <c r="NU100" s="52"/>
      <c r="NV100" s="52"/>
      <c r="NW100" s="52"/>
      <c r="NX100" s="52"/>
      <c r="NY100" s="52"/>
      <c r="NZ100" s="52"/>
      <c r="OA100" s="52"/>
      <c r="OB100" s="16"/>
      <c r="OC100" s="27"/>
      <c r="OD100" s="27"/>
      <c r="OE100" s="27"/>
      <c r="OF100" s="17"/>
      <c r="OG100" s="17"/>
      <c r="OH100" s="17"/>
      <c r="OI100" s="17"/>
      <c r="OJ100" s="17"/>
      <c r="OK100" s="17"/>
      <c r="OL100" s="17"/>
      <c r="OM100" s="17"/>
      <c r="ON100" s="17"/>
      <c r="OO100" s="17"/>
      <c r="OP100" s="17"/>
      <c r="OQ100" s="16"/>
      <c r="OR100" s="17"/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</row>
    <row r="101" spans="2:421" ht="23.25">
      <c r="B101" s="127" t="s">
        <v>40</v>
      </c>
      <c r="C101" s="128">
        <v>2.2200000000000002</v>
      </c>
      <c r="D101" s="128">
        <v>1.998</v>
      </c>
      <c r="E101" s="128">
        <v>1.7758224</v>
      </c>
      <c r="F101" s="128">
        <v>1.75824</v>
      </c>
      <c r="G101" s="128">
        <v>1.582416</v>
      </c>
      <c r="LM101" s="1"/>
      <c r="LN101" s="1"/>
      <c r="LO101" s="1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1"/>
      <c r="MA101" s="1"/>
      <c r="MB101" s="1"/>
      <c r="MC101" s="1"/>
      <c r="MD101" s="1"/>
      <c r="ME101" s="1"/>
      <c r="MF101" s="1"/>
      <c r="MG101" s="1"/>
      <c r="MK101" s="137"/>
      <c r="ML101" s="1"/>
      <c r="MM101" s="1"/>
      <c r="MN101" s="1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1"/>
      <c r="MZ101" s="1"/>
      <c r="NA101" s="1"/>
      <c r="NB101" s="1"/>
      <c r="NC101" s="1"/>
      <c r="ND101" s="1"/>
      <c r="NE101" s="1"/>
      <c r="NF101" s="1"/>
      <c r="NH101" s="16"/>
      <c r="NI101" s="73"/>
      <c r="NJ101" s="73"/>
      <c r="NK101" s="73"/>
      <c r="NL101" s="68"/>
      <c r="NM101" s="1"/>
      <c r="NN101" s="58"/>
      <c r="NO101" s="16"/>
      <c r="NP101" s="2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6"/>
      <c r="OC101" s="27"/>
      <c r="OD101" s="27"/>
      <c r="OE101" s="27"/>
      <c r="OF101" s="17"/>
      <c r="OG101" s="17"/>
      <c r="OH101" s="17"/>
      <c r="OI101" s="17"/>
      <c r="OJ101" s="17"/>
      <c r="OK101" s="17"/>
      <c r="OL101" s="17"/>
      <c r="OM101" s="17"/>
      <c r="ON101" s="17"/>
      <c r="OO101" s="17"/>
      <c r="OP101" s="17"/>
      <c r="OQ101" s="16"/>
      <c r="OR101" s="16"/>
      <c r="OS101" s="16"/>
      <c r="OT101" s="16"/>
      <c r="OU101" s="16"/>
      <c r="OV101" s="16"/>
      <c r="OW101" s="16"/>
      <c r="OX101" s="16"/>
      <c r="OY101" s="16"/>
      <c r="OZ101" s="16"/>
      <c r="PA101" s="16"/>
      <c r="PB101" s="16"/>
      <c r="PC101" s="16"/>
      <c r="PD101" s="16"/>
      <c r="PE101" s="16"/>
    </row>
    <row r="102" spans="2:421">
      <c r="B102" s="127" t="s">
        <v>36</v>
      </c>
      <c r="C102" s="128">
        <v>2.34</v>
      </c>
      <c r="D102" s="128">
        <v>2.34</v>
      </c>
      <c r="E102" s="128">
        <v>2.339766</v>
      </c>
      <c r="F102" s="128">
        <v>2.3165999999999998</v>
      </c>
      <c r="G102" s="128">
        <v>2.54826</v>
      </c>
      <c r="LM102" s="1"/>
      <c r="LN102" s="1"/>
      <c r="LO102" s="1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1"/>
      <c r="MA102" s="1"/>
      <c r="MB102" s="1"/>
      <c r="MC102" s="1"/>
      <c r="MD102" s="1"/>
      <c r="ME102" s="1"/>
      <c r="MF102" s="1"/>
      <c r="MG102" s="1"/>
      <c r="MK102" s="137"/>
      <c r="ML102" s="1"/>
      <c r="MM102" s="1"/>
      <c r="MN102" s="1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1"/>
      <c r="MZ102" s="1"/>
      <c r="NA102" s="1"/>
      <c r="NB102" s="1"/>
      <c r="NC102" s="1"/>
      <c r="ND102" s="1"/>
      <c r="NE102" s="1"/>
      <c r="NF102" s="1"/>
      <c r="NH102" s="16"/>
      <c r="NI102" s="73"/>
      <c r="NJ102" s="73"/>
      <c r="NK102" s="79"/>
      <c r="NL102" s="67"/>
      <c r="NM102" s="1"/>
      <c r="NN102" s="60"/>
      <c r="NO102" s="23"/>
      <c r="NP102" s="26"/>
      <c r="NQ102" s="25"/>
      <c r="NR102" s="25"/>
      <c r="NS102" s="25"/>
      <c r="NT102" s="25"/>
      <c r="NU102" s="25"/>
      <c r="NV102" s="25"/>
      <c r="NW102" s="25"/>
      <c r="NX102" s="25"/>
      <c r="NY102" s="25"/>
      <c r="NZ102" s="25"/>
      <c r="OA102" s="25"/>
      <c r="OB102" s="16"/>
      <c r="OC102" s="26"/>
      <c r="OD102" s="26"/>
      <c r="OE102" s="26"/>
      <c r="OF102" s="25"/>
      <c r="OG102" s="25"/>
      <c r="OH102" s="25"/>
      <c r="OI102" s="25"/>
      <c r="OJ102" s="25"/>
      <c r="OK102" s="25"/>
      <c r="OL102" s="25"/>
      <c r="OM102" s="25"/>
      <c r="ON102" s="25"/>
      <c r="OO102" s="25"/>
      <c r="OP102" s="25"/>
      <c r="OQ102" s="16"/>
      <c r="OR102" s="23"/>
      <c r="OS102" s="23"/>
      <c r="OT102" s="23"/>
      <c r="OU102" s="23"/>
      <c r="OV102" s="23"/>
      <c r="OW102" s="23"/>
      <c r="OX102" s="23"/>
      <c r="OY102" s="23"/>
      <c r="OZ102" s="23"/>
      <c r="PA102" s="23"/>
      <c r="PB102" s="23"/>
      <c r="PC102" s="23"/>
      <c r="PD102" s="23"/>
      <c r="PE102" s="23"/>
    </row>
    <row r="103" spans="2:421">
      <c r="B103" s="126" t="s">
        <v>39</v>
      </c>
      <c r="C103" s="129">
        <v>1.22</v>
      </c>
      <c r="D103" s="129">
        <v>1.464</v>
      </c>
      <c r="E103" s="129">
        <v>1.4638536000000002</v>
      </c>
      <c r="F103" s="129">
        <v>1.44936</v>
      </c>
      <c r="G103" s="129">
        <v>1.7392319999999999</v>
      </c>
      <c r="LM103" s="1"/>
      <c r="LN103" s="1"/>
      <c r="LO103" s="1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1"/>
      <c r="MA103" s="1"/>
      <c r="MB103" s="1"/>
      <c r="MC103" s="1"/>
      <c r="MD103" s="1"/>
      <c r="ME103" s="1"/>
      <c r="MF103" s="1"/>
      <c r="MG103" s="1"/>
      <c r="MK103" s="137"/>
      <c r="ML103" s="1"/>
      <c r="MM103" s="1"/>
      <c r="MN103" s="1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1"/>
      <c r="MZ103" s="1"/>
      <c r="NA103" s="1"/>
      <c r="NB103" s="1"/>
      <c r="NC103" s="1"/>
      <c r="ND103" s="1"/>
      <c r="NE103" s="1"/>
      <c r="NF103" s="1"/>
      <c r="NH103" s="16"/>
      <c r="NI103" s="73"/>
      <c r="NJ103" s="98"/>
      <c r="NK103" s="79"/>
      <c r="NL103" s="67"/>
      <c r="NM103" s="1"/>
      <c r="NN103" s="60"/>
      <c r="NO103" s="23"/>
      <c r="NP103" s="26"/>
      <c r="NQ103" s="25"/>
      <c r="NR103" s="25"/>
      <c r="NS103" s="25"/>
      <c r="NT103" s="25"/>
      <c r="NU103" s="25"/>
      <c r="NV103" s="25"/>
      <c r="NW103" s="25"/>
      <c r="NX103" s="25"/>
      <c r="NY103" s="25"/>
      <c r="NZ103" s="25"/>
      <c r="OA103" s="25"/>
      <c r="OB103" s="16"/>
      <c r="OC103" s="26"/>
      <c r="OD103" s="26"/>
      <c r="OE103" s="26"/>
      <c r="OF103" s="25"/>
      <c r="OG103" s="25"/>
      <c r="OH103" s="25"/>
      <c r="OI103" s="25"/>
      <c r="OJ103" s="25"/>
      <c r="OK103" s="25"/>
      <c r="OL103" s="25"/>
      <c r="OM103" s="25"/>
      <c r="ON103" s="25"/>
      <c r="OO103" s="25"/>
      <c r="OP103" s="25"/>
      <c r="OQ103" s="16"/>
      <c r="OR103" s="23"/>
      <c r="OS103" s="23"/>
      <c r="OT103" s="23"/>
      <c r="OU103" s="23"/>
      <c r="OV103" s="23"/>
      <c r="OW103" s="23"/>
      <c r="OX103" s="23"/>
      <c r="OY103" s="23"/>
      <c r="OZ103" s="23"/>
      <c r="PA103" s="23"/>
      <c r="PB103" s="23"/>
      <c r="PC103" s="23"/>
      <c r="PD103" s="23"/>
      <c r="PE103" s="23"/>
    </row>
    <row r="104" spans="2:421" ht="46.5" thickBot="1">
      <c r="B104" s="127" t="s">
        <v>186</v>
      </c>
      <c r="C104" s="128">
        <v>1.85</v>
      </c>
      <c r="D104" s="128">
        <v>1.6650000000000003</v>
      </c>
      <c r="E104" s="128">
        <v>1.4798520000000004</v>
      </c>
      <c r="F104" s="128">
        <v>1.0656000000000003</v>
      </c>
      <c r="G104" s="128">
        <v>1.1721600000000003</v>
      </c>
      <c r="LM104" s="1"/>
      <c r="LN104" s="1"/>
      <c r="LO104" s="1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1"/>
      <c r="MA104" s="1"/>
      <c r="MB104" s="1"/>
      <c r="MC104" s="1"/>
      <c r="MD104" s="1"/>
      <c r="ME104" s="1"/>
      <c r="MF104" s="1"/>
      <c r="MG104" s="1"/>
      <c r="MK104" s="137"/>
      <c r="ML104" s="1"/>
      <c r="MM104" s="1"/>
      <c r="MN104" s="1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1"/>
      <c r="MZ104" s="1"/>
      <c r="NA104" s="1"/>
      <c r="NB104" s="1"/>
      <c r="NC104" s="1"/>
      <c r="ND104" s="1"/>
      <c r="NE104" s="1"/>
      <c r="NF104" s="1"/>
      <c r="NH104" s="16"/>
      <c r="NI104" s="96"/>
      <c r="NJ104" s="96"/>
      <c r="NK104" s="160"/>
      <c r="NL104" s="71"/>
      <c r="NM104" s="1"/>
      <c r="NN104" s="161"/>
      <c r="NO104" s="37"/>
      <c r="NP104" s="48"/>
      <c r="NQ104" s="38"/>
      <c r="NR104" s="38"/>
      <c r="NS104" s="38"/>
      <c r="NT104" s="38"/>
      <c r="NU104" s="38"/>
      <c r="NV104" s="38"/>
      <c r="NW104" s="38"/>
      <c r="NX104" s="38"/>
      <c r="NY104" s="38"/>
      <c r="NZ104" s="38"/>
      <c r="OA104" s="38"/>
      <c r="OB104" s="16"/>
      <c r="OC104" s="48"/>
      <c r="OD104" s="48"/>
      <c r="OE104" s="48"/>
      <c r="OF104" s="38"/>
      <c r="OG104" s="38"/>
      <c r="OH104" s="38"/>
      <c r="OI104" s="38"/>
      <c r="OJ104" s="38"/>
      <c r="OK104" s="38"/>
      <c r="OL104" s="38"/>
      <c r="OM104" s="38"/>
      <c r="ON104" s="38"/>
      <c r="OO104" s="38"/>
      <c r="OP104" s="38"/>
      <c r="OQ104" s="16"/>
      <c r="OR104" s="37"/>
      <c r="OS104" s="37"/>
      <c r="OT104" s="37"/>
      <c r="OU104" s="37"/>
      <c r="OV104" s="37"/>
      <c r="OW104" s="37"/>
      <c r="OX104" s="37"/>
      <c r="OY104" s="37"/>
      <c r="OZ104" s="37"/>
      <c r="PA104" s="37"/>
      <c r="PB104" s="37"/>
      <c r="PC104" s="37"/>
      <c r="PD104" s="37"/>
      <c r="PE104" s="37"/>
    </row>
    <row r="105" spans="2:421" ht="15.75" thickTop="1">
      <c r="B105" s="127" t="s">
        <v>38</v>
      </c>
      <c r="C105" s="128">
        <v>1.23</v>
      </c>
      <c r="D105" s="128">
        <v>1.107</v>
      </c>
      <c r="E105" s="128">
        <v>1.1068893</v>
      </c>
      <c r="F105" s="128">
        <v>0.79703999999999997</v>
      </c>
      <c r="G105" s="128">
        <v>0.63763199999999998</v>
      </c>
      <c r="LM105" s="1"/>
      <c r="LN105" s="1"/>
      <c r="LO105" s="1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1"/>
      <c r="MA105" s="1"/>
      <c r="MB105" s="1"/>
      <c r="MC105" s="1"/>
      <c r="MD105" s="1"/>
      <c r="ME105" s="1"/>
      <c r="MF105" s="1"/>
      <c r="MG105" s="1"/>
      <c r="MK105" s="137"/>
      <c r="ML105" s="1"/>
      <c r="MM105" s="1"/>
      <c r="MN105" s="1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1"/>
      <c r="MZ105" s="1"/>
      <c r="NA105" s="1"/>
      <c r="NB105" s="1"/>
      <c r="NC105" s="1"/>
      <c r="ND105" s="1"/>
      <c r="NE105" s="1"/>
      <c r="NF105" s="1"/>
      <c r="NH105" s="16"/>
      <c r="NI105" s="73"/>
      <c r="NJ105" s="73"/>
      <c r="NK105" s="73"/>
      <c r="NL105" s="68"/>
      <c r="NM105" s="1"/>
      <c r="NN105" s="61"/>
      <c r="NO105" s="16"/>
      <c r="NP105" s="46"/>
      <c r="NQ105" s="16"/>
      <c r="NR105" s="16"/>
      <c r="NS105" s="16"/>
      <c r="NT105" s="16"/>
      <c r="NU105" s="16"/>
      <c r="NV105" s="16"/>
      <c r="NW105" s="16"/>
      <c r="NX105" s="16"/>
      <c r="NY105" s="16"/>
      <c r="NZ105" s="16"/>
      <c r="OA105" s="16"/>
      <c r="OB105" s="16"/>
      <c r="OC105" s="27"/>
      <c r="OD105" s="27"/>
      <c r="OE105" s="2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6"/>
      <c r="OR105" s="16"/>
      <c r="OS105" s="16"/>
      <c r="OT105" s="16"/>
      <c r="OU105" s="16"/>
      <c r="OV105" s="16"/>
      <c r="OW105" s="16"/>
      <c r="OX105" s="16"/>
      <c r="OY105" s="16"/>
      <c r="OZ105" s="16"/>
      <c r="PA105" s="16"/>
      <c r="PB105" s="16"/>
      <c r="PC105" s="16"/>
      <c r="PD105" s="16"/>
      <c r="PE105" s="16"/>
    </row>
    <row r="106" spans="2:421">
      <c r="B106" s="127" t="s">
        <v>128</v>
      </c>
      <c r="C106" s="128">
        <v>2.0699999999999998</v>
      </c>
      <c r="D106" s="128">
        <v>2.0699999999999998</v>
      </c>
      <c r="E106" s="128">
        <v>2.7597239999999994</v>
      </c>
      <c r="F106" s="128">
        <v>2.7323999999999993</v>
      </c>
      <c r="G106" s="128">
        <v>2.7323999999999993</v>
      </c>
      <c r="LM106" s="1"/>
      <c r="LN106" s="1"/>
      <c r="LO106" s="1"/>
      <c r="LP106" s="2"/>
      <c r="LQ106" s="2"/>
      <c r="LR106" s="2"/>
      <c r="LS106" s="2"/>
      <c r="LT106" s="2"/>
      <c r="LU106" s="2"/>
      <c r="LV106" s="2"/>
      <c r="LW106" s="2"/>
      <c r="LX106" s="2"/>
      <c r="LY106" s="1"/>
      <c r="LZ106" s="1"/>
      <c r="MA106" s="1"/>
      <c r="MB106" s="1"/>
      <c r="MC106" s="1"/>
      <c r="MD106" s="1"/>
      <c r="ME106" s="1"/>
      <c r="MF106" s="1"/>
      <c r="MG106" s="1"/>
      <c r="MK106" s="137"/>
      <c r="ML106" s="1"/>
      <c r="MM106" s="1"/>
      <c r="MN106" s="1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1"/>
      <c r="MZ106" s="1"/>
      <c r="NA106" s="1"/>
      <c r="NB106" s="1"/>
      <c r="NC106" s="1"/>
      <c r="ND106" s="1"/>
      <c r="NE106" s="1"/>
      <c r="NF106" s="1"/>
      <c r="NH106" s="16"/>
      <c r="NI106" s="73"/>
      <c r="NJ106" s="73"/>
      <c r="NK106" s="73"/>
      <c r="NL106" s="68"/>
      <c r="NM106" s="1"/>
      <c r="NN106" s="57"/>
      <c r="NO106" s="16"/>
      <c r="NP106" s="44"/>
      <c r="NQ106" s="16"/>
      <c r="NR106" s="16"/>
      <c r="NS106" s="16"/>
      <c r="NT106" s="16"/>
      <c r="NU106" s="16"/>
      <c r="NV106" s="16"/>
      <c r="NW106" s="16"/>
      <c r="NX106" s="16"/>
      <c r="NY106" s="16"/>
      <c r="NZ106" s="16"/>
      <c r="OA106" s="16"/>
      <c r="OB106" s="16"/>
      <c r="OC106" s="27"/>
      <c r="OD106" s="27"/>
      <c r="OE106" s="2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6"/>
      <c r="OR106" s="16"/>
      <c r="OS106" s="16"/>
      <c r="OT106" s="16"/>
      <c r="OU106" s="16"/>
      <c r="OV106" s="16"/>
      <c r="OW106" s="16"/>
      <c r="OX106" s="16"/>
      <c r="OY106" s="16"/>
      <c r="OZ106" s="16"/>
      <c r="PA106" s="16"/>
      <c r="PB106" s="16"/>
      <c r="PC106" s="16"/>
      <c r="PD106" s="16"/>
      <c r="PE106" s="16"/>
    </row>
    <row r="107" spans="2:421">
      <c r="B107" s="127" t="s">
        <v>108</v>
      </c>
      <c r="C107" s="139">
        <v>1.6</v>
      </c>
      <c r="D107" s="139">
        <v>1.9200000000000004</v>
      </c>
      <c r="E107" s="139">
        <v>2.1331200000000003</v>
      </c>
      <c r="F107" s="139">
        <v>1.5360000000000003</v>
      </c>
      <c r="G107" s="139">
        <v>1.6896000000000004</v>
      </c>
      <c r="LM107" s="10"/>
      <c r="LN107" s="10"/>
      <c r="LO107" s="10"/>
      <c r="LP107" s="114"/>
      <c r="LQ107" s="114"/>
      <c r="LR107" s="114"/>
      <c r="LS107" s="114"/>
      <c r="LT107" s="114"/>
      <c r="LU107" s="114"/>
      <c r="LV107" s="114"/>
      <c r="LW107" s="114"/>
      <c r="LX107" s="114"/>
      <c r="LY107" s="10"/>
      <c r="LZ107" s="10"/>
      <c r="MA107" s="10"/>
      <c r="MB107" s="10"/>
      <c r="MC107" s="10"/>
      <c r="MD107" s="10"/>
      <c r="ME107" s="10"/>
      <c r="MF107" s="10"/>
      <c r="MG107" s="10"/>
      <c r="MK107" s="137"/>
      <c r="ML107" s="1"/>
      <c r="MM107" s="1"/>
      <c r="MN107" s="1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1"/>
      <c r="MZ107" s="1"/>
      <c r="NA107" s="1"/>
      <c r="NB107" s="1"/>
      <c r="NC107" s="1"/>
      <c r="ND107" s="1"/>
      <c r="NE107" s="1"/>
      <c r="NF107" s="1"/>
      <c r="NH107" s="16"/>
      <c r="NI107" s="73"/>
      <c r="NJ107" s="73"/>
      <c r="NK107" s="73"/>
      <c r="NL107" s="68"/>
      <c r="NM107" s="1"/>
      <c r="NN107" s="58"/>
      <c r="NO107" s="16"/>
      <c r="NP107" s="2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6"/>
      <c r="OC107" s="27"/>
      <c r="OD107" s="27"/>
      <c r="OE107" s="2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6"/>
      <c r="OR107" s="16"/>
      <c r="OS107" s="16"/>
      <c r="OT107" s="16"/>
      <c r="OU107" s="16"/>
      <c r="OV107" s="16"/>
      <c r="OW107" s="16"/>
      <c r="OX107" s="16"/>
      <c r="OY107" s="16"/>
      <c r="OZ107" s="16"/>
      <c r="PA107" s="16"/>
      <c r="PB107" s="16"/>
      <c r="PC107" s="16"/>
      <c r="PD107" s="16"/>
      <c r="PE107" s="16"/>
    </row>
    <row r="108" spans="2:421">
      <c r="B108" s="127" t="s">
        <v>154</v>
      </c>
      <c r="C108" s="128">
        <v>1.79</v>
      </c>
      <c r="D108" s="128">
        <v>1.7899999999999998</v>
      </c>
      <c r="E108" s="128">
        <v>1.5909519999999999</v>
      </c>
      <c r="F108" s="128">
        <v>1.5751999999999999</v>
      </c>
      <c r="G108" s="128">
        <v>1.2601599999999999</v>
      </c>
      <c r="LM108" s="1"/>
      <c r="LN108" s="1"/>
      <c r="LO108" s="1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1"/>
      <c r="MA108" s="1"/>
      <c r="MB108" s="1"/>
      <c r="MC108" s="1"/>
      <c r="MD108" s="1"/>
      <c r="ME108" s="1"/>
      <c r="MF108" s="1"/>
      <c r="MG108" s="1"/>
      <c r="MK108" s="137"/>
      <c r="ML108" s="1"/>
      <c r="MM108" s="1"/>
      <c r="MN108" s="1"/>
      <c r="MO108" s="2"/>
      <c r="MP108" s="2"/>
      <c r="MQ108" s="2"/>
      <c r="MR108" s="2"/>
      <c r="MS108" s="2"/>
      <c r="MT108" s="2"/>
      <c r="MU108" s="2"/>
      <c r="MV108" s="2"/>
      <c r="MW108" s="2"/>
      <c r="MX108" s="1"/>
      <c r="MY108" s="1"/>
      <c r="MZ108" s="1"/>
      <c r="NA108" s="1"/>
      <c r="NB108" s="1"/>
      <c r="NC108" s="1"/>
      <c r="ND108" s="1"/>
      <c r="NE108" s="1"/>
      <c r="NF108" s="1"/>
      <c r="NH108" s="16"/>
      <c r="NI108" s="73"/>
      <c r="NJ108" s="73"/>
      <c r="NK108" s="79"/>
      <c r="NL108" s="67"/>
      <c r="NM108" s="1"/>
      <c r="NN108" s="60"/>
      <c r="NO108" s="23"/>
      <c r="NP108" s="26"/>
      <c r="NQ108" s="53"/>
      <c r="NR108" s="53"/>
      <c r="NS108" s="53"/>
      <c r="NT108" s="53"/>
      <c r="NU108" s="53"/>
      <c r="NV108" s="53"/>
      <c r="NW108" s="53"/>
      <c r="NX108" s="53"/>
      <c r="NY108" s="53"/>
      <c r="NZ108" s="53"/>
      <c r="OA108" s="53"/>
      <c r="OB108" s="16"/>
      <c r="OC108" s="26"/>
      <c r="OD108" s="26"/>
      <c r="OE108" s="26"/>
      <c r="OF108" s="53"/>
      <c r="OG108" s="53"/>
      <c r="OH108" s="53"/>
      <c r="OI108" s="53"/>
      <c r="OJ108" s="53"/>
      <c r="OK108" s="53"/>
      <c r="OL108" s="53"/>
      <c r="OM108" s="53"/>
      <c r="ON108" s="53"/>
      <c r="OO108" s="53"/>
      <c r="OP108" s="53"/>
      <c r="OQ108" s="16"/>
      <c r="OR108" s="23"/>
      <c r="OS108" s="23"/>
      <c r="OT108" s="23"/>
      <c r="OU108" s="23"/>
      <c r="OV108" s="23"/>
      <c r="OW108" s="23"/>
      <c r="OX108" s="23"/>
      <c r="OY108" s="23"/>
      <c r="OZ108" s="23"/>
      <c r="PA108" s="23"/>
      <c r="PB108" s="23"/>
      <c r="PC108" s="23"/>
      <c r="PD108" s="23"/>
      <c r="PE108" s="23"/>
    </row>
    <row r="109" spans="2:421" ht="23.25">
      <c r="B109" s="127" t="s">
        <v>114</v>
      </c>
      <c r="C109" s="140">
        <v>1.38</v>
      </c>
      <c r="D109" s="140">
        <v>1.6559999999999999</v>
      </c>
      <c r="E109" s="140">
        <v>1.4718528</v>
      </c>
      <c r="F109" s="140">
        <v>1.3248</v>
      </c>
      <c r="G109" s="140">
        <v>1.4572799999999999</v>
      </c>
      <c r="LM109" s="1"/>
      <c r="LN109" s="1"/>
      <c r="LO109" s="1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1"/>
      <c r="MA109" s="1"/>
      <c r="MB109" s="1"/>
      <c r="MC109" s="1"/>
      <c r="MD109" s="1"/>
      <c r="ME109" s="1"/>
      <c r="MF109" s="1"/>
      <c r="MG109" s="1"/>
      <c r="MK109" s="137"/>
      <c r="ML109" s="10"/>
      <c r="MM109" s="10"/>
      <c r="MN109" s="10"/>
      <c r="MO109" s="114"/>
      <c r="MP109" s="114"/>
      <c r="MQ109" s="114"/>
      <c r="MR109" s="114"/>
      <c r="MS109" s="114"/>
      <c r="MT109" s="114"/>
      <c r="MU109" s="114"/>
      <c r="MV109" s="114"/>
      <c r="MW109" s="114"/>
      <c r="MX109" s="10"/>
      <c r="MY109" s="10"/>
      <c r="MZ109" s="10"/>
      <c r="NA109" s="10"/>
      <c r="NB109" s="10"/>
      <c r="NC109" s="10"/>
      <c r="ND109" s="10"/>
      <c r="NE109" s="10"/>
      <c r="NF109" s="10"/>
      <c r="NH109" s="16"/>
      <c r="NI109" s="73"/>
      <c r="NJ109" s="98"/>
      <c r="NK109" s="85"/>
      <c r="NL109" s="68"/>
      <c r="NM109" s="1"/>
      <c r="NN109" s="58"/>
      <c r="NO109" s="16"/>
      <c r="NP109" s="2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6"/>
      <c r="OC109" s="27"/>
      <c r="OD109" s="27"/>
      <c r="OE109" s="2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6"/>
      <c r="OR109" s="16"/>
      <c r="OS109" s="16"/>
      <c r="OT109" s="16"/>
      <c r="OU109" s="16"/>
      <c r="OV109" s="16"/>
      <c r="OW109" s="16"/>
      <c r="OX109" s="16"/>
      <c r="OY109" s="16"/>
      <c r="OZ109" s="16"/>
      <c r="PA109" s="16"/>
      <c r="PB109" s="16"/>
      <c r="PC109" s="16"/>
      <c r="PD109" s="16"/>
      <c r="PE109" s="16"/>
    </row>
    <row r="110" spans="2:421">
      <c r="B110" s="127" t="s">
        <v>34</v>
      </c>
      <c r="C110" s="128">
        <v>1.51</v>
      </c>
      <c r="D110" s="128">
        <v>1.359</v>
      </c>
      <c r="E110" s="128">
        <v>1.2078791999999998</v>
      </c>
      <c r="F110" s="128">
        <v>0.97847999999999991</v>
      </c>
      <c r="G110" s="128">
        <v>0.88063199999999997</v>
      </c>
      <c r="LM110" s="1"/>
      <c r="LN110" s="1"/>
      <c r="LO110" s="1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1"/>
      <c r="MA110" s="1"/>
      <c r="MB110" s="1"/>
      <c r="MC110" s="1"/>
      <c r="MD110" s="1"/>
      <c r="ME110" s="1"/>
      <c r="MF110" s="1"/>
      <c r="MG110" s="1"/>
      <c r="MK110" s="137"/>
      <c r="ML110" s="1"/>
      <c r="MM110" s="1"/>
      <c r="MN110" s="1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1"/>
      <c r="MZ110" s="1"/>
      <c r="NA110" s="1"/>
      <c r="NB110" s="1"/>
      <c r="NC110" s="1"/>
      <c r="ND110" s="1"/>
      <c r="NE110" s="1"/>
      <c r="NF110" s="1"/>
      <c r="NH110" s="16"/>
      <c r="NI110" s="73"/>
      <c r="NJ110" s="73"/>
      <c r="NK110" s="73"/>
      <c r="NL110" s="68"/>
      <c r="NM110" s="1"/>
      <c r="NN110" s="57"/>
      <c r="NO110" s="16"/>
      <c r="NP110" s="44"/>
      <c r="NQ110" s="16"/>
      <c r="NR110" s="16"/>
      <c r="NS110" s="16"/>
      <c r="NT110" s="16"/>
      <c r="NU110" s="16"/>
      <c r="NV110" s="16"/>
      <c r="NW110" s="16"/>
      <c r="NX110" s="16"/>
      <c r="NY110" s="16"/>
      <c r="NZ110" s="16"/>
      <c r="OA110" s="16"/>
      <c r="OB110" s="16"/>
      <c r="OC110" s="27"/>
      <c r="OD110" s="27"/>
      <c r="OE110" s="2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6"/>
      <c r="OR110" s="16"/>
      <c r="OS110" s="16"/>
      <c r="OT110" s="16"/>
      <c r="OU110" s="16"/>
      <c r="OV110" s="16"/>
      <c r="OW110" s="16"/>
      <c r="OX110" s="16"/>
      <c r="OY110" s="16"/>
      <c r="OZ110" s="16"/>
      <c r="PA110" s="16"/>
      <c r="PB110" s="16"/>
      <c r="PC110" s="16"/>
      <c r="PD110" s="16"/>
      <c r="PE110" s="16"/>
    </row>
    <row r="111" spans="2:421" ht="23.25">
      <c r="B111" s="126" t="s">
        <v>63</v>
      </c>
      <c r="C111" s="129">
        <v>1.57</v>
      </c>
      <c r="D111" s="129">
        <v>1.413</v>
      </c>
      <c r="E111" s="129">
        <v>1.7268273000000001</v>
      </c>
      <c r="F111" s="129">
        <v>1.2434400000000001</v>
      </c>
      <c r="G111" s="129">
        <v>1.1190960000000001</v>
      </c>
      <c r="LM111" s="1"/>
      <c r="LN111" s="1"/>
      <c r="LO111" s="1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1"/>
      <c r="MA111" s="1"/>
      <c r="MB111" s="1"/>
      <c r="MC111" s="1"/>
      <c r="MD111" s="1"/>
      <c r="ME111" s="1"/>
      <c r="MF111" s="1"/>
      <c r="MG111" s="1"/>
      <c r="MK111" s="137"/>
      <c r="ML111" s="1"/>
      <c r="MM111" s="1"/>
      <c r="MN111" s="1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1"/>
      <c r="MZ111" s="1"/>
      <c r="NA111" s="1"/>
      <c r="NB111" s="1"/>
      <c r="NC111" s="1"/>
      <c r="ND111" s="1"/>
      <c r="NE111" s="1"/>
      <c r="NF111" s="1"/>
      <c r="NH111" s="16"/>
      <c r="NI111" s="73"/>
      <c r="NJ111" s="73"/>
      <c r="NK111" s="73"/>
      <c r="NL111" s="68"/>
      <c r="NM111" s="1"/>
      <c r="NN111" s="58"/>
      <c r="NO111" s="16"/>
      <c r="NP111" s="2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6"/>
      <c r="OC111" s="27"/>
      <c r="OD111" s="27"/>
      <c r="OE111" s="2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6"/>
      <c r="OR111" s="16"/>
      <c r="OS111" s="16"/>
      <c r="OT111" s="16"/>
      <c r="OU111" s="16"/>
      <c r="OV111" s="16"/>
      <c r="OW111" s="16"/>
      <c r="OX111" s="16"/>
      <c r="OY111" s="16"/>
      <c r="OZ111" s="16"/>
      <c r="PA111" s="16"/>
      <c r="PB111" s="16"/>
      <c r="PC111" s="16"/>
      <c r="PD111" s="16"/>
      <c r="PE111" s="16"/>
    </row>
    <row r="112" spans="2:421" ht="23.25">
      <c r="B112" s="127" t="s">
        <v>86</v>
      </c>
      <c r="C112" s="128">
        <v>1.71</v>
      </c>
      <c r="D112" s="128">
        <v>2.052</v>
      </c>
      <c r="E112" s="128">
        <v>2.5077492000000001</v>
      </c>
      <c r="F112" s="128">
        <v>2.7086399999999999</v>
      </c>
      <c r="G112" s="128">
        <v>2.9795039999999999</v>
      </c>
      <c r="LM112" s="1"/>
      <c r="LN112" s="1"/>
      <c r="LO112" s="1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1"/>
      <c r="MA112" s="1"/>
      <c r="MB112" s="1"/>
      <c r="MC112" s="1"/>
      <c r="MD112" s="1"/>
      <c r="ME112" s="1"/>
      <c r="MF112" s="1"/>
      <c r="MG112" s="1"/>
      <c r="MK112" s="137"/>
      <c r="ML112" s="1"/>
      <c r="MM112" s="1"/>
      <c r="MN112" s="1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1"/>
      <c r="MZ112" s="1"/>
      <c r="NA112" s="1"/>
      <c r="NB112" s="1"/>
      <c r="NC112" s="1"/>
      <c r="ND112" s="1"/>
      <c r="NE112" s="1"/>
      <c r="NF112" s="1"/>
      <c r="NH112" s="16"/>
      <c r="NI112" s="73"/>
      <c r="NJ112" s="73"/>
      <c r="NK112" s="73"/>
      <c r="NL112" s="68"/>
      <c r="NM112" s="1"/>
      <c r="NN112" s="58"/>
      <c r="NO112" s="16"/>
      <c r="NP112" s="2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6"/>
      <c r="OC112" s="27"/>
      <c r="OD112" s="27"/>
      <c r="OE112" s="2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6"/>
      <c r="OR112" s="16"/>
      <c r="OS112" s="16"/>
      <c r="OT112" s="16"/>
      <c r="OU112" s="16"/>
      <c r="OV112" s="16"/>
      <c r="OW112" s="16"/>
      <c r="OX112" s="16"/>
      <c r="OY112" s="16"/>
      <c r="OZ112" s="16"/>
      <c r="PA112" s="16"/>
      <c r="PB112" s="16"/>
      <c r="PC112" s="16"/>
      <c r="PD112" s="16"/>
      <c r="PE112" s="16"/>
    </row>
    <row r="113" spans="2:421" ht="23.25">
      <c r="B113" s="126" t="s">
        <v>81</v>
      </c>
      <c r="C113" s="129">
        <v>1.52</v>
      </c>
      <c r="D113" s="129">
        <v>1.216</v>
      </c>
      <c r="E113" s="129">
        <v>1.2158783999999998</v>
      </c>
      <c r="F113" s="129">
        <v>0.87551999999999985</v>
      </c>
      <c r="G113" s="129">
        <v>0.78796799999999989</v>
      </c>
      <c r="LM113" s="1"/>
      <c r="LN113" s="1"/>
      <c r="LO113" s="1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1"/>
      <c r="MA113" s="1"/>
      <c r="MB113" s="1"/>
      <c r="MC113" s="1"/>
      <c r="MD113" s="1"/>
      <c r="ME113" s="1"/>
      <c r="MF113" s="1"/>
      <c r="MG113" s="1"/>
      <c r="MK113" s="137"/>
      <c r="ML113" s="1"/>
      <c r="MM113" s="1"/>
      <c r="MN113" s="1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1"/>
      <c r="MZ113" s="1"/>
      <c r="NA113" s="1"/>
      <c r="NB113" s="1"/>
      <c r="NC113" s="1"/>
      <c r="ND113" s="1"/>
      <c r="NE113" s="1"/>
      <c r="NF113" s="1"/>
      <c r="NH113" s="16"/>
      <c r="NI113" s="73"/>
      <c r="NJ113" s="73"/>
      <c r="NK113" s="73"/>
      <c r="NL113" s="68"/>
      <c r="NM113" s="1"/>
      <c r="NN113" s="58"/>
      <c r="NO113" s="16"/>
      <c r="NP113" s="2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6"/>
      <c r="OC113" s="27"/>
      <c r="OD113" s="27"/>
      <c r="OE113" s="2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6"/>
      <c r="OR113" s="16"/>
      <c r="OS113" s="16"/>
      <c r="OT113" s="16"/>
      <c r="OU113" s="16"/>
      <c r="OV113" s="16"/>
      <c r="OW113" s="16"/>
      <c r="OX113" s="16"/>
      <c r="OY113" s="16"/>
      <c r="OZ113" s="16"/>
      <c r="PA113" s="16"/>
      <c r="PB113" s="16"/>
      <c r="PC113" s="16"/>
      <c r="PD113" s="16"/>
      <c r="PE113" s="16"/>
    </row>
    <row r="114" spans="2:421">
      <c r="B114" s="127" t="s">
        <v>162</v>
      </c>
      <c r="C114" s="128">
        <v>1.82</v>
      </c>
      <c r="D114" s="128">
        <v>1.6379999999999999</v>
      </c>
      <c r="E114" s="128">
        <v>2.0017998000000001</v>
      </c>
      <c r="F114" s="128">
        <v>2.1621600000000001</v>
      </c>
      <c r="G114" s="128">
        <v>1.7297280000000002</v>
      </c>
      <c r="LM114" s="1"/>
      <c r="LN114" s="1"/>
      <c r="LO114" s="1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1"/>
      <c r="MA114" s="1"/>
      <c r="MB114" s="1"/>
      <c r="MC114" s="1"/>
      <c r="MD114" s="1"/>
      <c r="ME114" s="1"/>
      <c r="MF114" s="1"/>
      <c r="MG114" s="1"/>
      <c r="MK114" s="137"/>
      <c r="ML114" s="1"/>
      <c r="MM114" s="1"/>
      <c r="MN114" s="1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1"/>
      <c r="MZ114" s="1"/>
      <c r="NA114" s="1"/>
      <c r="NB114" s="1"/>
      <c r="NC114" s="1"/>
      <c r="ND114" s="1"/>
      <c r="NE114" s="1"/>
      <c r="NF114" s="1"/>
      <c r="NH114" s="16"/>
      <c r="NI114" s="73"/>
      <c r="NJ114" s="73"/>
      <c r="NK114" s="83"/>
      <c r="NL114" s="68"/>
      <c r="NM114" s="1"/>
      <c r="NN114" s="58"/>
      <c r="NO114" s="16"/>
      <c r="NP114" s="27"/>
      <c r="NQ114" s="52"/>
      <c r="NR114" s="52"/>
      <c r="NS114" s="52"/>
      <c r="NT114" s="52"/>
      <c r="NU114" s="52"/>
      <c r="NV114" s="52"/>
      <c r="NW114" s="52"/>
      <c r="NX114" s="52"/>
      <c r="NY114" s="52"/>
      <c r="NZ114" s="52"/>
      <c r="OA114" s="52"/>
      <c r="OB114" s="16"/>
      <c r="OC114" s="27"/>
      <c r="OD114" s="27"/>
      <c r="OE114" s="2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6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</row>
    <row r="115" spans="2:421">
      <c r="B115" s="126" t="s">
        <v>43</v>
      </c>
      <c r="C115" s="141">
        <v>1.41</v>
      </c>
      <c r="D115" s="141">
        <v>1.1279999999999999</v>
      </c>
      <c r="E115" s="141">
        <v>1.1278871999999998</v>
      </c>
      <c r="F115" s="141">
        <v>1.0151999999999999</v>
      </c>
      <c r="G115" s="141">
        <v>1.1167199999999999</v>
      </c>
      <c r="LM115" s="1"/>
      <c r="LN115" s="1"/>
      <c r="LO115" s="1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1"/>
      <c r="MA115" s="1"/>
      <c r="MB115" s="1"/>
      <c r="MC115" s="1"/>
      <c r="MD115" s="1"/>
      <c r="ME115" s="1"/>
      <c r="MF115" s="1"/>
      <c r="MG115" s="1"/>
      <c r="MK115" s="137"/>
      <c r="ML115" s="1"/>
      <c r="MM115" s="1"/>
      <c r="MN115" s="1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1"/>
      <c r="MZ115" s="1"/>
      <c r="NA115" s="1"/>
      <c r="NB115" s="1"/>
      <c r="NC115" s="1"/>
      <c r="ND115" s="1"/>
      <c r="NE115" s="1"/>
      <c r="NF115" s="1"/>
      <c r="NH115" s="16"/>
      <c r="NI115" s="73"/>
      <c r="NJ115" s="73"/>
      <c r="NK115" s="79"/>
      <c r="NL115" s="67"/>
      <c r="NM115" s="1"/>
      <c r="NN115" s="58"/>
      <c r="NO115" s="23"/>
      <c r="NP115" s="2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6"/>
      <c r="OC115" s="27"/>
      <c r="OD115" s="27"/>
      <c r="OE115" s="2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6"/>
      <c r="OR115" s="23"/>
      <c r="OS115" s="23"/>
      <c r="OT115" s="23"/>
      <c r="OU115" s="23"/>
      <c r="OV115" s="23"/>
      <c r="OW115" s="23"/>
      <c r="OX115" s="23"/>
      <c r="OY115" s="23"/>
      <c r="OZ115" s="23"/>
      <c r="PA115" s="23"/>
      <c r="PB115" s="23"/>
      <c r="PC115" s="23"/>
      <c r="PD115" s="23"/>
      <c r="PE115" s="23"/>
    </row>
    <row r="116" spans="2:421">
      <c r="B116" s="126" t="s">
        <v>7</v>
      </c>
      <c r="C116" s="141">
        <v>2.1800000000000002</v>
      </c>
      <c r="D116" s="141">
        <v>2.3980000000000001</v>
      </c>
      <c r="E116" s="141">
        <v>2.6641780000000002</v>
      </c>
      <c r="F116" s="141">
        <v>2.3980000000000001</v>
      </c>
      <c r="G116" s="141">
        <v>2.3980000000000001</v>
      </c>
      <c r="LM116" s="1"/>
      <c r="LN116" s="1"/>
      <c r="LO116" s="1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1"/>
      <c r="MA116" s="1"/>
      <c r="MB116" s="1"/>
      <c r="MC116" s="1"/>
      <c r="MD116" s="1"/>
      <c r="ME116" s="1"/>
      <c r="MF116" s="1"/>
      <c r="MG116" s="1"/>
      <c r="MK116" s="137"/>
      <c r="ML116" s="1"/>
      <c r="MM116" s="1"/>
      <c r="MN116" s="1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1"/>
      <c r="MZ116" s="1"/>
      <c r="NA116" s="1"/>
      <c r="NB116" s="1"/>
      <c r="NC116" s="1"/>
      <c r="ND116" s="1"/>
      <c r="NE116" s="1"/>
      <c r="NF116" s="1"/>
      <c r="NH116" s="16"/>
      <c r="NI116" s="73"/>
      <c r="NJ116" s="98"/>
      <c r="NK116" s="85"/>
      <c r="NL116" s="70"/>
      <c r="NM116" s="1"/>
      <c r="NN116" s="162"/>
      <c r="NO116" s="34"/>
      <c r="NP116" s="49"/>
      <c r="NQ116" s="35"/>
      <c r="NR116" s="35"/>
      <c r="NS116" s="35"/>
      <c r="NT116" s="35"/>
      <c r="NU116" s="35"/>
      <c r="NV116" s="35"/>
      <c r="NW116" s="35"/>
      <c r="NX116" s="35"/>
      <c r="NY116" s="35"/>
      <c r="NZ116" s="35"/>
      <c r="OA116" s="35"/>
      <c r="OB116" s="16"/>
      <c r="OC116" s="49"/>
      <c r="OD116" s="49"/>
      <c r="OE116" s="49"/>
      <c r="OF116" s="35"/>
      <c r="OG116" s="35"/>
      <c r="OH116" s="35"/>
      <c r="OI116" s="35"/>
      <c r="OJ116" s="35"/>
      <c r="OK116" s="35"/>
      <c r="OL116" s="35"/>
      <c r="OM116" s="35"/>
      <c r="ON116" s="35"/>
      <c r="OO116" s="35"/>
      <c r="OP116" s="35"/>
      <c r="OQ116" s="16"/>
      <c r="OR116" s="34"/>
      <c r="OS116" s="34"/>
      <c r="OT116" s="34"/>
      <c r="OU116" s="34"/>
      <c r="OV116" s="34"/>
      <c r="OW116" s="34"/>
      <c r="OX116" s="34"/>
      <c r="OY116" s="34"/>
      <c r="OZ116" s="34"/>
      <c r="PA116" s="34"/>
      <c r="PB116" s="34"/>
      <c r="PC116" s="34"/>
      <c r="PD116" s="34"/>
      <c r="PE116" s="34"/>
    </row>
    <row r="117" spans="2:421" ht="15.75" thickBot="1">
      <c r="B117" s="126" t="s">
        <v>141</v>
      </c>
      <c r="C117" s="141">
        <v>1.46</v>
      </c>
      <c r="D117" s="141">
        <v>1.752</v>
      </c>
      <c r="E117" s="141">
        <v>1.7518247999999998</v>
      </c>
      <c r="F117" s="141">
        <v>1.2614399999999999</v>
      </c>
      <c r="G117" s="141">
        <v>1.1352959999999999</v>
      </c>
      <c r="LM117" s="1"/>
      <c r="LN117" s="1"/>
      <c r="LO117" s="1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1"/>
      <c r="MA117" s="1"/>
      <c r="MB117" s="1"/>
      <c r="MC117" s="1"/>
      <c r="MD117" s="1"/>
      <c r="ME117" s="1"/>
      <c r="MF117" s="1"/>
      <c r="MG117" s="1"/>
      <c r="MK117" s="137"/>
      <c r="ML117" s="1"/>
      <c r="MM117" s="1"/>
      <c r="MN117" s="1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1"/>
      <c r="MZ117" s="1"/>
      <c r="NA117" s="1"/>
      <c r="NB117" s="1"/>
      <c r="NC117" s="1"/>
      <c r="ND117" s="1"/>
      <c r="NE117" s="1"/>
      <c r="NF117" s="1"/>
      <c r="NH117" s="16"/>
      <c r="NI117" s="96"/>
      <c r="NJ117" s="96"/>
      <c r="NK117" s="96"/>
      <c r="NL117" s="163"/>
      <c r="NM117" s="1"/>
      <c r="NN117" s="161"/>
      <c r="NO117" s="164"/>
      <c r="NP117" s="4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16"/>
      <c r="OC117" s="48"/>
      <c r="OD117" s="48"/>
      <c r="OE117" s="4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16"/>
      <c r="OR117" s="164"/>
      <c r="OS117" s="164"/>
      <c r="OT117" s="164"/>
      <c r="OU117" s="164"/>
      <c r="OV117" s="164"/>
      <c r="OW117" s="164"/>
      <c r="OX117" s="164"/>
      <c r="OY117" s="164"/>
      <c r="OZ117" s="164"/>
      <c r="PA117" s="164"/>
      <c r="PB117" s="164"/>
      <c r="PC117" s="164"/>
      <c r="PD117" s="164"/>
      <c r="PE117" s="164"/>
    </row>
    <row r="118" spans="2:421" ht="15.75" thickTop="1">
      <c r="B118" s="127" t="s">
        <v>102</v>
      </c>
      <c r="C118" s="128">
        <v>2.27</v>
      </c>
      <c r="D118" s="128">
        <v>2.0430000000000001</v>
      </c>
      <c r="E118" s="128">
        <v>2.7237276000000001</v>
      </c>
      <c r="F118" s="128">
        <v>2.2064399999999997</v>
      </c>
      <c r="G118" s="128">
        <v>2.4270839999999998</v>
      </c>
      <c r="LM118" s="1"/>
      <c r="LN118" s="1"/>
      <c r="LO118" s="1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1"/>
      <c r="MA118" s="1"/>
      <c r="MB118" s="1"/>
      <c r="MC118" s="1"/>
      <c r="MD118" s="1"/>
      <c r="ME118" s="1"/>
      <c r="MF118" s="1"/>
      <c r="MG118" s="1"/>
      <c r="MK118" s="137"/>
      <c r="ML118" s="1"/>
      <c r="MM118" s="1"/>
      <c r="MN118" s="1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1"/>
      <c r="MZ118" s="1"/>
      <c r="NA118" s="1"/>
      <c r="NB118" s="1"/>
      <c r="NC118" s="1"/>
      <c r="ND118" s="1"/>
      <c r="NE118" s="1"/>
      <c r="NF118" s="1"/>
      <c r="NH118" s="16"/>
      <c r="NI118" s="1"/>
      <c r="NJ118" s="1"/>
      <c r="NK118" s="1"/>
      <c r="NL118" s="9"/>
      <c r="NM118" s="1"/>
      <c r="NN118" s="16"/>
      <c r="NO118" s="16"/>
      <c r="NP118" s="44"/>
      <c r="NQ118" s="16"/>
      <c r="NR118" s="16"/>
      <c r="NS118" s="16"/>
      <c r="NT118" s="16"/>
      <c r="NU118" s="16"/>
      <c r="NV118" s="16"/>
      <c r="NW118" s="16"/>
      <c r="NX118" s="16"/>
      <c r="NY118" s="16"/>
      <c r="NZ118" s="16"/>
      <c r="OA118" s="16"/>
      <c r="OB118" s="16"/>
      <c r="OC118" s="16"/>
      <c r="OD118" s="16"/>
      <c r="OE118" s="16"/>
      <c r="OF118" s="16"/>
      <c r="OG118" s="16"/>
      <c r="OH118" s="16"/>
      <c r="OI118" s="16"/>
      <c r="OJ118" s="16"/>
      <c r="OK118" s="16"/>
      <c r="OL118" s="16"/>
      <c r="OM118" s="16"/>
      <c r="ON118" s="16"/>
      <c r="OO118" s="16"/>
      <c r="OP118" s="16"/>
      <c r="OQ118" s="16"/>
      <c r="OR118" s="16"/>
      <c r="OS118" s="16"/>
      <c r="OT118" s="16"/>
      <c r="OU118" s="16"/>
      <c r="OV118" s="16"/>
      <c r="OW118" s="16"/>
      <c r="OX118" s="16"/>
      <c r="OY118" s="16"/>
      <c r="OZ118" s="16"/>
      <c r="PA118" s="16"/>
      <c r="PB118" s="16"/>
      <c r="PC118" s="16"/>
      <c r="PD118" s="16"/>
      <c r="PE118" s="16"/>
    </row>
    <row r="119" spans="2:421">
      <c r="B119" s="127" t="s">
        <v>118</v>
      </c>
      <c r="C119" s="128">
        <v>1.58</v>
      </c>
      <c r="D119" s="128">
        <v>1.58</v>
      </c>
      <c r="E119" s="128">
        <v>1.7553800000000002</v>
      </c>
      <c r="F119" s="128">
        <v>1.264</v>
      </c>
      <c r="G119" s="128">
        <v>1.5167999999999999</v>
      </c>
      <c r="LM119" s="1"/>
      <c r="LN119" s="1"/>
      <c r="LO119" s="1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1"/>
      <c r="MA119" s="1"/>
      <c r="MB119" s="1"/>
      <c r="MC119" s="1"/>
      <c r="MD119" s="1"/>
      <c r="ME119" s="1"/>
      <c r="MF119" s="1"/>
      <c r="MG119" s="1"/>
      <c r="MK119" s="137"/>
      <c r="ML119" s="1"/>
      <c r="MM119" s="1"/>
      <c r="MN119" s="1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1"/>
      <c r="MZ119" s="1"/>
      <c r="NA119" s="1"/>
      <c r="NB119" s="1"/>
      <c r="NC119" s="1"/>
      <c r="ND119" s="1"/>
      <c r="NE119" s="1"/>
      <c r="NF119" s="1"/>
      <c r="NH119" s="16"/>
      <c r="NI119" s="18"/>
      <c r="NJ119" s="18"/>
      <c r="NK119" s="18"/>
      <c r="NL119" s="39"/>
      <c r="NM119" s="1"/>
      <c r="NN119" s="40"/>
      <c r="NO119" s="40"/>
      <c r="NP119" s="45"/>
      <c r="NQ119" s="45"/>
      <c r="NR119" s="45"/>
      <c r="NS119" s="45"/>
      <c r="NT119" s="45"/>
      <c r="NU119" s="45"/>
      <c r="NV119" s="45"/>
      <c r="NW119" s="45"/>
      <c r="NX119" s="45"/>
      <c r="NY119" s="45"/>
      <c r="NZ119" s="45"/>
      <c r="OA119" s="45"/>
      <c r="OB119" s="16"/>
      <c r="OC119" s="45"/>
      <c r="OD119" s="45"/>
      <c r="OE119" s="45"/>
      <c r="OF119" s="45"/>
      <c r="OG119" s="45"/>
      <c r="OH119" s="45"/>
      <c r="OI119" s="45"/>
      <c r="OJ119" s="45"/>
      <c r="OK119" s="45"/>
      <c r="OL119" s="45"/>
      <c r="OM119" s="45"/>
      <c r="ON119" s="45"/>
      <c r="OO119" s="45"/>
      <c r="OP119" s="45"/>
      <c r="OQ119" s="16"/>
      <c r="OR119" s="45"/>
      <c r="OS119" s="45"/>
      <c r="OT119" s="45"/>
      <c r="OU119" s="45"/>
      <c r="OV119" s="45"/>
      <c r="OW119" s="45"/>
      <c r="OX119" s="45"/>
      <c r="OY119" s="45"/>
      <c r="OZ119" s="45"/>
      <c r="PA119" s="45"/>
      <c r="PB119" s="45"/>
      <c r="PC119" s="45"/>
      <c r="PD119" s="45"/>
      <c r="PE119" s="45"/>
    </row>
    <row r="120" spans="2:421" ht="23.25">
      <c r="B120" s="127" t="s">
        <v>62</v>
      </c>
      <c r="C120" s="132">
        <v>2.11</v>
      </c>
      <c r="D120" s="132">
        <v>2.3209999999999997</v>
      </c>
      <c r="E120" s="132">
        <v>2.5786309999999997</v>
      </c>
      <c r="F120" s="132">
        <v>1.8567999999999998</v>
      </c>
      <c r="G120" s="132">
        <v>1.4854399999999999</v>
      </c>
      <c r="LM120" s="1"/>
      <c r="LN120" s="1"/>
      <c r="LO120" s="1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1"/>
      <c r="MA120" s="1"/>
      <c r="MB120" s="1"/>
      <c r="MC120" s="1"/>
      <c r="MD120" s="1"/>
      <c r="ME120" s="1"/>
      <c r="MF120" s="1"/>
      <c r="MG120" s="1"/>
      <c r="MK120" s="137"/>
      <c r="ML120" s="1"/>
      <c r="MM120" s="1"/>
      <c r="MN120" s="1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1"/>
      <c r="MZ120" s="1"/>
      <c r="NA120" s="1"/>
      <c r="NB120" s="1"/>
      <c r="NC120" s="1"/>
      <c r="ND120" s="1"/>
      <c r="NE120" s="1"/>
      <c r="NF120" s="1"/>
      <c r="NH120" s="1"/>
      <c r="NI120" s="1"/>
      <c r="NJ120" s="1"/>
      <c r="NK120" s="1"/>
      <c r="NL120" s="9"/>
      <c r="NM120" s="1"/>
      <c r="NN120" s="16"/>
      <c r="NO120" s="16"/>
      <c r="NP120" s="16"/>
      <c r="NQ120" s="16"/>
      <c r="NR120" s="16"/>
      <c r="NS120" s="16"/>
      <c r="NT120" s="16"/>
      <c r="NU120" s="16"/>
      <c r="NV120" s="16"/>
      <c r="NW120" s="16"/>
      <c r="NX120" s="16"/>
      <c r="NY120" s="16"/>
      <c r="NZ120" s="16"/>
      <c r="OA120" s="16"/>
      <c r="OB120" s="16"/>
      <c r="OC120" s="16"/>
      <c r="OD120" s="16"/>
      <c r="OE120" s="16"/>
      <c r="OF120" s="17"/>
      <c r="OG120" s="17"/>
      <c r="OH120" s="17"/>
      <c r="OI120" s="17"/>
      <c r="OJ120" s="17"/>
      <c r="OK120" s="17"/>
      <c r="OL120" s="17"/>
      <c r="OM120" s="17"/>
      <c r="ON120" s="17"/>
      <c r="OO120" s="16"/>
      <c r="OP120" s="16"/>
      <c r="OQ120" s="16"/>
      <c r="OR120" s="16"/>
      <c r="OS120" s="16"/>
      <c r="OT120" s="16"/>
      <c r="OU120" s="16"/>
      <c r="OV120" s="16"/>
      <c r="OW120" s="16"/>
      <c r="OX120" s="16"/>
      <c r="OY120" s="16"/>
      <c r="OZ120" s="16"/>
      <c r="PA120" s="16"/>
      <c r="PB120" s="16"/>
      <c r="PC120" s="16"/>
      <c r="PD120" s="16"/>
      <c r="PE120" s="16"/>
    </row>
    <row r="121" spans="2:421">
      <c r="B121" s="126" t="s">
        <v>71</v>
      </c>
      <c r="C121" s="141">
        <v>1.62</v>
      </c>
      <c r="D121" s="141">
        <v>1.4580000000000002</v>
      </c>
      <c r="E121" s="141">
        <v>1.2958704000000001</v>
      </c>
      <c r="F121" s="141">
        <v>1.1664000000000001</v>
      </c>
      <c r="G121" s="141">
        <v>1.1664000000000001</v>
      </c>
      <c r="LM121" s="1"/>
      <c r="LN121" s="1"/>
      <c r="LO121" s="1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1"/>
      <c r="MA121" s="1"/>
      <c r="MB121" s="1"/>
      <c r="MC121" s="1"/>
      <c r="MD121" s="1"/>
      <c r="ME121" s="1"/>
      <c r="MF121" s="1"/>
      <c r="MG121" s="1"/>
      <c r="MK121" s="137"/>
      <c r="ML121" s="1"/>
      <c r="MM121" s="1"/>
      <c r="MN121" s="1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1"/>
      <c r="MZ121" s="1"/>
      <c r="NA121" s="1"/>
      <c r="NB121" s="1"/>
      <c r="NC121" s="1"/>
      <c r="ND121" s="1"/>
      <c r="NE121" s="1"/>
      <c r="NF121" s="1"/>
      <c r="NH121" s="1"/>
      <c r="NI121" s="1"/>
      <c r="NJ121" s="1"/>
      <c r="NK121" s="1"/>
      <c r="NL121" s="9"/>
      <c r="NM121" s="1"/>
      <c r="NN121" s="16"/>
      <c r="NO121" s="16"/>
      <c r="NP121" s="16"/>
      <c r="NQ121" s="16"/>
      <c r="NR121" s="16"/>
      <c r="NS121" s="16"/>
      <c r="NT121" s="16"/>
      <c r="NU121" s="16"/>
      <c r="NV121" s="16"/>
      <c r="NW121" s="16"/>
      <c r="NX121" s="16"/>
      <c r="NY121" s="16"/>
      <c r="NZ121" s="16"/>
      <c r="OA121" s="16"/>
      <c r="OB121" s="16"/>
      <c r="OC121" s="16"/>
      <c r="OD121" s="16"/>
      <c r="OE121" s="16"/>
      <c r="OF121" s="17"/>
      <c r="OG121" s="16"/>
      <c r="OH121" s="16"/>
      <c r="OI121" s="16"/>
      <c r="OJ121" s="16"/>
      <c r="OK121" s="16"/>
      <c r="OL121" s="16"/>
      <c r="OM121" s="16"/>
      <c r="ON121" s="16"/>
      <c r="OO121" s="16"/>
      <c r="OP121" s="16"/>
      <c r="OQ121" s="16"/>
      <c r="OR121" s="17"/>
      <c r="OS121" s="17"/>
      <c r="OT121" s="56"/>
      <c r="OU121" s="17"/>
      <c r="OV121" s="17"/>
      <c r="OW121" s="17"/>
      <c r="OX121" s="17"/>
      <c r="OY121" s="17"/>
      <c r="OZ121" s="17"/>
      <c r="PA121" s="17"/>
      <c r="PB121" s="17"/>
      <c r="PC121" s="17"/>
      <c r="PD121" s="17"/>
      <c r="PE121" s="17"/>
    </row>
    <row r="122" spans="2:421" ht="23.25">
      <c r="B122" s="127" t="s">
        <v>78</v>
      </c>
      <c r="C122" s="139">
        <v>1.47</v>
      </c>
      <c r="D122" s="139">
        <v>1.1759999999999999</v>
      </c>
      <c r="E122" s="139">
        <v>1.5678431999999998</v>
      </c>
      <c r="F122" s="139">
        <v>1.4111999999999998</v>
      </c>
      <c r="G122" s="139">
        <v>1.1289599999999997</v>
      </c>
      <c r="LM122" s="1"/>
      <c r="LN122" s="1"/>
      <c r="LO122" s="1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1"/>
      <c r="MA122" s="1"/>
      <c r="MB122" s="1"/>
      <c r="MC122" s="1"/>
      <c r="MD122" s="1"/>
      <c r="ME122" s="1"/>
      <c r="MF122" s="1"/>
      <c r="MG122" s="1"/>
      <c r="MK122" s="137"/>
      <c r="ML122" s="1"/>
      <c r="MM122" s="1"/>
      <c r="MN122" s="1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1"/>
      <c r="MZ122" s="1"/>
      <c r="NA122" s="1"/>
      <c r="NB122" s="1"/>
      <c r="NC122" s="1"/>
      <c r="ND122" s="1"/>
      <c r="NE122" s="1"/>
      <c r="NF122" s="1"/>
      <c r="NH122" s="1"/>
      <c r="NI122" s="1"/>
      <c r="NJ122" s="1"/>
      <c r="NK122" s="1"/>
      <c r="NL122" s="9"/>
      <c r="NM122" s="1"/>
      <c r="NN122" s="16"/>
      <c r="NO122" s="16"/>
      <c r="NP122" s="16"/>
      <c r="NQ122" s="16"/>
      <c r="NR122" s="16"/>
      <c r="NS122" s="16"/>
      <c r="NT122" s="16"/>
      <c r="NU122" s="16"/>
      <c r="NV122" s="16"/>
      <c r="NW122" s="16"/>
      <c r="NX122" s="16"/>
      <c r="NY122" s="16"/>
      <c r="NZ122" s="16"/>
      <c r="OA122" s="16"/>
      <c r="OB122" s="16"/>
      <c r="OC122" s="16"/>
      <c r="OD122" s="16"/>
      <c r="OE122" s="16"/>
      <c r="OF122" s="16"/>
      <c r="OG122" s="16"/>
      <c r="OH122" s="16"/>
      <c r="OI122" s="16"/>
      <c r="OJ122" s="16"/>
      <c r="OK122" s="16"/>
      <c r="OL122" s="16"/>
      <c r="OM122" s="16"/>
      <c r="ON122" s="16"/>
      <c r="OO122" s="16"/>
      <c r="OP122" s="16"/>
      <c r="OQ122" s="16"/>
      <c r="OR122" s="16"/>
      <c r="OS122" s="16"/>
      <c r="OT122" s="12"/>
      <c r="OU122" s="16"/>
      <c r="OV122" s="16"/>
      <c r="OW122" s="16"/>
      <c r="OX122" s="16"/>
      <c r="OY122" s="16"/>
      <c r="OZ122" s="16"/>
      <c r="PA122" s="16"/>
      <c r="PB122" s="16"/>
      <c r="PC122" s="16"/>
      <c r="PD122" s="16"/>
      <c r="PE122" s="16"/>
    </row>
    <row r="123" spans="2:421">
      <c r="B123" s="127" t="s">
        <v>126</v>
      </c>
      <c r="C123" s="128">
        <v>2.36</v>
      </c>
      <c r="D123" s="128">
        <v>2.36</v>
      </c>
      <c r="E123" s="128">
        <v>2.6219599999999996</v>
      </c>
      <c r="F123" s="128">
        <v>2.1239999999999997</v>
      </c>
      <c r="G123" s="128">
        <v>2.3363999999999998</v>
      </c>
      <c r="LM123" s="1"/>
      <c r="LN123" s="1"/>
      <c r="LO123" s="1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1"/>
      <c r="MA123" s="1"/>
      <c r="MB123" s="1"/>
      <c r="MC123" s="1"/>
      <c r="MD123" s="1"/>
      <c r="ME123" s="1"/>
      <c r="MF123" s="1"/>
      <c r="MG123" s="1"/>
      <c r="MK123" s="137"/>
      <c r="ML123" s="1"/>
      <c r="MM123" s="1"/>
      <c r="MN123" s="1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1"/>
      <c r="MZ123" s="1"/>
      <c r="NA123" s="1"/>
      <c r="NB123" s="1"/>
      <c r="NC123" s="1"/>
      <c r="ND123" s="1"/>
      <c r="NE123" s="1"/>
      <c r="NF123" s="1"/>
      <c r="NH123" s="1"/>
      <c r="NI123" s="1"/>
      <c r="NJ123" s="1"/>
      <c r="NK123" s="1"/>
      <c r="NL123" s="9"/>
      <c r="NM123" s="1"/>
      <c r="NN123" s="16"/>
      <c r="NO123" s="16"/>
      <c r="NP123" s="16"/>
      <c r="NQ123" s="16"/>
      <c r="NR123" s="16"/>
      <c r="NS123" s="16"/>
      <c r="NT123" s="16"/>
      <c r="NU123" s="16"/>
      <c r="NV123" s="16"/>
      <c r="NW123" s="16"/>
      <c r="NX123" s="16"/>
      <c r="NY123" s="16"/>
      <c r="NZ123" s="16"/>
      <c r="OA123" s="16"/>
      <c r="OB123" s="16"/>
      <c r="OC123" s="16"/>
      <c r="OD123" s="16"/>
      <c r="OE123" s="16"/>
      <c r="OF123" s="16"/>
      <c r="OG123" s="16"/>
      <c r="OH123" s="16"/>
      <c r="OI123" s="16"/>
      <c r="OJ123" s="16"/>
      <c r="OK123" s="16"/>
      <c r="OL123" s="16"/>
      <c r="OM123" s="16"/>
      <c r="ON123" s="16"/>
      <c r="OO123" s="16"/>
      <c r="OP123" s="16"/>
      <c r="OQ123" s="16"/>
      <c r="OR123" s="16"/>
      <c r="OS123" s="16"/>
      <c r="OT123" s="13"/>
      <c r="OU123" s="16"/>
      <c r="OV123" s="16"/>
      <c r="OW123" s="16"/>
      <c r="OX123" s="16"/>
      <c r="OY123" s="16"/>
      <c r="OZ123" s="16"/>
      <c r="PA123" s="16"/>
      <c r="PB123" s="16"/>
      <c r="PC123" s="16"/>
      <c r="PD123" s="16"/>
      <c r="PE123" s="16"/>
    </row>
    <row r="124" spans="2:421" ht="23.25">
      <c r="B124" s="126" t="s">
        <v>167</v>
      </c>
      <c r="C124" s="129">
        <v>1.57</v>
      </c>
      <c r="D124" s="129">
        <v>1.256</v>
      </c>
      <c r="E124" s="129">
        <v>1.395416</v>
      </c>
      <c r="F124" s="129">
        <v>1.5071999999999999</v>
      </c>
      <c r="G124" s="129">
        <v>1.6579200000000001</v>
      </c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K124" s="137"/>
      <c r="ML124" s="1"/>
      <c r="MM124" s="1"/>
      <c r="MN124" s="1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1"/>
      <c r="MZ124" s="1"/>
      <c r="NA124" s="1"/>
      <c r="NB124" s="1"/>
      <c r="NC124" s="1"/>
      <c r="ND124" s="1"/>
      <c r="NE124" s="1"/>
      <c r="NF124" s="1"/>
      <c r="NH124" s="1"/>
      <c r="NI124" s="1"/>
      <c r="NJ124" s="1"/>
      <c r="NK124" s="1"/>
      <c r="NL124" s="9"/>
      <c r="NM124" s="1"/>
      <c r="NN124" s="16"/>
      <c r="NO124" s="16"/>
      <c r="NP124" s="16"/>
      <c r="NQ124" s="16"/>
      <c r="NR124" s="16"/>
      <c r="NS124" s="16"/>
      <c r="NT124" s="16"/>
      <c r="NU124" s="16"/>
      <c r="NV124" s="16"/>
      <c r="NW124" s="16"/>
      <c r="NX124" s="16"/>
      <c r="NY124" s="16"/>
      <c r="NZ124" s="16"/>
      <c r="OA124" s="16"/>
      <c r="OB124" s="16"/>
      <c r="OC124" s="16"/>
      <c r="OD124" s="16"/>
      <c r="OE124" s="16"/>
      <c r="OF124" s="16"/>
      <c r="OG124" s="16"/>
      <c r="OH124" s="16"/>
      <c r="OI124" s="16"/>
      <c r="OJ124" s="16"/>
      <c r="OK124" s="16"/>
      <c r="OL124" s="16"/>
      <c r="OM124" s="16"/>
      <c r="ON124" s="16"/>
      <c r="OO124" s="16"/>
      <c r="OP124" s="16"/>
      <c r="OQ124" s="16"/>
      <c r="OR124" s="16"/>
      <c r="OS124" s="16"/>
      <c r="OT124" s="12"/>
      <c r="OU124" s="16"/>
      <c r="OV124" s="16"/>
      <c r="OW124" s="16"/>
      <c r="OX124" s="16"/>
      <c r="OY124" s="16"/>
      <c r="OZ124" s="16"/>
      <c r="PA124" s="16"/>
      <c r="PB124" s="16"/>
      <c r="PC124" s="16"/>
      <c r="PD124" s="16"/>
      <c r="PE124" s="16"/>
    </row>
    <row r="125" spans="2:421">
      <c r="B125" s="126" t="s">
        <v>177</v>
      </c>
      <c r="C125" s="141">
        <v>1.56</v>
      </c>
      <c r="D125" s="141">
        <v>1.4040000000000001</v>
      </c>
      <c r="E125" s="141">
        <v>1.5598440000000002</v>
      </c>
      <c r="F125" s="141">
        <v>1.4040000000000001</v>
      </c>
      <c r="G125" s="141">
        <v>1.1232000000000002</v>
      </c>
      <c r="LM125" s="10"/>
      <c r="LN125" s="10"/>
      <c r="LO125" s="10"/>
      <c r="LP125" s="10"/>
      <c r="LQ125" s="10"/>
      <c r="LR125" s="10"/>
      <c r="LS125" s="10"/>
      <c r="LT125" s="10"/>
      <c r="LU125" s="10"/>
      <c r="LV125" s="10"/>
      <c r="LW125" s="10"/>
      <c r="LX125" s="10"/>
      <c r="LY125" s="10"/>
      <c r="LZ125" s="10"/>
      <c r="MA125" s="10"/>
      <c r="MB125" s="10"/>
      <c r="MC125" s="10"/>
      <c r="MD125" s="10"/>
      <c r="ME125" s="10"/>
      <c r="MF125" s="10"/>
      <c r="MG125" s="10"/>
      <c r="MK125" s="137"/>
      <c r="ML125" s="1"/>
      <c r="MM125" s="1"/>
      <c r="MN125" s="1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1"/>
      <c r="MZ125" s="1"/>
      <c r="NA125" s="1"/>
      <c r="NB125" s="1"/>
      <c r="NC125" s="1"/>
      <c r="ND125" s="1"/>
      <c r="NE125" s="1"/>
      <c r="NF125" s="1"/>
      <c r="NH125" s="1"/>
      <c r="NI125" s="1"/>
      <c r="NJ125" s="1"/>
      <c r="NK125" s="1"/>
      <c r="NL125" s="9"/>
      <c r="NM125" s="1"/>
      <c r="NN125" s="16"/>
      <c r="NO125" s="16"/>
      <c r="NP125" s="16"/>
      <c r="NQ125" s="16"/>
      <c r="NR125" s="16"/>
      <c r="NS125" s="16"/>
      <c r="NT125" s="16"/>
      <c r="NU125" s="16"/>
      <c r="NV125" s="16"/>
      <c r="NW125" s="16"/>
      <c r="NX125" s="16"/>
      <c r="NY125" s="16"/>
      <c r="NZ125" s="16"/>
      <c r="OA125" s="16"/>
      <c r="OB125" s="16"/>
      <c r="OC125" s="16"/>
      <c r="OD125" s="16"/>
      <c r="OE125" s="16"/>
      <c r="OF125" s="16"/>
      <c r="OG125" s="16"/>
      <c r="OH125" s="16"/>
      <c r="OI125" s="16"/>
      <c r="OJ125" s="16"/>
      <c r="OK125" s="16"/>
      <c r="OL125" s="16"/>
      <c r="OM125" s="16"/>
      <c r="ON125" s="16"/>
      <c r="OO125" s="16"/>
      <c r="OP125" s="16"/>
      <c r="OQ125" s="16"/>
      <c r="OR125" s="16"/>
      <c r="OS125" s="16"/>
      <c r="OT125" s="13"/>
      <c r="OU125" s="17"/>
      <c r="OV125" s="17"/>
      <c r="OW125" s="17"/>
      <c r="OX125" s="17"/>
      <c r="OY125" s="17"/>
      <c r="OZ125" s="17"/>
      <c r="PA125" s="17"/>
      <c r="PB125" s="17"/>
      <c r="PC125" s="17"/>
      <c r="PD125" s="17"/>
      <c r="PE125" s="17"/>
    </row>
    <row r="126" spans="2:421">
      <c r="B126" s="126" t="s">
        <v>105</v>
      </c>
      <c r="C126" s="129">
        <v>2.13</v>
      </c>
      <c r="D126" s="129">
        <v>2.556</v>
      </c>
      <c r="E126" s="129">
        <v>2.5557444</v>
      </c>
      <c r="F126" s="129">
        <v>1.8403200000000002</v>
      </c>
      <c r="G126" s="129">
        <v>2.0243520000000004</v>
      </c>
      <c r="LM126" s="1"/>
      <c r="LN126" s="1"/>
      <c r="LO126" s="1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1"/>
      <c r="MA126" s="1"/>
      <c r="MB126" s="1"/>
      <c r="MC126" s="1"/>
      <c r="MD126" s="1"/>
      <c r="ME126" s="1"/>
      <c r="MF126" s="1"/>
      <c r="MG126" s="1"/>
      <c r="MK126" s="137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H126" s="1"/>
      <c r="NI126" s="1"/>
      <c r="NJ126" s="1"/>
      <c r="NK126" s="1"/>
      <c r="NL126" s="9"/>
      <c r="NM126" s="1"/>
      <c r="NN126" s="16"/>
      <c r="NO126" s="16"/>
      <c r="NP126" s="16"/>
      <c r="NQ126" s="16"/>
      <c r="NR126" s="16"/>
      <c r="NS126" s="16"/>
      <c r="NT126" s="16"/>
      <c r="NU126" s="16"/>
      <c r="NV126" s="16"/>
      <c r="NW126" s="16"/>
      <c r="NX126" s="16"/>
      <c r="NY126" s="16"/>
      <c r="NZ126" s="16"/>
      <c r="OA126" s="16"/>
      <c r="OB126" s="16"/>
      <c r="OC126" s="16"/>
      <c r="OD126" s="16"/>
      <c r="OE126" s="16"/>
      <c r="OF126" s="16"/>
      <c r="OG126" s="16"/>
      <c r="OH126" s="16"/>
      <c r="OI126" s="16"/>
      <c r="OJ126" s="16"/>
      <c r="OK126" s="16"/>
      <c r="OL126" s="16"/>
      <c r="OM126" s="16"/>
      <c r="ON126" s="16"/>
      <c r="OO126" s="16"/>
      <c r="OP126" s="16"/>
      <c r="OQ126" s="16"/>
      <c r="OR126" s="16"/>
      <c r="OS126" s="16"/>
      <c r="OT126" s="13"/>
      <c r="OU126" s="17"/>
      <c r="OV126" s="17"/>
      <c r="OW126" s="17"/>
      <c r="OX126" s="17"/>
      <c r="OY126" s="17"/>
      <c r="OZ126" s="17"/>
      <c r="PA126" s="17"/>
      <c r="PB126" s="17"/>
      <c r="PC126" s="17"/>
      <c r="PD126" s="17"/>
      <c r="PE126" s="17"/>
    </row>
    <row r="127" spans="2:421">
      <c r="B127" s="127" t="s">
        <v>152</v>
      </c>
      <c r="C127" s="128">
        <v>1.88</v>
      </c>
      <c r="D127" s="128">
        <v>2.0680000000000001</v>
      </c>
      <c r="E127" s="128">
        <v>2.7570576000000004</v>
      </c>
      <c r="F127" s="128">
        <v>1.9852800000000002</v>
      </c>
      <c r="G127" s="128">
        <v>1.7867520000000003</v>
      </c>
      <c r="LM127" s="1"/>
      <c r="LN127" s="1"/>
      <c r="LO127" s="1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1"/>
      <c r="MA127" s="1"/>
      <c r="MB127" s="1"/>
      <c r="MC127" s="1"/>
      <c r="MD127" s="1"/>
      <c r="ME127" s="1"/>
      <c r="MF127" s="1"/>
      <c r="MG127" s="1"/>
      <c r="MK127" s="137"/>
      <c r="ML127" s="10"/>
      <c r="MM127" s="10"/>
      <c r="MN127" s="10"/>
      <c r="MO127" s="10"/>
      <c r="MP127" s="10"/>
      <c r="MQ127" s="10"/>
      <c r="MR127" s="10"/>
      <c r="MS127" s="10"/>
      <c r="MT127" s="10"/>
      <c r="MU127" s="10"/>
      <c r="MV127" s="10"/>
      <c r="MW127" s="10"/>
      <c r="MX127" s="10"/>
      <c r="MY127" s="10"/>
      <c r="MZ127" s="10"/>
      <c r="NA127" s="10"/>
      <c r="NB127" s="10"/>
      <c r="NC127" s="10"/>
      <c r="ND127" s="10"/>
      <c r="NE127" s="10"/>
      <c r="NF127" s="10"/>
      <c r="NH127" s="1"/>
      <c r="NI127" s="1"/>
      <c r="NJ127" s="1"/>
      <c r="NK127" s="1"/>
      <c r="NL127" s="9"/>
      <c r="NM127" s="1"/>
      <c r="NN127" s="16"/>
      <c r="NO127" s="16"/>
      <c r="NP127" s="16"/>
      <c r="NQ127" s="16"/>
      <c r="NR127" s="16"/>
      <c r="NS127" s="16"/>
      <c r="NT127" s="16"/>
      <c r="NU127" s="16"/>
      <c r="NV127" s="16"/>
      <c r="NW127" s="16"/>
      <c r="NX127" s="16"/>
      <c r="NY127" s="16"/>
      <c r="NZ127" s="16"/>
      <c r="OA127" s="16"/>
      <c r="OB127" s="16"/>
      <c r="OC127" s="16"/>
      <c r="OD127" s="16"/>
      <c r="OE127" s="16"/>
      <c r="OF127" s="16"/>
      <c r="OG127" s="16"/>
      <c r="OH127" s="16"/>
      <c r="OI127" s="16"/>
      <c r="OJ127" s="16"/>
      <c r="OK127" s="16"/>
      <c r="OL127" s="16"/>
      <c r="OM127" s="16"/>
      <c r="ON127" s="16"/>
      <c r="OO127" s="16"/>
      <c r="OP127" s="16"/>
      <c r="OQ127" s="16"/>
      <c r="OR127" s="16"/>
      <c r="OS127" s="16"/>
      <c r="OT127" s="13"/>
      <c r="OU127" s="17"/>
      <c r="OV127" s="17"/>
      <c r="OW127" s="17"/>
      <c r="OX127" s="17"/>
      <c r="OY127" s="17"/>
      <c r="OZ127" s="17"/>
      <c r="PA127" s="17"/>
      <c r="PB127" s="17"/>
      <c r="PC127" s="17"/>
      <c r="PD127" s="17"/>
      <c r="PE127" s="17"/>
    </row>
    <row r="128" spans="2:421" ht="23.25">
      <c r="B128" s="127" t="s">
        <v>166</v>
      </c>
      <c r="C128" s="139">
        <v>1.72</v>
      </c>
      <c r="D128" s="139">
        <v>1.72</v>
      </c>
      <c r="E128" s="139">
        <v>1.91092</v>
      </c>
      <c r="F128" s="139">
        <v>1.8919999999999999</v>
      </c>
      <c r="G128" s="139">
        <v>1.5135999999999998</v>
      </c>
      <c r="LM128" s="1"/>
      <c r="LN128" s="1"/>
      <c r="LO128" s="1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1"/>
      <c r="MA128" s="1"/>
      <c r="MB128" s="1"/>
      <c r="MC128" s="1"/>
      <c r="MD128" s="1"/>
      <c r="ME128" s="1"/>
      <c r="MF128" s="1"/>
      <c r="MG128" s="1"/>
      <c r="MK128" s="137"/>
      <c r="ML128" s="1"/>
      <c r="MM128" s="1"/>
      <c r="MN128" s="1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1"/>
      <c r="MZ128" s="1"/>
      <c r="NA128" s="1"/>
      <c r="NB128" s="1"/>
      <c r="NC128" s="1"/>
      <c r="ND128" s="1"/>
      <c r="NE128" s="1"/>
      <c r="NF128" s="1"/>
      <c r="NH128" s="1"/>
      <c r="NI128" s="1"/>
      <c r="NJ128" s="1"/>
      <c r="NK128" s="1"/>
      <c r="NL128" s="9"/>
      <c r="NM128" s="1"/>
      <c r="NN128" s="16"/>
      <c r="NO128" s="16"/>
      <c r="NP128" s="16"/>
      <c r="NQ128" s="16"/>
      <c r="NR128" s="16"/>
      <c r="NS128" s="16"/>
      <c r="NT128" s="16"/>
      <c r="NU128" s="16"/>
      <c r="NV128" s="16"/>
      <c r="NW128" s="16"/>
      <c r="NX128" s="16"/>
      <c r="NY128" s="16"/>
      <c r="NZ128" s="16"/>
      <c r="OA128" s="16"/>
      <c r="OB128" s="16"/>
      <c r="OC128" s="16"/>
      <c r="OD128" s="16"/>
      <c r="OE128" s="16"/>
      <c r="OF128" s="16"/>
      <c r="OG128" s="16"/>
      <c r="OH128" s="16"/>
      <c r="OI128" s="16"/>
      <c r="OJ128" s="16"/>
      <c r="OK128" s="16"/>
      <c r="OL128" s="16"/>
      <c r="OM128" s="16"/>
      <c r="ON128" s="16"/>
      <c r="OO128" s="16"/>
      <c r="OP128" s="16"/>
      <c r="OQ128" s="16"/>
      <c r="OR128" s="16"/>
      <c r="OS128" s="16"/>
      <c r="OT128" s="12"/>
      <c r="OU128" s="21"/>
      <c r="OV128" s="21"/>
      <c r="OW128" s="21"/>
      <c r="OX128" s="21"/>
      <c r="OY128" s="21"/>
      <c r="OZ128" s="21"/>
      <c r="PA128" s="21"/>
      <c r="PB128" s="21"/>
      <c r="PC128" s="21"/>
      <c r="PD128" s="21"/>
      <c r="PE128" s="21"/>
    </row>
    <row r="129" spans="2:421" ht="23.25">
      <c r="B129" s="126" t="s">
        <v>185</v>
      </c>
      <c r="C129" s="143">
        <v>2.34</v>
      </c>
      <c r="D129" s="143">
        <v>2.5739999999999998</v>
      </c>
      <c r="E129" s="143">
        <v>2.5737425999999997</v>
      </c>
      <c r="F129" s="143">
        <v>2.7799199999999997</v>
      </c>
      <c r="G129" s="143">
        <v>3.0579119999999995</v>
      </c>
      <c r="LM129" s="1"/>
      <c r="LN129" s="1"/>
      <c r="LO129" s="1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1"/>
      <c r="MA129" s="1"/>
      <c r="MB129" s="1"/>
      <c r="MC129" s="1"/>
      <c r="MD129" s="1"/>
      <c r="ME129" s="1"/>
      <c r="MF129" s="1"/>
      <c r="MG129" s="1"/>
      <c r="MK129" s="137"/>
      <c r="ML129" s="1"/>
      <c r="MM129" s="1"/>
      <c r="MN129" s="1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1"/>
      <c r="MZ129" s="1"/>
      <c r="NA129" s="1"/>
      <c r="NB129" s="1"/>
      <c r="NC129" s="1"/>
      <c r="ND129" s="1"/>
      <c r="NE129" s="1"/>
      <c r="NF129" s="1"/>
      <c r="NH129" s="1"/>
      <c r="NI129" s="1"/>
      <c r="NJ129" s="1"/>
      <c r="NK129" s="1"/>
      <c r="NL129" s="9"/>
      <c r="NM129" s="1"/>
      <c r="NN129" s="16"/>
      <c r="NO129" s="16"/>
      <c r="NP129" s="16"/>
      <c r="NQ129" s="16"/>
      <c r="NR129" s="16"/>
      <c r="NS129" s="16"/>
      <c r="NT129" s="16"/>
      <c r="NU129" s="16"/>
      <c r="NV129" s="16"/>
      <c r="NW129" s="16"/>
      <c r="NX129" s="16"/>
      <c r="NY129" s="16"/>
      <c r="NZ129" s="16"/>
      <c r="OA129" s="16"/>
      <c r="OB129" s="16"/>
      <c r="OC129" s="16"/>
      <c r="OD129" s="16"/>
      <c r="OE129" s="16"/>
      <c r="OF129" s="16"/>
      <c r="OG129" s="16"/>
      <c r="OH129" s="16"/>
      <c r="OI129" s="16"/>
      <c r="OJ129" s="16"/>
      <c r="OK129" s="16"/>
      <c r="OL129" s="16"/>
      <c r="OM129" s="16"/>
      <c r="ON129" s="16"/>
      <c r="OO129" s="16"/>
      <c r="OP129" s="16"/>
      <c r="OQ129" s="16"/>
      <c r="OR129" s="16"/>
      <c r="OS129" s="16"/>
      <c r="OT129" s="16"/>
      <c r="OU129" s="16"/>
      <c r="OV129" s="16"/>
      <c r="OW129" s="16"/>
      <c r="OX129" s="16"/>
      <c r="OY129" s="16"/>
      <c r="OZ129" s="16"/>
      <c r="PA129" s="16"/>
      <c r="PB129" s="16"/>
      <c r="PC129" s="16"/>
      <c r="PD129" s="16"/>
      <c r="PE129" s="16"/>
    </row>
    <row r="130" spans="2:421" ht="23.25">
      <c r="B130" s="126" t="s">
        <v>73</v>
      </c>
      <c r="C130" s="129">
        <v>1.88</v>
      </c>
      <c r="D130" s="129">
        <v>1.6919999999999997</v>
      </c>
      <c r="E130" s="129">
        <v>1.8798119999999996</v>
      </c>
      <c r="F130" s="129">
        <v>1.3535999999999997</v>
      </c>
      <c r="G130" s="129">
        <v>1.3535999999999997</v>
      </c>
      <c r="LM130" s="1"/>
      <c r="LN130" s="1"/>
      <c r="LO130" s="1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1"/>
      <c r="MA130" s="1"/>
      <c r="MB130" s="1"/>
      <c r="MC130" s="1"/>
      <c r="MD130" s="1"/>
      <c r="ME130" s="1"/>
      <c r="MF130" s="1"/>
      <c r="MG130" s="1"/>
      <c r="MK130" s="137"/>
      <c r="ML130" s="1"/>
      <c r="MM130" s="1"/>
      <c r="MN130" s="1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1"/>
      <c r="MZ130" s="1"/>
      <c r="NA130" s="1"/>
      <c r="NB130" s="1"/>
      <c r="NC130" s="1"/>
      <c r="ND130" s="1"/>
      <c r="NE130" s="1"/>
      <c r="NF130" s="1"/>
      <c r="NH130" s="1"/>
      <c r="NI130" s="1"/>
      <c r="NJ130" s="1"/>
      <c r="NK130" s="1"/>
      <c r="NL130" s="9"/>
      <c r="NM130" s="1"/>
      <c r="NN130" s="16"/>
      <c r="NO130" s="16"/>
      <c r="NP130" s="16"/>
      <c r="NQ130" s="16"/>
      <c r="NR130" s="16"/>
      <c r="NS130" s="16"/>
      <c r="NT130" s="16"/>
      <c r="NU130" s="16"/>
      <c r="NV130" s="16"/>
      <c r="NW130" s="16"/>
      <c r="NX130" s="16"/>
      <c r="NY130" s="16"/>
      <c r="NZ130" s="16"/>
      <c r="OA130" s="16"/>
      <c r="OB130" s="16"/>
      <c r="OC130" s="16"/>
      <c r="OD130" s="16"/>
      <c r="OE130" s="16"/>
      <c r="OF130" s="16"/>
      <c r="OG130" s="16"/>
      <c r="OH130" s="16"/>
      <c r="OI130" s="16"/>
      <c r="OJ130" s="16"/>
      <c r="OK130" s="16"/>
      <c r="OL130" s="16"/>
      <c r="OM130" s="16"/>
      <c r="ON130" s="16"/>
      <c r="OO130" s="16"/>
      <c r="OP130" s="16"/>
      <c r="OQ130" s="16"/>
      <c r="OR130" s="16"/>
      <c r="OS130" s="16"/>
      <c r="OT130" s="54"/>
      <c r="OU130" s="16"/>
      <c r="OV130" s="16"/>
      <c r="OW130" s="16"/>
      <c r="OX130" s="16"/>
      <c r="OY130" s="16"/>
      <c r="OZ130" s="16"/>
      <c r="PA130" s="16"/>
      <c r="PB130" s="16"/>
      <c r="PC130" s="16"/>
      <c r="PD130" s="16"/>
      <c r="PE130" s="16"/>
    </row>
    <row r="131" spans="2:421">
      <c r="B131" s="127" t="s">
        <v>66</v>
      </c>
      <c r="C131" s="139">
        <v>1.53</v>
      </c>
      <c r="D131" s="139">
        <v>1.6830000000000003</v>
      </c>
      <c r="E131" s="139">
        <v>2.2437756000000006</v>
      </c>
      <c r="F131" s="139">
        <v>2.0196000000000005</v>
      </c>
      <c r="G131" s="139">
        <v>2.4235200000000008</v>
      </c>
      <c r="LM131" s="1"/>
      <c r="LN131" s="1"/>
      <c r="LO131" s="1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1"/>
      <c r="MA131" s="1"/>
      <c r="MB131" s="1"/>
      <c r="MC131" s="1"/>
      <c r="MD131" s="1"/>
      <c r="ME131" s="1"/>
      <c r="MF131" s="1"/>
      <c r="MG131" s="1"/>
      <c r="MK131" s="137"/>
      <c r="ML131" s="1"/>
      <c r="MM131" s="1"/>
      <c r="MN131" s="1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1"/>
      <c r="MZ131" s="1"/>
      <c r="NA131" s="1"/>
      <c r="NB131" s="1"/>
      <c r="NC131" s="1"/>
      <c r="ND131" s="1"/>
      <c r="NE131" s="1"/>
      <c r="NF131" s="1"/>
    </row>
    <row r="132" spans="2:421">
      <c r="B132" s="127" t="s">
        <v>168</v>
      </c>
      <c r="C132" s="128">
        <v>1.49</v>
      </c>
      <c r="D132" s="128">
        <v>1.341</v>
      </c>
      <c r="E132" s="128">
        <v>1.1918807999999999</v>
      </c>
      <c r="F132" s="128">
        <v>0.96552000000000004</v>
      </c>
      <c r="G132" s="128">
        <v>0.77241599999999999</v>
      </c>
      <c r="LM132" s="1"/>
      <c r="LN132" s="1"/>
      <c r="LO132" s="1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1"/>
      <c r="MA132" s="1"/>
      <c r="MB132" s="1"/>
      <c r="MC132" s="1"/>
      <c r="MD132" s="1"/>
      <c r="ME132" s="1"/>
      <c r="MF132" s="1"/>
      <c r="MG132" s="1"/>
      <c r="MK132" s="137"/>
      <c r="ML132" s="1"/>
      <c r="MM132" s="1"/>
      <c r="MN132" s="1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1"/>
      <c r="MZ132" s="1"/>
      <c r="NA132" s="1"/>
      <c r="NB132" s="1"/>
      <c r="NC132" s="1"/>
      <c r="ND132" s="1"/>
      <c r="NE132" s="1"/>
      <c r="NF132" s="1"/>
    </row>
    <row r="133" spans="2:421" ht="34.5">
      <c r="B133" s="126" t="s">
        <v>143</v>
      </c>
      <c r="C133" s="141">
        <v>1.71</v>
      </c>
      <c r="D133" s="141">
        <v>1.7100000000000002</v>
      </c>
      <c r="E133" s="141">
        <v>1.5198480000000001</v>
      </c>
      <c r="F133" s="141">
        <v>1.5048000000000001</v>
      </c>
      <c r="G133" s="141">
        <v>1.20384</v>
      </c>
      <c r="LM133" s="1"/>
      <c r="LN133" s="1"/>
      <c r="LO133" s="1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1"/>
      <c r="MA133" s="1"/>
      <c r="MB133" s="1"/>
      <c r="MC133" s="1"/>
      <c r="MD133" s="1"/>
      <c r="ME133" s="1"/>
      <c r="MF133" s="1"/>
      <c r="MG133" s="1"/>
      <c r="MK133" s="137"/>
      <c r="ML133" s="1"/>
      <c r="MM133" s="1"/>
      <c r="MN133" s="1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1"/>
      <c r="MZ133" s="1"/>
      <c r="NA133" s="1"/>
      <c r="NB133" s="1"/>
      <c r="NC133" s="1"/>
      <c r="ND133" s="1"/>
      <c r="NE133" s="1"/>
      <c r="NF133" s="1"/>
    </row>
    <row r="134" spans="2:421">
      <c r="B134" s="126" t="s">
        <v>21</v>
      </c>
      <c r="C134" s="129">
        <v>1.37</v>
      </c>
      <c r="D134" s="129">
        <v>1.0960000000000001</v>
      </c>
      <c r="E134" s="129">
        <v>0.97412480000000001</v>
      </c>
      <c r="F134" s="129">
        <v>1.05216</v>
      </c>
      <c r="G134" s="129">
        <v>0.84172800000000003</v>
      </c>
      <c r="LM134" s="1"/>
      <c r="LN134" s="1"/>
      <c r="LO134" s="1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1"/>
      <c r="MA134" s="1"/>
      <c r="MB134" s="1"/>
      <c r="MC134" s="1"/>
      <c r="MD134" s="1"/>
      <c r="ME134" s="1"/>
      <c r="MF134" s="1"/>
      <c r="MG134" s="1"/>
      <c r="MK134" s="137"/>
      <c r="ML134" s="1"/>
      <c r="MM134" s="1"/>
      <c r="MN134" s="1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1"/>
      <c r="MZ134" s="1"/>
      <c r="NA134" s="1"/>
      <c r="NB134" s="1"/>
      <c r="NC134" s="1"/>
      <c r="ND134" s="1"/>
      <c r="NE134" s="1"/>
      <c r="NF134" s="1"/>
    </row>
    <row r="135" spans="2:421">
      <c r="B135" s="127" t="s">
        <v>50</v>
      </c>
      <c r="C135" s="128">
        <v>2.16</v>
      </c>
      <c r="D135" s="128">
        <v>1.7280000000000002</v>
      </c>
      <c r="E135" s="128">
        <v>1.5358464000000001</v>
      </c>
      <c r="F135" s="128">
        <v>1.10592</v>
      </c>
      <c r="G135" s="128">
        <v>1.10592</v>
      </c>
      <c r="LM135" s="1"/>
      <c r="LN135" s="1"/>
      <c r="LO135" s="1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1"/>
      <c r="MA135" s="1"/>
      <c r="MB135" s="1"/>
      <c r="MC135" s="1"/>
      <c r="MD135" s="1"/>
      <c r="ME135" s="1"/>
      <c r="MF135" s="1"/>
      <c r="MG135" s="1"/>
      <c r="MK135" s="137"/>
      <c r="ML135" s="1"/>
      <c r="MM135" s="1"/>
      <c r="MN135" s="1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1"/>
      <c r="MZ135" s="1"/>
      <c r="NA135" s="1"/>
      <c r="NB135" s="1"/>
      <c r="NC135" s="1"/>
      <c r="ND135" s="1"/>
      <c r="NE135" s="1"/>
      <c r="NF135" s="1"/>
    </row>
    <row r="136" spans="2:421">
      <c r="B136" s="126" t="s">
        <v>85</v>
      </c>
      <c r="C136" s="141">
        <v>1.81</v>
      </c>
      <c r="D136" s="141">
        <v>1.81</v>
      </c>
      <c r="E136" s="141">
        <v>2.01091</v>
      </c>
      <c r="F136" s="141">
        <v>1.9910000000000001</v>
      </c>
      <c r="G136" s="141">
        <v>2.3892000000000002</v>
      </c>
      <c r="LM136" s="1"/>
      <c r="LN136" s="1"/>
      <c r="LO136" s="1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1"/>
      <c r="MA136" s="1"/>
      <c r="MB136" s="1"/>
      <c r="MC136" s="1"/>
      <c r="MD136" s="1"/>
      <c r="ME136" s="1"/>
      <c r="MF136" s="1"/>
      <c r="MG136" s="1"/>
      <c r="MK136" s="137"/>
      <c r="ML136" s="1"/>
      <c r="MM136" s="1"/>
      <c r="MN136" s="1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1"/>
      <c r="MZ136" s="1"/>
      <c r="NA136" s="1"/>
      <c r="NB136" s="1"/>
      <c r="NC136" s="1"/>
      <c r="ND136" s="1"/>
      <c r="NE136" s="1"/>
      <c r="NF136" s="1"/>
    </row>
    <row r="137" spans="2:421">
      <c r="B137" s="126" t="s">
        <v>59</v>
      </c>
      <c r="C137" s="141">
        <v>1.29</v>
      </c>
      <c r="D137" s="141">
        <v>1.161</v>
      </c>
      <c r="E137" s="141">
        <v>1.1608839</v>
      </c>
      <c r="F137" s="141">
        <v>0.94040999999999997</v>
      </c>
      <c r="G137" s="141">
        <v>1.034451</v>
      </c>
      <c r="LM137" s="1"/>
      <c r="LN137" s="1"/>
      <c r="LO137" s="1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1"/>
      <c r="MA137" s="1"/>
      <c r="MB137" s="1"/>
      <c r="MC137" s="1"/>
      <c r="MD137" s="1"/>
      <c r="ME137" s="1"/>
      <c r="MF137" s="1"/>
      <c r="MG137" s="1"/>
      <c r="MK137" s="137"/>
      <c r="ML137" s="1"/>
      <c r="MM137" s="1"/>
      <c r="MN137" s="1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1"/>
      <c r="MZ137" s="1"/>
      <c r="NA137" s="1"/>
      <c r="NB137" s="1"/>
      <c r="NC137" s="1"/>
      <c r="ND137" s="1"/>
      <c r="NE137" s="1"/>
      <c r="NF137" s="1"/>
    </row>
    <row r="138" spans="2:421" ht="23.25">
      <c r="B138" s="127" t="s">
        <v>170</v>
      </c>
      <c r="C138" s="139">
        <v>1.84</v>
      </c>
      <c r="D138" s="139">
        <v>1.472</v>
      </c>
      <c r="E138" s="139">
        <v>1.635392</v>
      </c>
      <c r="F138" s="139">
        <v>1.1776</v>
      </c>
      <c r="G138" s="139">
        <v>1.1776</v>
      </c>
      <c r="LM138" s="1"/>
      <c r="LN138" s="1"/>
      <c r="LO138" s="1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1"/>
      <c r="MA138" s="1"/>
      <c r="MB138" s="1"/>
      <c r="MC138" s="1"/>
      <c r="MD138" s="1"/>
      <c r="ME138" s="1"/>
      <c r="MF138" s="1"/>
      <c r="MG138" s="1"/>
      <c r="MK138" s="137"/>
      <c r="ML138" s="1"/>
      <c r="MM138" s="1"/>
      <c r="MN138" s="1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1"/>
      <c r="MZ138" s="1"/>
      <c r="NA138" s="1"/>
      <c r="NB138" s="1"/>
      <c r="NC138" s="1"/>
      <c r="ND138" s="1"/>
      <c r="NE138" s="1"/>
      <c r="NF138" s="1"/>
    </row>
    <row r="139" spans="2:421">
      <c r="B139" s="127" t="s">
        <v>74</v>
      </c>
      <c r="C139" s="128">
        <v>2.0099999999999998</v>
      </c>
      <c r="D139" s="128">
        <v>1.8089999999999997</v>
      </c>
      <c r="E139" s="128">
        <v>2.4117587999999999</v>
      </c>
      <c r="F139" s="128">
        <v>2.1707999999999998</v>
      </c>
      <c r="G139" s="128">
        <v>2.1707999999999998</v>
      </c>
      <c r="LM139" s="1"/>
      <c r="LN139" s="1"/>
      <c r="LO139" s="1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1"/>
      <c r="MA139" s="1"/>
      <c r="MB139" s="1"/>
      <c r="MC139" s="1"/>
      <c r="MD139" s="1"/>
      <c r="ME139" s="1"/>
      <c r="MF139" s="1"/>
      <c r="MG139" s="1"/>
      <c r="MK139" s="137"/>
      <c r="ML139" s="1"/>
      <c r="MM139" s="1"/>
      <c r="MN139" s="1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1"/>
      <c r="MZ139" s="1"/>
      <c r="NA139" s="1"/>
      <c r="NB139" s="1"/>
      <c r="NC139" s="1"/>
      <c r="ND139" s="1"/>
      <c r="NE139" s="1"/>
      <c r="NF139" s="1"/>
    </row>
    <row r="140" spans="2:421">
      <c r="B140" s="126" t="s">
        <v>49</v>
      </c>
      <c r="C140" s="141">
        <v>1.84</v>
      </c>
      <c r="D140" s="141">
        <v>1.472</v>
      </c>
      <c r="E140" s="141">
        <v>1.9624704000000002</v>
      </c>
      <c r="F140" s="141">
        <v>1.5897600000000003</v>
      </c>
      <c r="G140" s="141">
        <v>1.2718080000000003</v>
      </c>
      <c r="LM140" s="1"/>
      <c r="LN140" s="1"/>
      <c r="LO140" s="1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1"/>
      <c r="MA140" s="1"/>
      <c r="MB140" s="1"/>
      <c r="MC140" s="1"/>
      <c r="MD140" s="1"/>
      <c r="ME140" s="1"/>
      <c r="MF140" s="1"/>
      <c r="MG140" s="1"/>
      <c r="MK140" s="137"/>
      <c r="ML140" s="1"/>
      <c r="MM140" s="1"/>
      <c r="MN140" s="1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1"/>
      <c r="MZ140" s="1"/>
      <c r="NA140" s="1"/>
      <c r="NB140" s="1"/>
      <c r="NC140" s="1"/>
      <c r="ND140" s="1"/>
      <c r="NE140" s="1"/>
      <c r="NF140" s="1"/>
    </row>
    <row r="141" spans="2:421">
      <c r="B141" s="126" t="s">
        <v>169</v>
      </c>
      <c r="C141" s="129">
        <v>1.51</v>
      </c>
      <c r="D141" s="129">
        <v>1.51</v>
      </c>
      <c r="E141" s="129">
        <v>1.3420879999999999</v>
      </c>
      <c r="F141" s="129">
        <v>1.4495999999999998</v>
      </c>
      <c r="G141" s="129">
        <v>1.7395199999999995</v>
      </c>
      <c r="LM141" s="1"/>
      <c r="LN141" s="1"/>
      <c r="LO141" s="1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1"/>
      <c r="MA141" s="1"/>
      <c r="MB141" s="1"/>
      <c r="MC141" s="1"/>
      <c r="MD141" s="1"/>
      <c r="ME141" s="1"/>
      <c r="MF141" s="1"/>
      <c r="MG141" s="1"/>
      <c r="MK141" s="137"/>
      <c r="ML141" s="1"/>
      <c r="MM141" s="1"/>
      <c r="MN141" s="1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1"/>
      <c r="MZ141" s="1"/>
      <c r="NA141" s="1"/>
      <c r="NB141" s="1"/>
      <c r="NC141" s="1"/>
      <c r="ND141" s="1"/>
      <c r="NE141" s="1"/>
      <c r="NF141" s="1"/>
    </row>
    <row r="142" spans="2:421">
      <c r="B142" s="126" t="s">
        <v>13</v>
      </c>
      <c r="C142" s="129">
        <v>1.23</v>
      </c>
      <c r="D142" s="129">
        <v>1.107</v>
      </c>
      <c r="E142" s="129">
        <v>1.1068893</v>
      </c>
      <c r="F142" s="129">
        <v>1.0959299999999998</v>
      </c>
      <c r="G142" s="129">
        <v>1.2055229999999999</v>
      </c>
      <c r="LM142" s="1"/>
      <c r="LN142" s="1"/>
      <c r="LO142" s="1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1"/>
      <c r="MA142" s="1"/>
      <c r="MB142" s="1"/>
      <c r="MC142" s="1"/>
      <c r="MD142" s="1"/>
      <c r="ME142" s="1"/>
      <c r="MF142" s="1"/>
      <c r="MG142" s="1"/>
      <c r="MK142" s="137"/>
      <c r="ML142" s="1"/>
      <c r="MM142" s="1"/>
      <c r="MN142" s="1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1"/>
      <c r="MZ142" s="1"/>
      <c r="NA142" s="1"/>
      <c r="NB142" s="1"/>
      <c r="NC142" s="1"/>
      <c r="ND142" s="1"/>
      <c r="NE142" s="1"/>
      <c r="NF142" s="1"/>
    </row>
    <row r="143" spans="2:421">
      <c r="B143" s="127" t="s">
        <v>30</v>
      </c>
      <c r="C143" s="139">
        <v>1.51</v>
      </c>
      <c r="D143" s="139">
        <v>1.208</v>
      </c>
      <c r="E143" s="139">
        <v>1.6105055999999998</v>
      </c>
      <c r="F143" s="139">
        <v>1.5945599999999998</v>
      </c>
      <c r="G143" s="139">
        <v>1.7540159999999996</v>
      </c>
      <c r="LM143" s="1"/>
      <c r="LN143" s="1"/>
      <c r="LO143" s="1"/>
      <c r="LP143" s="2"/>
      <c r="LQ143" s="2"/>
      <c r="LR143" s="2"/>
      <c r="LS143" s="2"/>
      <c r="LT143" s="2"/>
      <c r="LU143" s="2"/>
      <c r="LV143" s="2"/>
      <c r="LW143" s="2"/>
      <c r="LX143" s="2"/>
      <c r="LY143" s="1"/>
      <c r="LZ143" s="1"/>
      <c r="MA143" s="1"/>
      <c r="MB143" s="1"/>
      <c r="MC143" s="1"/>
      <c r="MD143" s="1"/>
      <c r="ME143" s="1"/>
      <c r="MF143" s="1"/>
      <c r="MG143" s="1"/>
      <c r="MK143" s="137"/>
      <c r="ML143" s="1"/>
      <c r="MM143" s="1"/>
      <c r="MN143" s="1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1"/>
      <c r="MZ143" s="1"/>
      <c r="NA143" s="1"/>
      <c r="NB143" s="1"/>
      <c r="NC143" s="1"/>
      <c r="ND143" s="1"/>
      <c r="NE143" s="1"/>
      <c r="NF143" s="1"/>
    </row>
    <row r="144" spans="2:421">
      <c r="B144" s="127" t="s">
        <v>24</v>
      </c>
      <c r="C144" s="128">
        <v>1.83</v>
      </c>
      <c r="D144" s="128">
        <v>2.1960000000000002</v>
      </c>
      <c r="E144" s="128">
        <v>2.439756</v>
      </c>
      <c r="F144" s="128">
        <v>1.9764000000000004</v>
      </c>
      <c r="G144" s="128">
        <v>2.3716800000000005</v>
      </c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K144" s="137"/>
      <c r="ML144" s="1"/>
      <c r="MM144" s="1"/>
      <c r="MN144" s="1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1"/>
      <c r="MZ144" s="1"/>
      <c r="NA144" s="1"/>
      <c r="NB144" s="1"/>
      <c r="NC144" s="1"/>
      <c r="ND144" s="1"/>
      <c r="NE144" s="1"/>
      <c r="NF144" s="1"/>
    </row>
    <row r="145" spans="2:370">
      <c r="B145" s="127" t="s">
        <v>20</v>
      </c>
      <c r="C145" s="144">
        <v>1.45</v>
      </c>
      <c r="D145" s="144">
        <v>1.45</v>
      </c>
      <c r="E145" s="144">
        <v>1.9331399999999996</v>
      </c>
      <c r="F145" s="144">
        <v>1.7399999999999998</v>
      </c>
      <c r="G145" s="144">
        <v>2.0879999999999996</v>
      </c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14"/>
      <c r="LZ145" s="10"/>
      <c r="MA145" s="10"/>
      <c r="MB145" s="10"/>
      <c r="MC145" s="10"/>
      <c r="MD145" s="10"/>
      <c r="ME145" s="10"/>
      <c r="MF145" s="10"/>
      <c r="MG145" s="10"/>
      <c r="MK145" s="137"/>
      <c r="ML145" s="1"/>
      <c r="MM145" s="1"/>
      <c r="MN145" s="1"/>
      <c r="MO145" s="2"/>
      <c r="MP145" s="2"/>
      <c r="MQ145" s="2"/>
      <c r="MR145" s="2"/>
      <c r="MS145" s="2"/>
      <c r="MT145" s="2"/>
      <c r="MU145" s="2"/>
      <c r="MV145" s="2"/>
      <c r="MW145" s="2"/>
      <c r="MX145" s="1"/>
      <c r="MY145" s="1"/>
      <c r="MZ145" s="1"/>
      <c r="NA145" s="1"/>
      <c r="NB145" s="1"/>
      <c r="NC145" s="1"/>
      <c r="ND145" s="1"/>
      <c r="NE145" s="1"/>
      <c r="NF145" s="1"/>
    </row>
    <row r="146" spans="2:370" ht="23.25">
      <c r="B146" s="126" t="s">
        <v>15</v>
      </c>
      <c r="C146" s="129">
        <v>2.2200000000000002</v>
      </c>
      <c r="D146" s="129">
        <v>2.2200000000000002</v>
      </c>
      <c r="E146" s="129">
        <v>2.9597040000000003</v>
      </c>
      <c r="F146" s="129">
        <v>2.6640000000000001</v>
      </c>
      <c r="G146" s="129">
        <v>2.9304000000000001</v>
      </c>
      <c r="LM146" s="1"/>
      <c r="LN146" s="1"/>
      <c r="LO146" s="1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1"/>
      <c r="MA146" s="1"/>
      <c r="MB146" s="1"/>
      <c r="MC146" s="1"/>
      <c r="MD146" s="1"/>
      <c r="ME146" s="1"/>
      <c r="MF146" s="1"/>
      <c r="MG146" s="1"/>
      <c r="MK146" s="137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</row>
    <row r="147" spans="2:370">
      <c r="B147" s="127" t="s">
        <v>138</v>
      </c>
      <c r="C147" s="128">
        <v>2.2799999999999998</v>
      </c>
      <c r="D147" s="128">
        <v>2.7359999999999998</v>
      </c>
      <c r="E147" s="128">
        <v>3.3436655999999996</v>
      </c>
      <c r="F147" s="128">
        <v>2.40768</v>
      </c>
      <c r="G147" s="128">
        <v>1.9261440000000001</v>
      </c>
      <c r="LM147" s="1"/>
      <c r="LN147" s="1"/>
      <c r="LO147" s="1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1"/>
      <c r="MA147" s="1"/>
      <c r="MB147" s="1"/>
      <c r="MC147" s="1"/>
      <c r="MD147" s="1"/>
      <c r="ME147" s="1"/>
      <c r="MF147" s="1"/>
      <c r="MG147" s="1"/>
      <c r="MK147" s="137"/>
      <c r="ML147" s="10"/>
      <c r="MM147" s="10"/>
      <c r="MN147" s="10"/>
      <c r="MO147" s="10"/>
      <c r="MP147" s="10"/>
      <c r="MQ147" s="10"/>
      <c r="MR147" s="10"/>
      <c r="MS147" s="10"/>
      <c r="MT147" s="10"/>
      <c r="MU147" s="10"/>
      <c r="MV147" s="10"/>
      <c r="MW147" s="10"/>
      <c r="MX147" s="114"/>
      <c r="MY147" s="10"/>
      <c r="MZ147" s="10"/>
      <c r="NA147" s="10"/>
      <c r="NB147" s="10"/>
      <c r="NC147" s="10"/>
      <c r="ND147" s="10"/>
      <c r="NE147" s="10"/>
      <c r="NF147" s="10"/>
    </row>
    <row r="148" spans="2:370" ht="23.25">
      <c r="B148" s="127" t="s">
        <v>116</v>
      </c>
      <c r="C148" s="140">
        <v>1.33</v>
      </c>
      <c r="D148" s="140">
        <v>1.1970000000000001</v>
      </c>
      <c r="E148" s="140">
        <v>1.4628537000000001</v>
      </c>
      <c r="F148" s="140">
        <v>1.1850300000000002</v>
      </c>
      <c r="G148" s="140">
        <v>0.9480240000000002</v>
      </c>
      <c r="LM148" s="1"/>
      <c r="LN148" s="1"/>
      <c r="LO148" s="1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1"/>
      <c r="MA148" s="1"/>
      <c r="MB148" s="1"/>
      <c r="MC148" s="1"/>
      <c r="MD148" s="1"/>
      <c r="ME148" s="1"/>
      <c r="MF148" s="1"/>
      <c r="MG148" s="1"/>
      <c r="MK148" s="137"/>
      <c r="ML148" s="1"/>
      <c r="MM148" s="1"/>
      <c r="MN148" s="1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1"/>
      <c r="MZ148" s="1"/>
      <c r="NA148" s="1"/>
      <c r="NB148" s="1"/>
      <c r="NC148" s="1"/>
      <c r="ND148" s="1"/>
      <c r="NE148" s="1"/>
      <c r="NF148" s="1"/>
    </row>
    <row r="149" spans="2:370">
      <c r="B149" s="127" t="s">
        <v>110</v>
      </c>
      <c r="C149" s="128">
        <v>1.78</v>
      </c>
      <c r="D149" s="128">
        <v>1.78</v>
      </c>
      <c r="E149" s="128">
        <v>1.7798219999999998</v>
      </c>
      <c r="F149" s="128">
        <v>1.9223999999999997</v>
      </c>
      <c r="G149" s="128">
        <v>1.9223999999999997</v>
      </c>
      <c r="LM149" s="1"/>
      <c r="LN149" s="1"/>
      <c r="LO149" s="1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1"/>
      <c r="MA149" s="1"/>
      <c r="MB149" s="1"/>
      <c r="MC149" s="1"/>
      <c r="MD149" s="1"/>
      <c r="ME149" s="1"/>
      <c r="MF149" s="1"/>
      <c r="MG149" s="1"/>
      <c r="MK149" s="137"/>
      <c r="ML149" s="1"/>
      <c r="MM149" s="1"/>
      <c r="MN149" s="1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1"/>
      <c r="MZ149" s="1"/>
      <c r="NA149" s="1"/>
      <c r="NB149" s="1"/>
      <c r="NC149" s="1"/>
      <c r="ND149" s="1"/>
      <c r="NE149" s="1"/>
      <c r="NF149" s="1"/>
    </row>
    <row r="150" spans="2:370" ht="45.75">
      <c r="B150" s="126" t="s">
        <v>191</v>
      </c>
      <c r="C150" s="129">
        <v>1.75</v>
      </c>
      <c r="D150" s="129">
        <v>1.575</v>
      </c>
      <c r="E150" s="129">
        <v>1.9248075</v>
      </c>
      <c r="F150" s="129">
        <v>1.7324999999999999</v>
      </c>
      <c r="G150" s="129">
        <v>1.55925</v>
      </c>
      <c r="LM150" s="1"/>
      <c r="LN150" s="1"/>
      <c r="LO150" s="1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1"/>
      <c r="MA150" s="1"/>
      <c r="MB150" s="1"/>
      <c r="MC150" s="1"/>
      <c r="MD150" s="1"/>
      <c r="ME150" s="1"/>
      <c r="MF150" s="1"/>
      <c r="MG150" s="1"/>
      <c r="MK150" s="137"/>
      <c r="ML150" s="1"/>
      <c r="MM150" s="1"/>
      <c r="MN150" s="1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1"/>
      <c r="MZ150" s="1"/>
      <c r="NA150" s="1"/>
      <c r="NB150" s="1"/>
      <c r="NC150" s="1"/>
      <c r="ND150" s="1"/>
      <c r="NE150" s="1"/>
      <c r="NF150" s="1"/>
    </row>
    <row r="151" spans="2:370" ht="23.25">
      <c r="B151" s="126" t="s">
        <v>11</v>
      </c>
      <c r="C151" s="129">
        <v>2.11</v>
      </c>
      <c r="D151" s="129">
        <v>2.3209999999999997</v>
      </c>
      <c r="E151" s="129">
        <v>2.0629047999999996</v>
      </c>
      <c r="F151" s="129">
        <v>1.4854399999999999</v>
      </c>
      <c r="G151" s="129">
        <v>1.7825279999999999</v>
      </c>
      <c r="LM151" s="1"/>
      <c r="LN151" s="1"/>
      <c r="LO151" s="1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1"/>
      <c r="MA151" s="1"/>
      <c r="MB151" s="1"/>
      <c r="MC151" s="1"/>
      <c r="MD151" s="1"/>
      <c r="ME151" s="1"/>
      <c r="MF151" s="1"/>
      <c r="MG151" s="1"/>
      <c r="MK151" s="137"/>
      <c r="ML151" s="1"/>
      <c r="MM151" s="1"/>
      <c r="MN151" s="1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1"/>
      <c r="MZ151" s="1"/>
      <c r="NA151" s="1"/>
      <c r="NB151" s="1"/>
      <c r="NC151" s="1"/>
      <c r="ND151" s="1"/>
      <c r="NE151" s="1"/>
      <c r="NF151" s="1"/>
    </row>
    <row r="152" spans="2:370">
      <c r="B152" s="126" t="s">
        <v>45</v>
      </c>
      <c r="C152" s="142">
        <v>1.39</v>
      </c>
      <c r="D152" s="142">
        <v>1.1119999999999999</v>
      </c>
      <c r="E152" s="142">
        <v>1.2354319999999999</v>
      </c>
      <c r="F152" s="142">
        <v>1.2231999999999998</v>
      </c>
      <c r="G152" s="142">
        <v>1.1008799999999999</v>
      </c>
      <c r="LM152" s="1"/>
      <c r="LN152" s="1"/>
      <c r="LO152" s="1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1"/>
      <c r="MA152" s="1"/>
      <c r="MB152" s="1"/>
      <c r="MC152" s="1"/>
      <c r="MD152" s="1"/>
      <c r="ME152" s="1"/>
      <c r="MF152" s="1"/>
      <c r="MG152" s="1"/>
      <c r="MK152" s="137"/>
      <c r="ML152" s="1"/>
      <c r="MM152" s="1"/>
      <c r="MN152" s="1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1"/>
      <c r="MZ152" s="1"/>
      <c r="NA152" s="1"/>
      <c r="NB152" s="1"/>
      <c r="NC152" s="1"/>
      <c r="ND152" s="1"/>
      <c r="NE152" s="1"/>
      <c r="NF152" s="1"/>
    </row>
    <row r="153" spans="2:370">
      <c r="B153" s="126" t="s">
        <v>97</v>
      </c>
      <c r="C153" s="129">
        <v>1.3</v>
      </c>
      <c r="D153" s="129">
        <v>1.04</v>
      </c>
      <c r="E153" s="129">
        <v>1.0398959999999999</v>
      </c>
      <c r="F153" s="129">
        <v>1.1232</v>
      </c>
      <c r="G153" s="129">
        <v>1.01088</v>
      </c>
      <c r="LM153" s="1"/>
      <c r="LN153" s="1"/>
      <c r="LO153" s="1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1"/>
      <c r="MA153" s="1"/>
      <c r="MB153" s="1"/>
      <c r="MC153" s="1"/>
      <c r="MD153" s="1"/>
      <c r="ME153" s="1"/>
      <c r="MF153" s="1"/>
      <c r="MG153" s="1"/>
      <c r="MK153" s="137"/>
      <c r="ML153" s="1"/>
      <c r="MM153" s="1"/>
      <c r="MN153" s="1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1"/>
      <c r="MZ153" s="1"/>
      <c r="NA153" s="1"/>
      <c r="NB153" s="1"/>
      <c r="NC153" s="1"/>
      <c r="ND153" s="1"/>
      <c r="NE153" s="1"/>
      <c r="NF153" s="1"/>
    </row>
    <row r="154" spans="2:370" ht="34.5">
      <c r="B154" s="126" t="s">
        <v>137</v>
      </c>
      <c r="C154" s="143">
        <v>1.96</v>
      </c>
      <c r="D154" s="143">
        <v>2.3519999999999999</v>
      </c>
      <c r="E154" s="143">
        <v>2.8743792000000004</v>
      </c>
      <c r="F154" s="143">
        <v>3.1046400000000003</v>
      </c>
      <c r="G154" s="143">
        <v>3.7255680000000004</v>
      </c>
      <c r="LM154" s="1"/>
      <c r="LN154" s="1"/>
      <c r="LO154" s="1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1"/>
      <c r="MA154" s="1"/>
      <c r="MB154" s="1"/>
      <c r="MC154" s="1"/>
      <c r="MD154" s="1"/>
      <c r="ME154" s="1"/>
      <c r="MF154" s="1"/>
      <c r="MG154" s="1"/>
      <c r="MK154" s="137"/>
      <c r="ML154" s="1"/>
      <c r="MM154" s="1"/>
      <c r="MN154" s="1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1"/>
      <c r="MZ154" s="1"/>
      <c r="NA154" s="1"/>
      <c r="NB154" s="1"/>
      <c r="NC154" s="1"/>
      <c r="ND154" s="1"/>
      <c r="NE154" s="1"/>
      <c r="NF154" s="1"/>
    </row>
    <row r="155" spans="2:370" ht="23.25">
      <c r="B155" s="127" t="s">
        <v>156</v>
      </c>
      <c r="C155" s="128">
        <v>2.02</v>
      </c>
      <c r="D155" s="128">
        <v>2.4240000000000004</v>
      </c>
      <c r="E155" s="128">
        <v>2.9623704000000002</v>
      </c>
      <c r="F155" s="128">
        <v>2.1331200000000003</v>
      </c>
      <c r="G155" s="128">
        <v>2.1331200000000003</v>
      </c>
      <c r="LM155" s="1"/>
      <c r="LN155" s="1"/>
      <c r="LO155" s="1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1"/>
      <c r="MA155" s="1"/>
      <c r="MB155" s="1"/>
      <c r="MC155" s="1"/>
      <c r="MD155" s="1"/>
      <c r="ME155" s="1"/>
      <c r="MF155" s="1"/>
      <c r="MG155" s="1"/>
      <c r="MK155" s="137"/>
      <c r="ML155" s="1"/>
      <c r="MM155" s="1"/>
      <c r="MN155" s="1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1"/>
      <c r="MZ155" s="1"/>
      <c r="NA155" s="1"/>
      <c r="NB155" s="1"/>
      <c r="NC155" s="1"/>
      <c r="ND155" s="1"/>
      <c r="NE155" s="1"/>
      <c r="NF155" s="1"/>
    </row>
    <row r="156" spans="2:370">
      <c r="B156" s="126" t="s">
        <v>65</v>
      </c>
      <c r="C156" s="129">
        <v>2.2400000000000002</v>
      </c>
      <c r="D156" s="129">
        <v>2.464</v>
      </c>
      <c r="E156" s="129">
        <v>2.1900032</v>
      </c>
      <c r="F156" s="129">
        <v>1.9712000000000001</v>
      </c>
      <c r="G156" s="129">
        <v>1.9712000000000001</v>
      </c>
      <c r="LM156" s="1"/>
      <c r="LN156" s="1"/>
      <c r="LO156" s="1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1"/>
      <c r="MA156" s="1"/>
      <c r="MB156" s="1"/>
      <c r="MC156" s="1"/>
      <c r="MD156" s="1"/>
      <c r="ME156" s="1"/>
      <c r="MF156" s="1"/>
      <c r="MG156" s="1"/>
      <c r="MK156" s="137"/>
      <c r="ML156" s="1"/>
      <c r="MM156" s="1"/>
      <c r="MN156" s="1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1"/>
      <c r="MZ156" s="1"/>
      <c r="NA156" s="1"/>
      <c r="NB156" s="1"/>
      <c r="NC156" s="1"/>
      <c r="ND156" s="1"/>
      <c r="NE156" s="1"/>
      <c r="NF156" s="1"/>
    </row>
    <row r="157" spans="2:370" ht="34.5">
      <c r="B157" s="127" t="s">
        <v>142</v>
      </c>
      <c r="C157" s="140">
        <v>1.45</v>
      </c>
      <c r="D157" s="140">
        <v>1.3049999999999999</v>
      </c>
      <c r="E157" s="140">
        <v>1.3048694999999999</v>
      </c>
      <c r="F157" s="140">
        <v>1.1744999999999999</v>
      </c>
      <c r="G157" s="140">
        <v>1.0570499999999998</v>
      </c>
      <c r="LM157" s="1"/>
      <c r="LN157" s="1"/>
      <c r="LO157" s="1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1"/>
      <c r="MA157" s="1"/>
      <c r="MB157" s="1"/>
      <c r="MC157" s="1"/>
      <c r="MD157" s="1"/>
      <c r="ME157" s="1"/>
      <c r="MF157" s="1"/>
      <c r="MG157" s="1"/>
      <c r="MK157" s="137"/>
      <c r="ML157" s="1"/>
      <c r="MM157" s="1"/>
      <c r="MN157" s="1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1"/>
      <c r="MZ157" s="1"/>
      <c r="NA157" s="1"/>
      <c r="NB157" s="1"/>
      <c r="NC157" s="1"/>
      <c r="ND157" s="1"/>
      <c r="NE157" s="1"/>
      <c r="NF157" s="1"/>
    </row>
    <row r="158" spans="2:370">
      <c r="B158" s="126" t="s">
        <v>27</v>
      </c>
      <c r="C158" s="129">
        <v>1.34</v>
      </c>
      <c r="D158" s="129">
        <v>1.474</v>
      </c>
      <c r="E158" s="129">
        <v>1.8013754</v>
      </c>
      <c r="F158" s="129">
        <v>1.2971200000000001</v>
      </c>
      <c r="G158" s="129">
        <v>1.4268320000000001</v>
      </c>
      <c r="LM158" s="1"/>
      <c r="LN158" s="1"/>
      <c r="LO158" s="1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1"/>
      <c r="MA158" s="1"/>
      <c r="MB158" s="1"/>
      <c r="MC158" s="1"/>
      <c r="MD158" s="1"/>
      <c r="ME158" s="1"/>
      <c r="MF158" s="1"/>
      <c r="MG158" s="1"/>
      <c r="MK158" s="137"/>
      <c r="ML158" s="1"/>
      <c r="MM158" s="1"/>
      <c r="MN158" s="1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1"/>
      <c r="MZ158" s="1"/>
      <c r="NA158" s="1"/>
      <c r="NB158" s="1"/>
      <c r="NC158" s="1"/>
      <c r="ND158" s="1"/>
      <c r="NE158" s="1"/>
      <c r="NF158" s="1"/>
    </row>
    <row r="159" spans="2:370">
      <c r="B159" s="126" t="s">
        <v>51</v>
      </c>
      <c r="C159" s="129">
        <v>1.53</v>
      </c>
      <c r="D159" s="129">
        <v>1.6830000000000003</v>
      </c>
      <c r="E159" s="129">
        <v>1.6828317000000002</v>
      </c>
      <c r="F159" s="129">
        <v>1.2117600000000002</v>
      </c>
      <c r="G159" s="129">
        <v>1.0905840000000002</v>
      </c>
      <c r="LM159" s="1"/>
      <c r="LN159" s="1"/>
      <c r="LO159" s="1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1"/>
      <c r="MA159" s="1"/>
      <c r="MB159" s="1"/>
      <c r="MC159" s="1"/>
      <c r="MD159" s="1"/>
      <c r="ME159" s="1"/>
      <c r="MF159" s="1"/>
      <c r="MG159" s="1"/>
      <c r="MK159" s="137"/>
      <c r="ML159" s="1"/>
      <c r="MM159" s="1"/>
      <c r="MN159" s="1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1"/>
      <c r="MZ159" s="1"/>
      <c r="NA159" s="1"/>
      <c r="NB159" s="1"/>
      <c r="NC159" s="1"/>
      <c r="ND159" s="1"/>
      <c r="NE159" s="1"/>
      <c r="NF159" s="1"/>
    </row>
    <row r="160" spans="2:370">
      <c r="B160" s="127" t="s">
        <v>190</v>
      </c>
      <c r="C160" s="128">
        <v>2.19</v>
      </c>
      <c r="D160" s="128">
        <v>1.752</v>
      </c>
      <c r="E160" s="128">
        <v>1.946472</v>
      </c>
      <c r="F160" s="128">
        <v>2.1024000000000003</v>
      </c>
      <c r="G160" s="128">
        <v>2.3126400000000005</v>
      </c>
      <c r="LM160" s="1"/>
      <c r="LN160" s="1"/>
      <c r="LO160" s="1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1"/>
      <c r="MA160" s="1"/>
      <c r="MB160" s="1"/>
      <c r="MC160" s="1"/>
      <c r="MD160" s="1"/>
      <c r="ME160" s="1"/>
      <c r="MF160" s="1"/>
      <c r="MG160" s="1"/>
      <c r="MK160" s="137"/>
      <c r="ML160" s="1"/>
      <c r="MM160" s="1"/>
      <c r="MN160" s="1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1"/>
      <c r="MZ160" s="1"/>
      <c r="NA160" s="1"/>
      <c r="NB160" s="1"/>
      <c r="NC160" s="1"/>
      <c r="ND160" s="1"/>
      <c r="NE160" s="1"/>
      <c r="NF160" s="1"/>
    </row>
    <row r="161" spans="2:370">
      <c r="B161" s="127" t="s">
        <v>42</v>
      </c>
      <c r="C161" s="128">
        <v>1.86</v>
      </c>
      <c r="D161" s="128">
        <v>1.6740000000000002</v>
      </c>
      <c r="E161" s="128">
        <v>1.8598140000000001</v>
      </c>
      <c r="F161" s="128">
        <v>1.5066000000000002</v>
      </c>
      <c r="G161" s="128">
        <v>1.2052800000000001</v>
      </c>
      <c r="LM161" s="1"/>
      <c r="LN161" s="1"/>
      <c r="LO161" s="1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1"/>
      <c r="MA161" s="1"/>
      <c r="MB161" s="1"/>
      <c r="MC161" s="1"/>
      <c r="MD161" s="1"/>
      <c r="ME161" s="1"/>
      <c r="MF161" s="1"/>
      <c r="MG161" s="1"/>
      <c r="MK161" s="137"/>
      <c r="ML161" s="1"/>
      <c r="MM161" s="1"/>
      <c r="MN161" s="1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1"/>
      <c r="MZ161" s="1"/>
      <c r="NA161" s="1"/>
      <c r="NB161" s="1"/>
      <c r="NC161" s="1"/>
      <c r="ND161" s="1"/>
      <c r="NE161" s="1"/>
      <c r="NF161" s="1"/>
    </row>
    <row r="162" spans="2:370" ht="23.25">
      <c r="B162" s="126" t="s">
        <v>139</v>
      </c>
      <c r="C162" s="143">
        <v>1.44</v>
      </c>
      <c r="D162" s="143">
        <v>1.1519999999999999</v>
      </c>
      <c r="E162" s="143">
        <v>1.2798719999999999</v>
      </c>
      <c r="F162" s="143">
        <v>1.1519999999999999</v>
      </c>
      <c r="G162" s="143">
        <v>1.3823999999999999</v>
      </c>
      <c r="LM162" s="10"/>
      <c r="LN162" s="10"/>
      <c r="LO162" s="10"/>
      <c r="LP162" s="114"/>
      <c r="LQ162" s="114"/>
      <c r="LR162" s="114"/>
      <c r="LS162" s="114"/>
      <c r="LT162" s="114"/>
      <c r="LU162" s="114"/>
      <c r="LV162" s="114"/>
      <c r="LW162" s="114"/>
      <c r="LX162" s="114"/>
      <c r="LY162" s="10"/>
      <c r="LZ162" s="10"/>
      <c r="MA162" s="10"/>
      <c r="MB162" s="10"/>
      <c r="MC162" s="10"/>
      <c r="MD162" s="10"/>
      <c r="ME162" s="10"/>
      <c r="MF162" s="10"/>
      <c r="MG162" s="10"/>
      <c r="MK162" s="137"/>
      <c r="ML162" s="1"/>
      <c r="MM162" s="1"/>
      <c r="MN162" s="1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1"/>
      <c r="MZ162" s="1"/>
      <c r="NA162" s="1"/>
      <c r="NB162" s="1"/>
      <c r="NC162" s="1"/>
      <c r="ND162" s="1"/>
      <c r="NE162" s="1"/>
      <c r="NF162" s="1"/>
    </row>
    <row r="163" spans="2:370">
      <c r="B163" s="127" t="s">
        <v>16</v>
      </c>
      <c r="C163" s="128">
        <v>1.76</v>
      </c>
      <c r="D163" s="128">
        <v>1.4079999999999999</v>
      </c>
      <c r="E163" s="128">
        <v>1.4078591999999999</v>
      </c>
      <c r="F163" s="128">
        <v>1.5206399999999998</v>
      </c>
      <c r="G163" s="128">
        <v>1.3685759999999998</v>
      </c>
      <c r="LM163" s="1"/>
      <c r="LN163" s="1"/>
      <c r="LO163" s="1"/>
      <c r="LP163" s="2"/>
      <c r="LQ163" s="2"/>
      <c r="LR163" s="2"/>
      <c r="LS163" s="2"/>
      <c r="LT163" s="2"/>
      <c r="LU163" s="2"/>
      <c r="LV163" s="2"/>
      <c r="LW163" s="2"/>
      <c r="LX163" s="2"/>
      <c r="LY163" s="1"/>
      <c r="LZ163" s="1"/>
      <c r="MA163" s="1"/>
      <c r="MB163" s="1"/>
      <c r="MC163" s="1"/>
      <c r="MD163" s="1"/>
      <c r="ME163" s="1"/>
      <c r="MF163" s="1"/>
      <c r="MG163" s="1"/>
      <c r="MK163" s="137"/>
      <c r="ML163" s="1"/>
      <c r="MM163" s="1"/>
      <c r="MN163" s="1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1"/>
      <c r="MZ163" s="1"/>
      <c r="NA163" s="1"/>
      <c r="NB163" s="1"/>
      <c r="NC163" s="1"/>
      <c r="ND163" s="1"/>
      <c r="NE163" s="1"/>
      <c r="NF163" s="1"/>
    </row>
    <row r="164" spans="2:370">
      <c r="B164" s="126" t="s">
        <v>107</v>
      </c>
      <c r="C164" s="129">
        <v>2.21</v>
      </c>
      <c r="D164" s="129">
        <v>1.768</v>
      </c>
      <c r="E164" s="129">
        <v>1.964248</v>
      </c>
      <c r="F164" s="129">
        <v>1.4144000000000001</v>
      </c>
      <c r="G164" s="129">
        <v>1.6972799999999999</v>
      </c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K164" s="137"/>
      <c r="ML164" s="10"/>
      <c r="MM164" s="10"/>
      <c r="MN164" s="10"/>
      <c r="MO164" s="114"/>
      <c r="MP164" s="114"/>
      <c r="MQ164" s="114"/>
      <c r="MR164" s="114"/>
      <c r="MS164" s="114"/>
      <c r="MT164" s="114"/>
      <c r="MU164" s="114"/>
      <c r="MV164" s="114"/>
      <c r="MW164" s="114"/>
      <c r="MX164" s="10"/>
      <c r="MY164" s="10"/>
      <c r="MZ164" s="10"/>
      <c r="NA164" s="10"/>
      <c r="NB164" s="10"/>
      <c r="NC164" s="10"/>
      <c r="ND164" s="10"/>
      <c r="NE164" s="10"/>
      <c r="NF164" s="10"/>
    </row>
    <row r="165" spans="2:370">
      <c r="B165" s="126" t="s">
        <v>189</v>
      </c>
      <c r="C165" s="143">
        <v>2.23</v>
      </c>
      <c r="D165" s="143">
        <v>2.6759999999999997</v>
      </c>
      <c r="E165" s="143">
        <v>2.6757323999999993</v>
      </c>
      <c r="F165" s="143">
        <v>2.1675599999999995</v>
      </c>
      <c r="G165" s="143">
        <v>2.3843159999999992</v>
      </c>
      <c r="LM165" s="10"/>
      <c r="LN165" s="10"/>
      <c r="LO165" s="10"/>
      <c r="LP165" s="10"/>
      <c r="LQ165" s="10"/>
      <c r="LR165" s="10"/>
      <c r="LS165" s="10"/>
      <c r="LT165" s="10"/>
      <c r="LU165" s="10"/>
      <c r="LV165" s="10"/>
      <c r="LW165" s="10"/>
      <c r="LX165" s="10"/>
      <c r="LY165" s="10"/>
      <c r="LZ165" s="10"/>
      <c r="MA165" s="10"/>
      <c r="MB165" s="10"/>
      <c r="MC165" s="10"/>
      <c r="MD165" s="10"/>
      <c r="ME165" s="10"/>
      <c r="MF165" s="10"/>
      <c r="MG165" s="10"/>
      <c r="MK165" s="137"/>
      <c r="ML165" s="1"/>
      <c r="MM165" s="1"/>
      <c r="MN165" s="1"/>
      <c r="MO165" s="2"/>
      <c r="MP165" s="2"/>
      <c r="MQ165" s="2"/>
      <c r="MR165" s="2"/>
      <c r="MS165" s="2"/>
      <c r="MT165" s="2"/>
      <c r="MU165" s="2"/>
      <c r="MV165" s="2"/>
      <c r="MW165" s="2"/>
      <c r="MX165" s="1"/>
      <c r="MY165" s="1"/>
      <c r="MZ165" s="1"/>
      <c r="NA165" s="1"/>
      <c r="NB165" s="1"/>
      <c r="NC165" s="1"/>
      <c r="ND165" s="1"/>
      <c r="NE165" s="1"/>
      <c r="NF165" s="1"/>
    </row>
    <row r="166" spans="2:370">
      <c r="B166" s="127" t="s">
        <v>160</v>
      </c>
      <c r="C166" s="128">
        <v>2.2599999999999998</v>
      </c>
      <c r="D166" s="128">
        <v>2.0339999999999998</v>
      </c>
      <c r="E166" s="128">
        <v>1.8078191999999997</v>
      </c>
      <c r="F166" s="128">
        <v>1.4644799999999998</v>
      </c>
      <c r="G166" s="128">
        <v>1.3180319999999999</v>
      </c>
      <c r="LM166" s="1"/>
      <c r="LN166" s="1"/>
      <c r="LO166" s="1"/>
      <c r="LP166" s="2"/>
      <c r="LQ166" s="2"/>
      <c r="LR166" s="2"/>
      <c r="LS166" s="2"/>
      <c r="LT166" s="2"/>
      <c r="LU166" s="2"/>
      <c r="LV166" s="2"/>
      <c r="LW166" s="2"/>
      <c r="LX166" s="2"/>
      <c r="LY166" s="1"/>
      <c r="LZ166" s="1"/>
      <c r="MA166" s="1"/>
      <c r="MB166" s="1"/>
      <c r="MC166" s="1"/>
      <c r="MD166" s="1"/>
      <c r="ME166" s="1"/>
      <c r="MF166" s="1"/>
      <c r="MG166" s="1"/>
      <c r="MK166" s="137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</row>
    <row r="167" spans="2:370">
      <c r="B167" s="126" t="s">
        <v>25</v>
      </c>
      <c r="C167" s="142">
        <v>1.66</v>
      </c>
      <c r="D167" s="142">
        <v>1.8259999999999998</v>
      </c>
      <c r="E167" s="142">
        <v>2.028686</v>
      </c>
      <c r="F167" s="142">
        <v>1.6433999999999997</v>
      </c>
      <c r="G167" s="142">
        <v>1.8077399999999997</v>
      </c>
      <c r="LM167" s="1"/>
      <c r="LN167" s="1"/>
      <c r="LO167" s="1"/>
      <c r="LP167" s="2"/>
      <c r="LQ167" s="2"/>
      <c r="LR167" s="2"/>
      <c r="LS167" s="2"/>
      <c r="LT167" s="2"/>
      <c r="LU167" s="2"/>
      <c r="LV167" s="2"/>
      <c r="LW167" s="2"/>
      <c r="LX167" s="2"/>
      <c r="LY167" s="1"/>
      <c r="LZ167" s="1"/>
      <c r="MA167" s="1"/>
      <c r="MB167" s="1"/>
      <c r="MC167" s="1"/>
      <c r="MD167" s="1"/>
      <c r="ME167" s="1"/>
      <c r="MF167" s="1"/>
      <c r="MG167" s="1"/>
      <c r="MK167" s="137"/>
      <c r="ML167" s="10"/>
      <c r="MM167" s="10"/>
      <c r="MN167" s="10"/>
      <c r="MO167" s="10"/>
      <c r="MP167" s="10"/>
      <c r="MQ167" s="10"/>
      <c r="MR167" s="10"/>
      <c r="MS167" s="10"/>
      <c r="MT167" s="10"/>
      <c r="MU167" s="10"/>
      <c r="MV167" s="10"/>
      <c r="MW167" s="10"/>
      <c r="MX167" s="10"/>
      <c r="MY167" s="10"/>
      <c r="MZ167" s="10"/>
      <c r="NA167" s="10"/>
      <c r="NB167" s="10"/>
      <c r="NC167" s="10"/>
      <c r="ND167" s="10"/>
      <c r="NE167" s="10"/>
      <c r="NF167" s="10"/>
    </row>
    <row r="168" spans="2:370">
      <c r="B168" s="127" t="s">
        <v>18</v>
      </c>
      <c r="C168" s="128">
        <v>1.79</v>
      </c>
      <c r="D168" s="128">
        <v>1.4319999999999999</v>
      </c>
      <c r="E168" s="128">
        <v>1.2727615999999999</v>
      </c>
      <c r="F168" s="128">
        <v>1.3747199999999999</v>
      </c>
      <c r="G168" s="128">
        <v>1.0997759999999999</v>
      </c>
      <c r="LM168" s="1"/>
      <c r="LN168" s="1"/>
      <c r="LO168" s="1"/>
      <c r="LP168" s="2"/>
      <c r="LQ168" s="2"/>
      <c r="LR168" s="2"/>
      <c r="LS168" s="2"/>
      <c r="LT168" s="2"/>
      <c r="LU168" s="2"/>
      <c r="LV168" s="2"/>
      <c r="LW168" s="2"/>
      <c r="LX168" s="2"/>
      <c r="LY168" s="1"/>
      <c r="LZ168" s="1"/>
      <c r="MA168" s="1"/>
      <c r="MB168" s="1"/>
      <c r="MC168" s="1"/>
      <c r="MD168" s="1"/>
      <c r="ME168" s="1"/>
      <c r="MF168" s="1"/>
      <c r="MG168" s="1"/>
      <c r="MK168" s="137"/>
      <c r="ML168" s="1"/>
      <c r="MM168" s="1"/>
      <c r="MN168" s="1"/>
      <c r="MO168" s="2"/>
      <c r="MP168" s="2"/>
      <c r="MQ168" s="2"/>
      <c r="MR168" s="2"/>
      <c r="MS168" s="2"/>
      <c r="MT168" s="2"/>
      <c r="MU168" s="2"/>
      <c r="MV168" s="2"/>
      <c r="MW168" s="2"/>
      <c r="MX168" s="1"/>
      <c r="MY168" s="1"/>
      <c r="MZ168" s="1"/>
      <c r="NA168" s="1"/>
      <c r="NB168" s="1"/>
      <c r="NC168" s="1"/>
      <c r="ND168" s="1"/>
      <c r="NE168" s="1"/>
      <c r="NF168" s="1"/>
    </row>
    <row r="169" spans="2:370" ht="23.25">
      <c r="B169" s="127" t="s">
        <v>84</v>
      </c>
      <c r="C169" s="128">
        <v>1.84</v>
      </c>
      <c r="D169" s="128">
        <v>1.8400000000000003</v>
      </c>
      <c r="E169" s="128">
        <v>1.6353920000000002</v>
      </c>
      <c r="F169" s="128">
        <v>1.1776000000000002</v>
      </c>
      <c r="G169" s="128">
        <v>1.0598400000000001</v>
      </c>
      <c r="LM169" s="1"/>
      <c r="LN169" s="1"/>
      <c r="LO169" s="1"/>
      <c r="LP169" s="2"/>
      <c r="LQ169" s="2"/>
      <c r="LR169" s="2"/>
      <c r="LS169" s="2"/>
      <c r="LT169" s="2"/>
      <c r="LU169" s="2"/>
      <c r="LV169" s="2"/>
      <c r="LW169" s="2"/>
      <c r="LX169" s="2"/>
      <c r="LY169" s="1"/>
      <c r="LZ169" s="1"/>
      <c r="MA169" s="1"/>
      <c r="MB169" s="1"/>
      <c r="MC169" s="1"/>
      <c r="MD169" s="1"/>
      <c r="ME169" s="1"/>
      <c r="MF169" s="1"/>
      <c r="MG169" s="1"/>
      <c r="MK169" s="137"/>
      <c r="ML169" s="1"/>
      <c r="MM169" s="1"/>
      <c r="MN169" s="1"/>
      <c r="MO169" s="2"/>
      <c r="MP169" s="2"/>
      <c r="MQ169" s="2"/>
      <c r="MR169" s="2"/>
      <c r="MS169" s="2"/>
      <c r="MT169" s="2"/>
      <c r="MU169" s="2"/>
      <c r="MV169" s="2"/>
      <c r="MW169" s="2"/>
      <c r="MX169" s="1"/>
      <c r="MY169" s="1"/>
      <c r="MZ169" s="1"/>
      <c r="NA169" s="1"/>
      <c r="NB169" s="1"/>
      <c r="NC169" s="1"/>
      <c r="ND169" s="1"/>
      <c r="NE169" s="1"/>
      <c r="NF169" s="1"/>
    </row>
    <row r="170" spans="2:370">
      <c r="B170" s="127" t="s">
        <v>8</v>
      </c>
      <c r="C170" s="128">
        <v>1.84</v>
      </c>
      <c r="D170" s="128">
        <v>1.8400000000000003</v>
      </c>
      <c r="E170" s="128">
        <v>1.6353920000000002</v>
      </c>
      <c r="F170" s="128">
        <v>1.4720000000000002</v>
      </c>
      <c r="G170" s="128">
        <v>1.1776000000000002</v>
      </c>
      <c r="LM170" s="1"/>
      <c r="LN170" s="1"/>
      <c r="LO170" s="1"/>
      <c r="LP170" s="2"/>
      <c r="LQ170" s="2"/>
      <c r="LR170" s="2"/>
      <c r="LS170" s="2"/>
      <c r="LT170" s="2"/>
      <c r="LU170" s="2"/>
      <c r="LV170" s="2"/>
      <c r="LW170" s="2"/>
      <c r="LX170" s="2"/>
      <c r="LY170" s="1"/>
      <c r="LZ170" s="1"/>
      <c r="MA170" s="1"/>
      <c r="MB170" s="1"/>
      <c r="MC170" s="1"/>
      <c r="MD170" s="1"/>
      <c r="ME170" s="1"/>
      <c r="MF170" s="1"/>
      <c r="MG170" s="1"/>
      <c r="MK170" s="137"/>
      <c r="ML170" s="1"/>
      <c r="MM170" s="1"/>
      <c r="MN170" s="1"/>
      <c r="MO170" s="2"/>
      <c r="MP170" s="2"/>
      <c r="MQ170" s="2"/>
      <c r="MR170" s="2"/>
      <c r="MS170" s="2"/>
      <c r="MT170" s="2"/>
      <c r="MU170" s="2"/>
      <c r="MV170" s="2"/>
      <c r="MW170" s="2"/>
      <c r="MX170" s="1"/>
      <c r="MY170" s="1"/>
      <c r="MZ170" s="1"/>
      <c r="NA170" s="1"/>
      <c r="NB170" s="1"/>
      <c r="NC170" s="1"/>
      <c r="ND170" s="1"/>
      <c r="NE170" s="1"/>
      <c r="NF170" s="1"/>
    </row>
    <row r="171" spans="2:370" ht="34.5">
      <c r="B171" s="127" t="s">
        <v>158</v>
      </c>
      <c r="C171" s="128">
        <v>2.37</v>
      </c>
      <c r="D171" s="128">
        <v>2.6070000000000002</v>
      </c>
      <c r="E171" s="128">
        <v>3.4756524</v>
      </c>
      <c r="F171" s="128">
        <v>2.5027200000000001</v>
      </c>
      <c r="G171" s="128">
        <v>3.0032640000000002</v>
      </c>
      <c r="LM171" s="1"/>
      <c r="LN171" s="1"/>
      <c r="LO171" s="1"/>
      <c r="LP171" s="2"/>
      <c r="LQ171" s="2"/>
      <c r="LR171" s="2"/>
      <c r="LS171" s="2"/>
      <c r="LT171" s="2"/>
      <c r="LU171" s="2"/>
      <c r="LV171" s="2"/>
      <c r="LW171" s="2"/>
      <c r="LX171" s="2"/>
      <c r="LY171" s="1"/>
      <c r="LZ171" s="1"/>
      <c r="MA171" s="1"/>
      <c r="MB171" s="1"/>
      <c r="MC171" s="1"/>
      <c r="MD171" s="1"/>
      <c r="ME171" s="1"/>
      <c r="MF171" s="1"/>
      <c r="MG171" s="1"/>
      <c r="MK171" s="137"/>
      <c r="ML171" s="1"/>
      <c r="MM171" s="1"/>
      <c r="MN171" s="1"/>
      <c r="MO171" s="2"/>
      <c r="MP171" s="2"/>
      <c r="MQ171" s="2"/>
      <c r="MR171" s="2"/>
      <c r="MS171" s="2"/>
      <c r="MT171" s="2"/>
      <c r="MU171" s="2"/>
      <c r="MV171" s="2"/>
      <c r="MW171" s="2"/>
      <c r="MX171" s="1"/>
      <c r="MY171" s="1"/>
      <c r="MZ171" s="1"/>
      <c r="NA171" s="1"/>
      <c r="NB171" s="1"/>
      <c r="NC171" s="1"/>
      <c r="ND171" s="1"/>
      <c r="NE171" s="1"/>
      <c r="NF171" s="1"/>
    </row>
    <row r="172" spans="2:370">
      <c r="B172" s="126" t="s">
        <v>35</v>
      </c>
      <c r="C172" s="129">
        <v>2.14</v>
      </c>
      <c r="D172" s="129">
        <v>1.9260000000000002</v>
      </c>
      <c r="E172" s="129">
        <v>1.9258074000000003</v>
      </c>
      <c r="F172" s="129">
        <v>1.5600600000000002</v>
      </c>
      <c r="G172" s="129">
        <v>1.5600600000000002</v>
      </c>
      <c r="LM172" s="1"/>
      <c r="LN172" s="1"/>
      <c r="LO172" s="1"/>
      <c r="LP172" s="2"/>
      <c r="LQ172" s="2"/>
      <c r="LR172" s="2"/>
      <c r="LS172" s="2"/>
      <c r="LT172" s="2"/>
      <c r="LU172" s="2"/>
      <c r="LV172" s="2"/>
      <c r="LW172" s="2"/>
      <c r="LX172" s="2"/>
      <c r="LY172" s="1"/>
      <c r="LZ172" s="1"/>
      <c r="MA172" s="1"/>
      <c r="MB172" s="1"/>
      <c r="MC172" s="1"/>
      <c r="MD172" s="1"/>
      <c r="ME172" s="1"/>
      <c r="MF172" s="1"/>
      <c r="MG172" s="1"/>
      <c r="MK172" s="137"/>
      <c r="ML172" s="1"/>
      <c r="MM172" s="1"/>
      <c r="MN172" s="1"/>
      <c r="MO172" s="2"/>
      <c r="MP172" s="2"/>
      <c r="MQ172" s="2"/>
      <c r="MR172" s="2"/>
      <c r="MS172" s="2"/>
      <c r="MT172" s="2"/>
      <c r="MU172" s="2"/>
      <c r="MV172" s="2"/>
      <c r="MW172" s="2"/>
      <c r="MX172" s="1"/>
      <c r="MY172" s="1"/>
      <c r="MZ172" s="1"/>
      <c r="NA172" s="1"/>
      <c r="NB172" s="1"/>
      <c r="NC172" s="1"/>
      <c r="ND172" s="1"/>
      <c r="NE172" s="1"/>
      <c r="NF172" s="1"/>
    </row>
    <row r="173" spans="2:370">
      <c r="B173" s="126" t="s">
        <v>101</v>
      </c>
      <c r="C173" s="129">
        <v>1.54</v>
      </c>
      <c r="D173" s="129">
        <v>1.54</v>
      </c>
      <c r="E173" s="129">
        <v>1.368752</v>
      </c>
      <c r="F173" s="129">
        <v>1.1088</v>
      </c>
      <c r="G173" s="129">
        <v>0.99792000000000003</v>
      </c>
      <c r="LM173" s="1"/>
      <c r="LN173" s="1"/>
      <c r="LO173" s="1"/>
      <c r="LP173" s="2"/>
      <c r="LQ173" s="2"/>
      <c r="LR173" s="2"/>
      <c r="LS173" s="2"/>
      <c r="LT173" s="2"/>
      <c r="LU173" s="2"/>
      <c r="LV173" s="2"/>
      <c r="LW173" s="2"/>
      <c r="LX173" s="2"/>
      <c r="LY173" s="1"/>
      <c r="LZ173" s="1"/>
      <c r="MA173" s="1"/>
      <c r="MB173" s="1"/>
      <c r="MC173" s="1"/>
      <c r="MD173" s="1"/>
      <c r="ME173" s="1"/>
      <c r="MF173" s="1"/>
      <c r="MG173" s="1"/>
      <c r="MK173" s="137"/>
      <c r="ML173" s="1"/>
      <c r="MM173" s="1"/>
      <c r="MN173" s="1"/>
      <c r="MO173" s="2"/>
      <c r="MP173" s="2"/>
      <c r="MQ173" s="2"/>
      <c r="MR173" s="2"/>
      <c r="MS173" s="2"/>
      <c r="MT173" s="2"/>
      <c r="MU173" s="2"/>
      <c r="MV173" s="2"/>
      <c r="MW173" s="2"/>
      <c r="MX173" s="1"/>
      <c r="MY173" s="1"/>
      <c r="MZ173" s="1"/>
      <c r="NA173" s="1"/>
      <c r="NB173" s="1"/>
      <c r="NC173" s="1"/>
      <c r="ND173" s="1"/>
      <c r="NE173" s="1"/>
      <c r="NF173" s="1"/>
    </row>
    <row r="174" spans="2:370">
      <c r="B174" s="126" t="s">
        <v>161</v>
      </c>
      <c r="C174" s="129">
        <v>1.41</v>
      </c>
      <c r="D174" s="129">
        <v>1.6919999999999997</v>
      </c>
      <c r="E174" s="129">
        <v>1.6918307999999997</v>
      </c>
      <c r="F174" s="129">
        <v>1.5227999999999997</v>
      </c>
      <c r="G174" s="129">
        <v>1.5227999999999997</v>
      </c>
      <c r="LM174" s="1"/>
      <c r="LN174" s="1"/>
      <c r="LO174" s="1"/>
      <c r="LP174" s="2"/>
      <c r="LQ174" s="2"/>
      <c r="LR174" s="2"/>
      <c r="LS174" s="2"/>
      <c r="LT174" s="2"/>
      <c r="LU174" s="2"/>
      <c r="LV174" s="2"/>
      <c r="LW174" s="2"/>
      <c r="LX174" s="2"/>
      <c r="LY174" s="1"/>
      <c r="LZ174" s="1"/>
      <c r="MA174" s="1"/>
      <c r="MB174" s="1"/>
      <c r="MC174" s="1"/>
      <c r="MD174" s="1"/>
      <c r="ME174" s="1"/>
      <c r="MF174" s="1"/>
      <c r="MG174" s="1"/>
      <c r="MK174" s="137"/>
      <c r="ML174" s="1"/>
      <c r="MM174" s="1"/>
      <c r="MN174" s="1"/>
      <c r="MO174" s="2"/>
      <c r="MP174" s="2"/>
      <c r="MQ174" s="2"/>
      <c r="MR174" s="2"/>
      <c r="MS174" s="2"/>
      <c r="MT174" s="2"/>
      <c r="MU174" s="2"/>
      <c r="MV174" s="2"/>
      <c r="MW174" s="2"/>
      <c r="MX174" s="1"/>
      <c r="MY174" s="1"/>
      <c r="MZ174" s="1"/>
      <c r="NA174" s="1"/>
      <c r="NB174" s="1"/>
      <c r="NC174" s="1"/>
      <c r="ND174" s="1"/>
      <c r="NE174" s="1"/>
      <c r="NF174" s="1"/>
    </row>
    <row r="175" spans="2:370">
      <c r="B175" s="127" t="s">
        <v>188</v>
      </c>
      <c r="C175" s="140">
        <v>1.47</v>
      </c>
      <c r="D175" s="140">
        <v>1.47</v>
      </c>
      <c r="E175" s="140">
        <v>1.4698529999999999</v>
      </c>
      <c r="F175" s="140">
        <v>1.1907000000000001</v>
      </c>
      <c r="G175" s="140">
        <v>1.4288400000000001</v>
      </c>
      <c r="LM175" s="1"/>
      <c r="LN175" s="1"/>
      <c r="LO175" s="1"/>
      <c r="LP175" s="2"/>
      <c r="LQ175" s="2"/>
      <c r="LR175" s="2"/>
      <c r="LS175" s="2"/>
      <c r="LT175" s="2"/>
      <c r="LU175" s="2"/>
      <c r="LV175" s="2"/>
      <c r="LW175" s="2"/>
      <c r="LX175" s="2"/>
      <c r="LY175" s="1"/>
      <c r="LZ175" s="1"/>
      <c r="MA175" s="1"/>
      <c r="MB175" s="1"/>
      <c r="MC175" s="1"/>
      <c r="MD175" s="1"/>
      <c r="ME175" s="1"/>
      <c r="MF175" s="1"/>
      <c r="MG175" s="1"/>
      <c r="MK175" s="137"/>
      <c r="ML175" s="1"/>
      <c r="MM175" s="1"/>
      <c r="MN175" s="1"/>
      <c r="MO175" s="2"/>
      <c r="MP175" s="2"/>
      <c r="MQ175" s="2"/>
      <c r="MR175" s="2"/>
      <c r="MS175" s="2"/>
      <c r="MT175" s="2"/>
      <c r="MU175" s="2"/>
      <c r="MV175" s="2"/>
      <c r="MW175" s="2"/>
      <c r="MX175" s="1"/>
      <c r="MY175" s="1"/>
      <c r="MZ175" s="1"/>
      <c r="NA175" s="1"/>
      <c r="NB175" s="1"/>
      <c r="NC175" s="1"/>
      <c r="ND175" s="1"/>
      <c r="NE175" s="1"/>
      <c r="NF175" s="1"/>
    </row>
    <row r="176" spans="2:370" ht="23.25">
      <c r="B176" s="126" t="s">
        <v>93</v>
      </c>
      <c r="C176" s="129">
        <v>1.56</v>
      </c>
      <c r="D176" s="129">
        <v>1.248</v>
      </c>
      <c r="E176" s="129">
        <v>1.6638335999999998</v>
      </c>
      <c r="F176" s="129">
        <v>1.3478399999999999</v>
      </c>
      <c r="G176" s="129">
        <v>1.2130559999999999</v>
      </c>
      <c r="LM176" s="1"/>
      <c r="LN176" s="1"/>
      <c r="LO176" s="1"/>
      <c r="LP176" s="2"/>
      <c r="LQ176" s="2"/>
      <c r="LR176" s="2"/>
      <c r="LS176" s="2"/>
      <c r="LT176" s="2"/>
      <c r="LU176" s="2"/>
      <c r="LV176" s="2"/>
      <c r="LW176" s="2"/>
      <c r="LX176" s="2"/>
      <c r="LY176" s="1"/>
      <c r="LZ176" s="1"/>
      <c r="MA176" s="1"/>
      <c r="MB176" s="1"/>
      <c r="MC176" s="1"/>
      <c r="MD176" s="1"/>
      <c r="ME176" s="1"/>
      <c r="MF176" s="1"/>
      <c r="MG176" s="1"/>
      <c r="MK176" s="137"/>
      <c r="ML176" s="1"/>
      <c r="MM176" s="1"/>
      <c r="MN176" s="1"/>
      <c r="MO176" s="2"/>
      <c r="MP176" s="2"/>
      <c r="MQ176" s="2"/>
      <c r="MR176" s="2"/>
      <c r="MS176" s="2"/>
      <c r="MT176" s="2"/>
      <c r="MU176" s="2"/>
      <c r="MV176" s="2"/>
      <c r="MW176" s="2"/>
      <c r="MX176" s="1"/>
      <c r="MY176" s="1"/>
      <c r="MZ176" s="1"/>
      <c r="NA176" s="1"/>
      <c r="NB176" s="1"/>
      <c r="NC176" s="1"/>
      <c r="ND176" s="1"/>
      <c r="NE176" s="1"/>
      <c r="NF176" s="1"/>
    </row>
    <row r="177" spans="2:370">
      <c r="B177" s="126" t="s">
        <v>109</v>
      </c>
      <c r="C177" s="129">
        <v>2.38</v>
      </c>
      <c r="D177" s="129">
        <v>2.8559999999999999</v>
      </c>
      <c r="E177" s="129">
        <v>3.8076192</v>
      </c>
      <c r="F177" s="129">
        <v>2.7417600000000002</v>
      </c>
      <c r="G177" s="129">
        <v>2.7417600000000002</v>
      </c>
      <c r="LM177" s="1"/>
      <c r="LN177" s="1"/>
      <c r="LO177" s="1"/>
      <c r="LP177" s="2"/>
      <c r="LQ177" s="2"/>
      <c r="LR177" s="2"/>
      <c r="LS177" s="2"/>
      <c r="LT177" s="2"/>
      <c r="LU177" s="2"/>
      <c r="LV177" s="2"/>
      <c r="LW177" s="2"/>
      <c r="LX177" s="2"/>
      <c r="LY177" s="1"/>
      <c r="LZ177" s="1"/>
      <c r="MA177" s="1"/>
      <c r="MB177" s="1"/>
      <c r="MC177" s="1"/>
      <c r="MD177" s="1"/>
      <c r="ME177" s="1"/>
      <c r="MF177" s="1"/>
      <c r="MG177" s="1"/>
      <c r="MK177" s="137"/>
      <c r="ML177" s="1"/>
      <c r="MM177" s="1"/>
      <c r="MN177" s="1"/>
      <c r="MO177" s="2"/>
      <c r="MP177" s="2"/>
      <c r="MQ177" s="2"/>
      <c r="MR177" s="2"/>
      <c r="MS177" s="2"/>
      <c r="MT177" s="2"/>
      <c r="MU177" s="2"/>
      <c r="MV177" s="2"/>
      <c r="MW177" s="2"/>
      <c r="MX177" s="1"/>
      <c r="MY177" s="1"/>
      <c r="MZ177" s="1"/>
      <c r="NA177" s="1"/>
      <c r="NB177" s="1"/>
      <c r="NC177" s="1"/>
      <c r="ND177" s="1"/>
      <c r="NE177" s="1"/>
      <c r="NF177" s="1"/>
    </row>
    <row r="178" spans="2:370">
      <c r="B178" s="127" t="s">
        <v>58</v>
      </c>
      <c r="C178" s="128">
        <v>2.27</v>
      </c>
      <c r="D178" s="128">
        <v>2.27</v>
      </c>
      <c r="E178" s="128">
        <v>2.7741669999999998</v>
      </c>
      <c r="F178" s="128">
        <v>2.9964</v>
      </c>
      <c r="G178" s="128">
        <v>3.5956800000000002</v>
      </c>
      <c r="LM178" s="1"/>
      <c r="LN178" s="1"/>
      <c r="LO178" s="1"/>
      <c r="LP178" s="2"/>
      <c r="LQ178" s="2"/>
      <c r="LR178" s="2"/>
      <c r="LS178" s="2"/>
      <c r="LT178" s="2"/>
      <c r="LU178" s="2"/>
      <c r="LV178" s="2"/>
      <c r="LW178" s="2"/>
      <c r="LX178" s="2"/>
      <c r="LY178" s="1"/>
      <c r="LZ178" s="1"/>
      <c r="MA178" s="1"/>
      <c r="MB178" s="1"/>
      <c r="MC178" s="1"/>
      <c r="MD178" s="1"/>
      <c r="ME178" s="1"/>
      <c r="MF178" s="1"/>
      <c r="MG178" s="1"/>
      <c r="MK178" s="137"/>
      <c r="ML178" s="1"/>
      <c r="MM178" s="1"/>
      <c r="MN178" s="1"/>
      <c r="MO178" s="2"/>
      <c r="MP178" s="2"/>
      <c r="MQ178" s="2"/>
      <c r="MR178" s="2"/>
      <c r="MS178" s="2"/>
      <c r="MT178" s="2"/>
      <c r="MU178" s="2"/>
      <c r="MV178" s="2"/>
      <c r="MW178" s="2"/>
      <c r="MX178" s="1"/>
      <c r="MY178" s="1"/>
      <c r="MZ178" s="1"/>
      <c r="NA178" s="1"/>
      <c r="NB178" s="1"/>
      <c r="NC178" s="1"/>
      <c r="ND178" s="1"/>
      <c r="NE178" s="1"/>
      <c r="NF178" s="1"/>
    </row>
    <row r="179" spans="2:370" ht="23.25">
      <c r="B179" s="127" t="s">
        <v>130</v>
      </c>
      <c r="C179" s="140">
        <v>1.67</v>
      </c>
      <c r="D179" s="140">
        <v>1.3359999999999999</v>
      </c>
      <c r="E179" s="140">
        <v>1.3358663999999998</v>
      </c>
      <c r="F179" s="140">
        <v>1.4428799999999999</v>
      </c>
      <c r="G179" s="140">
        <v>1.298592</v>
      </c>
      <c r="LM179" s="1"/>
      <c r="LN179" s="1"/>
      <c r="LO179" s="1"/>
      <c r="LP179" s="2"/>
      <c r="LQ179" s="2"/>
      <c r="LR179" s="2"/>
      <c r="LS179" s="2"/>
      <c r="LT179" s="2"/>
      <c r="LU179" s="2"/>
      <c r="LV179" s="2"/>
      <c r="LW179" s="2"/>
      <c r="LX179" s="2"/>
      <c r="LY179" s="1"/>
      <c r="LZ179" s="1"/>
      <c r="MA179" s="1"/>
      <c r="MB179" s="1"/>
      <c r="MC179" s="1"/>
      <c r="MD179" s="1"/>
      <c r="ME179" s="1"/>
      <c r="MF179" s="1"/>
      <c r="MG179" s="1"/>
      <c r="MK179" s="137"/>
      <c r="ML179" s="1"/>
      <c r="MM179" s="1"/>
      <c r="MN179" s="1"/>
      <c r="MO179" s="2"/>
      <c r="MP179" s="2"/>
      <c r="MQ179" s="2"/>
      <c r="MR179" s="2"/>
      <c r="MS179" s="2"/>
      <c r="MT179" s="2"/>
      <c r="MU179" s="2"/>
      <c r="MV179" s="2"/>
      <c r="MW179" s="2"/>
      <c r="MX179" s="1"/>
      <c r="MY179" s="1"/>
      <c r="MZ179" s="1"/>
      <c r="NA179" s="1"/>
      <c r="NB179" s="1"/>
      <c r="NC179" s="1"/>
      <c r="ND179" s="1"/>
      <c r="NE179" s="1"/>
      <c r="NF179" s="1"/>
    </row>
    <row r="180" spans="2:370">
      <c r="B180" s="126" t="s">
        <v>159</v>
      </c>
      <c r="C180" s="141">
        <v>1.95</v>
      </c>
      <c r="D180" s="141">
        <v>2.145</v>
      </c>
      <c r="E180" s="141">
        <v>1.9064759999999998</v>
      </c>
      <c r="F180" s="141">
        <v>2.0591999999999997</v>
      </c>
      <c r="G180" s="141">
        <v>1.6473599999999997</v>
      </c>
      <c r="LM180" s="1"/>
      <c r="LN180" s="1"/>
      <c r="LO180" s="1"/>
      <c r="LP180" s="2"/>
      <c r="LQ180" s="2"/>
      <c r="LR180" s="2"/>
      <c r="LS180" s="2"/>
      <c r="LT180" s="2"/>
      <c r="LU180" s="2"/>
      <c r="LV180" s="2"/>
      <c r="LW180" s="2"/>
      <c r="LX180" s="2"/>
      <c r="LY180" s="1"/>
      <c r="LZ180" s="1"/>
      <c r="MA180" s="1"/>
      <c r="MB180" s="1"/>
      <c r="MC180" s="1"/>
      <c r="MD180" s="1"/>
      <c r="ME180" s="1"/>
      <c r="MF180" s="1"/>
      <c r="MG180" s="1"/>
      <c r="MK180" s="137"/>
      <c r="ML180" s="1"/>
      <c r="MM180" s="1"/>
      <c r="MN180" s="1"/>
      <c r="MO180" s="2"/>
      <c r="MP180" s="2"/>
      <c r="MQ180" s="2"/>
      <c r="MR180" s="2"/>
      <c r="MS180" s="2"/>
      <c r="MT180" s="2"/>
      <c r="MU180" s="2"/>
      <c r="MV180" s="2"/>
      <c r="MW180" s="2"/>
      <c r="MX180" s="1"/>
      <c r="MY180" s="1"/>
      <c r="MZ180" s="1"/>
      <c r="NA180" s="1"/>
      <c r="NB180" s="1"/>
      <c r="NC180" s="1"/>
      <c r="ND180" s="1"/>
      <c r="NE180" s="1"/>
      <c r="NF180" s="1"/>
    </row>
    <row r="181" spans="2:370">
      <c r="B181" s="126" t="s">
        <v>79</v>
      </c>
      <c r="C181" s="129">
        <v>1.69</v>
      </c>
      <c r="D181" s="129">
        <v>2.028</v>
      </c>
      <c r="E181" s="129">
        <v>1.8024864</v>
      </c>
      <c r="F181" s="129">
        <v>1.9468800000000002</v>
      </c>
      <c r="G181" s="129">
        <v>1.9468800000000002</v>
      </c>
      <c r="LM181" s="1"/>
      <c r="LN181" s="1"/>
      <c r="LO181" s="1"/>
      <c r="LP181" s="2"/>
      <c r="LQ181" s="2"/>
      <c r="LR181" s="2"/>
      <c r="LS181" s="2"/>
      <c r="LT181" s="2"/>
      <c r="LU181" s="2"/>
      <c r="LV181" s="2"/>
      <c r="LW181" s="2"/>
      <c r="LX181" s="2"/>
      <c r="LY181" s="1"/>
      <c r="LZ181" s="1"/>
      <c r="MA181" s="1"/>
      <c r="MB181" s="1"/>
      <c r="MC181" s="1"/>
      <c r="MD181" s="1"/>
      <c r="ME181" s="1"/>
      <c r="MF181" s="1"/>
      <c r="MG181" s="1"/>
      <c r="MK181" s="137"/>
      <c r="ML181" s="1"/>
      <c r="MM181" s="1"/>
      <c r="MN181" s="1"/>
      <c r="MO181" s="2"/>
      <c r="MP181" s="2"/>
      <c r="MQ181" s="2"/>
      <c r="MR181" s="2"/>
      <c r="MS181" s="2"/>
      <c r="MT181" s="2"/>
      <c r="MU181" s="2"/>
      <c r="MV181" s="2"/>
      <c r="MW181" s="2"/>
      <c r="MX181" s="1"/>
      <c r="MY181" s="1"/>
      <c r="MZ181" s="1"/>
      <c r="NA181" s="1"/>
      <c r="NB181" s="1"/>
      <c r="NC181" s="1"/>
      <c r="ND181" s="1"/>
      <c r="NE181" s="1"/>
      <c r="NF181" s="1"/>
    </row>
    <row r="182" spans="2:370" ht="23.25">
      <c r="B182" s="126" t="s">
        <v>23</v>
      </c>
      <c r="C182" s="141">
        <v>1.67</v>
      </c>
      <c r="D182" s="141">
        <v>1.3359999999999999</v>
      </c>
      <c r="E182" s="141">
        <v>1.4842959999999998</v>
      </c>
      <c r="F182" s="141">
        <v>1.3359999999999999</v>
      </c>
      <c r="G182" s="141">
        <v>1.6031999999999997</v>
      </c>
      <c r="LM182" s="10"/>
      <c r="LN182" s="10"/>
      <c r="LO182" s="10"/>
      <c r="LP182" s="114"/>
      <c r="LQ182" s="114"/>
      <c r="LR182" s="114"/>
      <c r="LS182" s="114"/>
      <c r="LT182" s="114"/>
      <c r="LU182" s="114"/>
      <c r="LV182" s="114"/>
      <c r="LW182" s="114"/>
      <c r="LX182" s="114"/>
      <c r="LY182" s="10"/>
      <c r="LZ182" s="10"/>
      <c r="MA182" s="10"/>
      <c r="MB182" s="10"/>
      <c r="MC182" s="10"/>
      <c r="MD182" s="10"/>
      <c r="ME182" s="10"/>
      <c r="MF182" s="10"/>
      <c r="MG182" s="10"/>
      <c r="MK182" s="137"/>
      <c r="ML182" s="1"/>
      <c r="MM182" s="1"/>
      <c r="MN182" s="1"/>
      <c r="MO182" s="2"/>
      <c r="MP182" s="2"/>
      <c r="MQ182" s="2"/>
      <c r="MR182" s="2"/>
      <c r="MS182" s="2"/>
      <c r="MT182" s="2"/>
      <c r="MU182" s="2"/>
      <c r="MV182" s="2"/>
      <c r="MW182" s="2"/>
      <c r="MX182" s="1"/>
      <c r="MY182" s="1"/>
      <c r="MZ182" s="1"/>
      <c r="NA182" s="1"/>
      <c r="NB182" s="1"/>
      <c r="NC182" s="1"/>
      <c r="ND182" s="1"/>
      <c r="NE182" s="1"/>
      <c r="NF182" s="1"/>
    </row>
    <row r="183" spans="2:370" ht="23.25">
      <c r="B183" s="127" t="s">
        <v>10</v>
      </c>
      <c r="C183" s="128">
        <v>1.83</v>
      </c>
      <c r="D183" s="128">
        <v>1.464</v>
      </c>
      <c r="E183" s="128">
        <v>1.3012032</v>
      </c>
      <c r="F183" s="128">
        <v>1.0540800000000001</v>
      </c>
      <c r="G183" s="128">
        <v>0.84326400000000012</v>
      </c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K183" s="137"/>
      <c r="ML183" s="1"/>
      <c r="MM183" s="1"/>
      <c r="MN183" s="1"/>
      <c r="MO183" s="2"/>
      <c r="MP183" s="2"/>
      <c r="MQ183" s="2"/>
      <c r="MR183" s="2"/>
      <c r="MS183" s="2"/>
      <c r="MT183" s="2"/>
      <c r="MU183" s="2"/>
      <c r="MV183" s="2"/>
      <c r="MW183" s="2"/>
      <c r="MX183" s="1"/>
      <c r="MY183" s="1"/>
      <c r="MZ183" s="1"/>
      <c r="NA183" s="1"/>
      <c r="NB183" s="1"/>
      <c r="NC183" s="1"/>
      <c r="ND183" s="1"/>
      <c r="NE183" s="1"/>
      <c r="NF183" s="1"/>
    </row>
    <row r="184" spans="2:370" ht="57">
      <c r="B184" s="126" t="s">
        <v>115</v>
      </c>
      <c r="C184" s="143">
        <v>1.55</v>
      </c>
      <c r="D184" s="143">
        <v>1.7050000000000001</v>
      </c>
      <c r="E184" s="143">
        <v>1.5154040000000002</v>
      </c>
      <c r="F184" s="143">
        <v>1.6368000000000003</v>
      </c>
      <c r="G184" s="143">
        <v>1.4731200000000002</v>
      </c>
      <c r="LM184" s="10"/>
      <c r="LN184" s="10"/>
      <c r="LO184" s="10"/>
      <c r="LP184" s="10"/>
      <c r="LQ184" s="10"/>
      <c r="LR184" s="10"/>
      <c r="LS184" s="10"/>
      <c r="LT184" s="10"/>
      <c r="LU184" s="10"/>
      <c r="LV184" s="10"/>
      <c r="LW184" s="10"/>
      <c r="LX184" s="10"/>
      <c r="LY184" s="10"/>
      <c r="LZ184" s="10"/>
      <c r="MA184" s="10"/>
      <c r="MB184" s="10"/>
      <c r="MC184" s="10"/>
      <c r="MD184" s="10"/>
      <c r="ME184" s="10"/>
      <c r="MF184" s="10"/>
      <c r="MG184" s="10"/>
      <c r="MK184" s="137"/>
      <c r="ML184" s="10"/>
      <c r="MM184" s="10"/>
      <c r="MN184" s="10"/>
      <c r="MO184" s="114"/>
      <c r="MP184" s="114"/>
      <c r="MQ184" s="114"/>
      <c r="MR184" s="114"/>
      <c r="MS184" s="114"/>
      <c r="MT184" s="114"/>
      <c r="MU184" s="114"/>
      <c r="MV184" s="114"/>
      <c r="MW184" s="114"/>
      <c r="MX184" s="10"/>
      <c r="MY184" s="10"/>
      <c r="MZ184" s="10"/>
      <c r="NA184" s="10"/>
      <c r="NB184" s="10"/>
      <c r="NC184" s="10"/>
      <c r="ND184" s="10"/>
      <c r="NE184" s="10"/>
      <c r="NF184" s="10"/>
    </row>
    <row r="185" spans="2:370" ht="34.5">
      <c r="B185" s="127" t="s">
        <v>3</v>
      </c>
      <c r="C185" s="128">
        <v>2.04</v>
      </c>
      <c r="D185" s="128">
        <v>2.2440000000000002</v>
      </c>
      <c r="E185" s="128">
        <v>2.9917008000000007</v>
      </c>
      <c r="F185" s="128">
        <v>3.2313600000000009</v>
      </c>
      <c r="G185" s="128">
        <v>2.5850880000000007</v>
      </c>
      <c r="LM185" s="1"/>
      <c r="LN185" s="1"/>
      <c r="LO185" s="1"/>
      <c r="LP185" s="2"/>
      <c r="LQ185" s="2"/>
      <c r="LR185" s="2"/>
      <c r="LS185" s="2"/>
      <c r="LT185" s="2"/>
      <c r="LU185" s="2"/>
      <c r="LV185" s="2"/>
      <c r="LW185" s="2"/>
      <c r="LX185" s="2"/>
      <c r="LY185" s="1"/>
      <c r="LZ185" s="1"/>
      <c r="MA185" s="1"/>
      <c r="MB185" s="1"/>
      <c r="MC185" s="1"/>
      <c r="MD185" s="1"/>
      <c r="ME185" s="1"/>
      <c r="MF185" s="1"/>
      <c r="MG185" s="1"/>
      <c r="MK185" s="137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</row>
    <row r="186" spans="2:370">
      <c r="B186" s="126" t="s">
        <v>77</v>
      </c>
      <c r="C186" s="141">
        <v>1.63</v>
      </c>
      <c r="D186" s="141">
        <v>1.3039999999999998</v>
      </c>
      <c r="E186" s="141">
        <v>1.1589951999999999</v>
      </c>
      <c r="F186" s="141">
        <v>0.93887999999999994</v>
      </c>
      <c r="G186" s="141">
        <v>0.93887999999999994</v>
      </c>
      <c r="LM186" s="1"/>
      <c r="LN186" s="1"/>
      <c r="LO186" s="1"/>
      <c r="LP186" s="2"/>
      <c r="LQ186" s="2"/>
      <c r="LR186" s="2"/>
      <c r="LS186" s="2"/>
      <c r="LT186" s="2"/>
      <c r="LU186" s="2"/>
      <c r="LV186" s="2"/>
      <c r="LW186" s="2"/>
      <c r="LX186" s="2"/>
      <c r="LY186" s="1"/>
      <c r="LZ186" s="1"/>
      <c r="MA186" s="1"/>
      <c r="MB186" s="1"/>
      <c r="MC186" s="1"/>
      <c r="MD186" s="1"/>
      <c r="ME186" s="1"/>
      <c r="MF186" s="1"/>
      <c r="MG186" s="1"/>
      <c r="MK186" s="137"/>
      <c r="ML186" s="10"/>
      <c r="MM186" s="10"/>
      <c r="MN186" s="10"/>
      <c r="MO186" s="10"/>
      <c r="MP186" s="10"/>
      <c r="MQ186" s="10"/>
      <c r="MR186" s="10"/>
      <c r="MS186" s="10"/>
      <c r="MT186" s="10"/>
      <c r="MU186" s="10"/>
      <c r="MV186" s="10"/>
      <c r="MW186" s="10"/>
      <c r="MX186" s="10"/>
      <c r="MY186" s="10"/>
      <c r="MZ186" s="10"/>
      <c r="NA186" s="10"/>
      <c r="NB186" s="10"/>
      <c r="NC186" s="10"/>
      <c r="ND186" s="10"/>
      <c r="NE186" s="10"/>
      <c r="NF186" s="10"/>
    </row>
    <row r="187" spans="2:370">
      <c r="B187" s="127" t="s">
        <v>112</v>
      </c>
      <c r="C187" s="128">
        <v>1.28</v>
      </c>
      <c r="D187" s="128">
        <v>1.28</v>
      </c>
      <c r="E187" s="128">
        <v>1.137664</v>
      </c>
      <c r="F187" s="128">
        <v>0.92160000000000009</v>
      </c>
      <c r="G187" s="128">
        <v>0.92160000000000009</v>
      </c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K187" s="137"/>
      <c r="ML187" s="1"/>
      <c r="MM187" s="1"/>
      <c r="MN187" s="1"/>
      <c r="MO187" s="2"/>
      <c r="MP187" s="2"/>
      <c r="MQ187" s="2"/>
      <c r="MR187" s="2"/>
      <c r="MS187" s="2"/>
      <c r="MT187" s="2"/>
      <c r="MU187" s="2"/>
      <c r="MV187" s="2"/>
      <c r="MW187" s="2"/>
      <c r="MX187" s="1"/>
      <c r="MY187" s="1"/>
      <c r="MZ187" s="1"/>
      <c r="NA187" s="1"/>
      <c r="NB187" s="1"/>
      <c r="NC187" s="1"/>
      <c r="ND187" s="1"/>
      <c r="NE187" s="1"/>
      <c r="NF187" s="1"/>
    </row>
    <row r="188" spans="2:370" ht="34.5">
      <c r="B188" s="127" t="s">
        <v>192</v>
      </c>
      <c r="C188" s="139">
        <v>1.43</v>
      </c>
      <c r="D188" s="139">
        <v>1.43</v>
      </c>
      <c r="E188" s="139">
        <v>1.2709839999999999</v>
      </c>
      <c r="F188" s="139">
        <v>1.0295999999999998</v>
      </c>
      <c r="G188" s="139">
        <v>1.2355199999999997</v>
      </c>
      <c r="LM188" s="10"/>
      <c r="LN188" s="10"/>
      <c r="LO188" s="10"/>
      <c r="LP188" s="114"/>
      <c r="LQ188" s="114"/>
      <c r="LR188" s="114"/>
      <c r="LS188" s="114"/>
      <c r="LT188" s="114"/>
      <c r="LU188" s="114"/>
      <c r="LV188" s="114"/>
      <c r="LW188" s="114"/>
      <c r="LX188" s="114"/>
      <c r="LY188" s="10"/>
      <c r="LZ188" s="10"/>
      <c r="MA188" s="10"/>
      <c r="MB188" s="10"/>
      <c r="MC188" s="10"/>
      <c r="MD188" s="10"/>
      <c r="ME188" s="10"/>
      <c r="MF188" s="10"/>
      <c r="MG188" s="10"/>
      <c r="MK188" s="137"/>
      <c r="ML188" s="1"/>
      <c r="MM188" s="1"/>
      <c r="MN188" s="1"/>
      <c r="MO188" s="2"/>
      <c r="MP188" s="2"/>
      <c r="MQ188" s="2"/>
      <c r="MR188" s="2"/>
      <c r="MS188" s="2"/>
      <c r="MT188" s="2"/>
      <c r="MU188" s="2"/>
      <c r="MV188" s="2"/>
      <c r="MW188" s="2"/>
      <c r="MX188" s="1"/>
      <c r="MY188" s="1"/>
      <c r="MZ188" s="1"/>
      <c r="NA188" s="1"/>
      <c r="NB188" s="1"/>
      <c r="NC188" s="1"/>
      <c r="ND188" s="1"/>
      <c r="NE188" s="1"/>
      <c r="NF188" s="1"/>
    </row>
    <row r="189" spans="2:370">
      <c r="B189" s="127" t="s">
        <v>64</v>
      </c>
      <c r="C189" s="132">
        <v>1.37</v>
      </c>
      <c r="D189" s="132">
        <v>1.37</v>
      </c>
      <c r="E189" s="132">
        <v>1.52207</v>
      </c>
      <c r="F189" s="132">
        <v>1.37</v>
      </c>
      <c r="G189" s="132">
        <v>1.5070000000000001</v>
      </c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K189" s="137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</row>
    <row r="190" spans="2:370">
      <c r="B190" s="127" t="s">
        <v>124</v>
      </c>
      <c r="C190" s="140">
        <v>1.48</v>
      </c>
      <c r="D190" s="140">
        <v>1.1839999999999999</v>
      </c>
      <c r="E190" s="140">
        <v>1.4469664</v>
      </c>
      <c r="F190" s="140">
        <v>1.04192</v>
      </c>
      <c r="G190" s="140">
        <v>1.146112</v>
      </c>
      <c r="LM190" s="10"/>
      <c r="LN190" s="10"/>
      <c r="LO190" s="10"/>
      <c r="LP190" s="10"/>
      <c r="LQ190" s="10"/>
      <c r="LR190" s="10"/>
      <c r="LS190" s="10"/>
      <c r="LT190" s="10"/>
      <c r="LU190" s="10"/>
      <c r="LV190" s="10"/>
      <c r="LW190" s="10"/>
      <c r="LX190" s="10"/>
      <c r="LY190" s="10"/>
      <c r="LZ190" s="10"/>
      <c r="MA190" s="10"/>
      <c r="MB190" s="10"/>
      <c r="MC190" s="10"/>
      <c r="MD190" s="10"/>
      <c r="ME190" s="10"/>
      <c r="MF190" s="10"/>
      <c r="MG190" s="10"/>
      <c r="MK190" s="137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</row>
    <row r="191" spans="2:370">
      <c r="B191" s="126" t="s">
        <v>131</v>
      </c>
      <c r="C191" s="129">
        <v>1.92</v>
      </c>
      <c r="D191" s="129">
        <v>2.3039999999999998</v>
      </c>
      <c r="E191" s="129">
        <v>3.0716927999999997</v>
      </c>
      <c r="F191" s="129">
        <v>2.7647999999999997</v>
      </c>
      <c r="G191" s="129">
        <v>2.2118399999999996</v>
      </c>
      <c r="LM191" s="4"/>
      <c r="LN191" s="4"/>
      <c r="LO191" s="4"/>
      <c r="LP191" s="116"/>
      <c r="LQ191" s="116"/>
      <c r="LR191" s="116"/>
      <c r="LS191" s="116"/>
      <c r="LT191" s="116"/>
      <c r="LU191" s="116"/>
      <c r="LV191" s="116"/>
      <c r="LW191" s="116"/>
      <c r="LX191" s="116"/>
      <c r="LY191" s="4"/>
      <c r="LZ191" s="4"/>
      <c r="MA191" s="4"/>
      <c r="MB191" s="4"/>
      <c r="MC191" s="4"/>
      <c r="MD191" s="4"/>
      <c r="ME191" s="4"/>
      <c r="MF191" s="4"/>
      <c r="MG191" s="4"/>
      <c r="MK191" s="137"/>
      <c r="ML191" s="10"/>
      <c r="MM191" s="10"/>
      <c r="MN191" s="10"/>
      <c r="MO191" s="10"/>
      <c r="MP191" s="10"/>
      <c r="MQ191" s="10"/>
      <c r="MR191" s="10"/>
      <c r="MS191" s="10"/>
      <c r="MT191" s="10"/>
      <c r="MU191" s="10"/>
      <c r="MV191" s="10"/>
      <c r="MW191" s="10"/>
      <c r="MX191" s="10"/>
      <c r="MY191" s="10"/>
      <c r="MZ191" s="10"/>
      <c r="NA191" s="10"/>
      <c r="NB191" s="10"/>
      <c r="NC191" s="10"/>
      <c r="ND191" s="10"/>
      <c r="NE191" s="10"/>
      <c r="NF191" s="10"/>
    </row>
    <row r="192" spans="2:370">
      <c r="B192" s="138" t="s">
        <v>129</v>
      </c>
      <c r="C192" s="145">
        <v>1.49</v>
      </c>
      <c r="D192" s="145">
        <v>1.7879999999999998</v>
      </c>
      <c r="E192" s="145">
        <v>2.3837615999999993</v>
      </c>
      <c r="F192" s="145">
        <v>1.7164799999999996</v>
      </c>
      <c r="G192" s="145">
        <v>2.0597759999999994</v>
      </c>
      <c r="LM192" s="4"/>
      <c r="LN192" s="4"/>
      <c r="LO192" s="4"/>
      <c r="LP192" s="116"/>
      <c r="LQ192" s="116"/>
      <c r="LR192" s="116"/>
      <c r="LS192" s="116"/>
      <c r="LT192" s="116"/>
      <c r="LU192" s="116"/>
      <c r="LV192" s="116"/>
      <c r="LW192" s="116"/>
      <c r="LX192" s="116"/>
      <c r="LY192" s="4"/>
      <c r="LZ192" s="4"/>
      <c r="MA192" s="4"/>
      <c r="MB192" s="4"/>
      <c r="MC192" s="4"/>
      <c r="MD192" s="4"/>
      <c r="ME192" s="4"/>
      <c r="MF192" s="4"/>
      <c r="MG192" s="4"/>
      <c r="ML192" s="10"/>
      <c r="MM192" s="10"/>
      <c r="MN192" s="10"/>
      <c r="MO192" s="10"/>
      <c r="MP192" s="10"/>
      <c r="MQ192" s="10"/>
      <c r="MR192" s="10"/>
      <c r="MS192" s="10"/>
      <c r="MT192" s="10"/>
      <c r="MU192" s="10"/>
      <c r="MV192" s="10"/>
      <c r="MW192" s="10"/>
      <c r="MX192" s="10"/>
      <c r="MY192" s="10"/>
      <c r="MZ192" s="10"/>
      <c r="NA192" s="10"/>
      <c r="NB192" s="10"/>
      <c r="NC192" s="10"/>
      <c r="ND192" s="10"/>
      <c r="NE192" s="10"/>
      <c r="NF192" s="10"/>
    </row>
    <row r="193" spans="325:370">
      <c r="LM193" s="1"/>
      <c r="LN193" s="89"/>
      <c r="LO193" s="77"/>
      <c r="LP193" s="2"/>
      <c r="LQ193" s="2"/>
      <c r="LR193" s="2"/>
      <c r="LS193" s="2"/>
      <c r="LT193" s="2"/>
      <c r="LU193" s="2"/>
      <c r="LV193" s="2"/>
      <c r="LW193" s="2"/>
      <c r="LX193" s="2"/>
      <c r="LY193" s="1"/>
      <c r="LZ193" s="1"/>
      <c r="MA193" s="1"/>
      <c r="MB193" s="1"/>
      <c r="MC193" s="1"/>
      <c r="MD193" s="1"/>
      <c r="ME193" s="1"/>
      <c r="MF193" s="1"/>
      <c r="MG193" s="1"/>
      <c r="ML193" s="4"/>
      <c r="MM193" s="4"/>
      <c r="MN193" s="4"/>
      <c r="MO193" s="116"/>
      <c r="MP193" s="116"/>
      <c r="MQ193" s="116"/>
      <c r="MR193" s="116"/>
      <c r="MS193" s="116"/>
      <c r="MT193" s="116"/>
      <c r="MU193" s="116"/>
      <c r="MV193" s="116"/>
      <c r="MW193" s="116"/>
      <c r="MX193" s="4"/>
      <c r="MY193" s="4"/>
      <c r="MZ193" s="4"/>
      <c r="NA193" s="4"/>
      <c r="NB193" s="4"/>
      <c r="NC193" s="4"/>
      <c r="ND193" s="4"/>
      <c r="NE193" s="4"/>
      <c r="NF193" s="4"/>
    </row>
    <row r="194" spans="325:370">
      <c r="LM194" s="120"/>
      <c r="LN194" s="117"/>
      <c r="LO194" s="118"/>
      <c r="LP194" s="119"/>
      <c r="LQ194" s="119"/>
      <c r="LR194" s="119"/>
      <c r="LS194" s="119"/>
      <c r="LT194" s="119"/>
      <c r="LU194" s="119"/>
      <c r="LV194" s="119"/>
      <c r="LW194" s="119"/>
      <c r="LX194" s="119"/>
      <c r="LY194" s="120"/>
      <c r="LZ194" s="120"/>
      <c r="MA194" s="120"/>
      <c r="MB194" s="120"/>
      <c r="MC194" s="120"/>
      <c r="MD194" s="120"/>
      <c r="ME194" s="120"/>
      <c r="MF194" s="120"/>
      <c r="MG194" s="120"/>
      <c r="ML194" s="4"/>
      <c r="MM194" s="4"/>
      <c r="MN194" s="4"/>
      <c r="MO194" s="116"/>
      <c r="MP194" s="116"/>
      <c r="MQ194" s="116"/>
      <c r="MR194" s="116"/>
      <c r="MS194" s="116"/>
      <c r="MT194" s="116"/>
      <c r="MU194" s="116"/>
      <c r="MV194" s="116"/>
      <c r="MW194" s="116"/>
      <c r="MX194" s="4"/>
      <c r="MY194" s="4"/>
      <c r="MZ194" s="4"/>
      <c r="NA194" s="4"/>
      <c r="NB194" s="4"/>
      <c r="NC194" s="4"/>
      <c r="ND194" s="4"/>
      <c r="NE194" s="4"/>
      <c r="NF194" s="4"/>
    </row>
    <row r="195" spans="325:370">
      <c r="LM195" s="120"/>
      <c r="LN195" s="117"/>
      <c r="LO195" s="121"/>
      <c r="LP195" s="119"/>
      <c r="LQ195" s="119"/>
      <c r="LR195" s="119"/>
      <c r="LS195" s="119"/>
      <c r="LT195" s="119"/>
      <c r="LU195" s="119"/>
      <c r="LV195" s="119"/>
      <c r="LW195" s="119"/>
      <c r="LX195" s="119"/>
      <c r="LY195" s="120"/>
      <c r="LZ195" s="120"/>
      <c r="MA195" s="120"/>
      <c r="MB195" s="120"/>
      <c r="MC195" s="120"/>
      <c r="MD195" s="120"/>
      <c r="ME195" s="120"/>
      <c r="MF195" s="120"/>
      <c r="MG195" s="120"/>
      <c r="ML195" s="1"/>
      <c r="MM195" s="89"/>
      <c r="MN195" s="77"/>
      <c r="MO195" s="2"/>
      <c r="MP195" s="2"/>
      <c r="MQ195" s="2"/>
      <c r="MR195" s="2"/>
      <c r="MS195" s="2"/>
      <c r="MT195" s="2"/>
      <c r="MU195" s="2"/>
      <c r="MV195" s="2"/>
      <c r="MW195" s="2"/>
      <c r="MX195" s="1"/>
      <c r="MY195" s="1"/>
      <c r="MZ195" s="1"/>
      <c r="NA195" s="1"/>
      <c r="NB195" s="1"/>
      <c r="NC195" s="1"/>
      <c r="ND195" s="1"/>
      <c r="NE195" s="1"/>
      <c r="NF195" s="1"/>
    </row>
    <row r="196" spans="325:370">
      <c r="LM196" s="4"/>
      <c r="LN196" s="4"/>
      <c r="LO196" s="4"/>
      <c r="LP196" s="116"/>
      <c r="LQ196" s="116"/>
      <c r="LR196" s="116"/>
      <c r="LS196" s="116"/>
      <c r="LT196" s="116"/>
      <c r="LU196" s="116"/>
      <c r="LV196" s="116"/>
      <c r="LW196" s="116"/>
      <c r="LX196" s="116"/>
      <c r="LY196" s="4"/>
      <c r="LZ196" s="4"/>
      <c r="MA196" s="4"/>
      <c r="MB196" s="4"/>
      <c r="MC196" s="4"/>
      <c r="MD196" s="4"/>
      <c r="ME196" s="4"/>
      <c r="MF196" s="4"/>
      <c r="MG196" s="4"/>
      <c r="ML196" s="120"/>
      <c r="MM196" s="117"/>
      <c r="MN196" s="118"/>
      <c r="MO196" s="119"/>
      <c r="MP196" s="119"/>
      <c r="MQ196" s="119"/>
      <c r="MR196" s="119"/>
      <c r="MS196" s="119"/>
      <c r="MT196" s="119"/>
      <c r="MU196" s="119"/>
      <c r="MV196" s="119"/>
      <c r="MW196" s="119"/>
      <c r="MX196" s="120"/>
      <c r="MY196" s="120"/>
      <c r="MZ196" s="120"/>
      <c r="NA196" s="120"/>
      <c r="NB196" s="120"/>
      <c r="NC196" s="120"/>
      <c r="ND196" s="120"/>
      <c r="NE196" s="120"/>
      <c r="NF196" s="120"/>
    </row>
    <row r="197" spans="325:370">
      <c r="LM197" s="4"/>
      <c r="LN197" s="4"/>
      <c r="LO197" s="4"/>
      <c r="LP197" s="116"/>
      <c r="LQ197" s="116"/>
      <c r="LR197" s="116"/>
      <c r="LS197" s="116"/>
      <c r="LT197" s="116"/>
      <c r="LU197" s="116"/>
      <c r="LV197" s="116"/>
      <c r="LW197" s="116"/>
      <c r="LX197" s="116"/>
      <c r="LY197" s="4"/>
      <c r="LZ197" s="4"/>
      <c r="MA197" s="4"/>
      <c r="MB197" s="4"/>
      <c r="MC197" s="4"/>
      <c r="MD197" s="4"/>
      <c r="ME197" s="4"/>
      <c r="MF197" s="4"/>
      <c r="MG197" s="4"/>
      <c r="ML197" s="120"/>
      <c r="MM197" s="117"/>
      <c r="MN197" s="121"/>
      <c r="MO197" s="119"/>
      <c r="MP197" s="119"/>
      <c r="MQ197" s="119"/>
      <c r="MR197" s="119"/>
      <c r="MS197" s="119"/>
      <c r="MT197" s="119"/>
      <c r="MU197" s="119"/>
      <c r="MV197" s="119"/>
      <c r="MW197" s="119"/>
      <c r="MX197" s="120"/>
      <c r="MY197" s="120"/>
      <c r="MZ197" s="120"/>
      <c r="NA197" s="120"/>
      <c r="NB197" s="120"/>
      <c r="NC197" s="120"/>
      <c r="ND197" s="120"/>
      <c r="NE197" s="120"/>
      <c r="NF197" s="120"/>
    </row>
    <row r="198" spans="325:370">
      <c r="LM198" s="1"/>
      <c r="LN198" s="89"/>
      <c r="LO198" s="77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L198" s="4"/>
      <c r="MM198" s="4"/>
      <c r="MN198" s="4"/>
      <c r="MO198" s="116"/>
      <c r="MP198" s="116"/>
      <c r="MQ198" s="116"/>
      <c r="MR198" s="116"/>
      <c r="MS198" s="116"/>
      <c r="MT198" s="116"/>
      <c r="MU198" s="116"/>
      <c r="MV198" s="116"/>
      <c r="MW198" s="116"/>
      <c r="MX198" s="4"/>
      <c r="MY198" s="4"/>
      <c r="MZ198" s="4"/>
      <c r="NA198" s="4"/>
      <c r="NB198" s="4"/>
      <c r="NC198" s="4"/>
      <c r="ND198" s="4"/>
      <c r="NE198" s="4"/>
      <c r="NF198" s="4"/>
    </row>
    <row r="199" spans="325:370">
      <c r="LM199" s="1"/>
      <c r="LN199" s="89"/>
      <c r="LO199" s="77"/>
      <c r="LP199" s="2"/>
      <c r="LQ199" s="2"/>
      <c r="LR199" s="2"/>
      <c r="LS199" s="2"/>
      <c r="LT199" s="2"/>
      <c r="LU199" s="2"/>
      <c r="LV199" s="2"/>
      <c r="LW199" s="2"/>
      <c r="LX199" s="2"/>
      <c r="LY199" s="1"/>
      <c r="LZ199" s="1"/>
      <c r="MA199" s="1"/>
      <c r="MB199" s="1"/>
      <c r="MC199" s="1"/>
      <c r="MD199" s="1"/>
      <c r="ME199" s="1"/>
      <c r="MF199" s="1"/>
      <c r="MG199" s="1"/>
      <c r="ML199" s="4"/>
      <c r="MM199" s="4"/>
      <c r="MN199" s="4"/>
      <c r="MO199" s="116"/>
      <c r="MP199" s="116"/>
      <c r="MQ199" s="116"/>
      <c r="MR199" s="116"/>
      <c r="MS199" s="116"/>
      <c r="MT199" s="116"/>
      <c r="MU199" s="116"/>
      <c r="MV199" s="116"/>
      <c r="MW199" s="116"/>
      <c r="MX199" s="4"/>
      <c r="MY199" s="4"/>
      <c r="MZ199" s="4"/>
      <c r="NA199" s="4"/>
      <c r="NB199" s="4"/>
      <c r="NC199" s="4"/>
      <c r="ND199" s="4"/>
      <c r="NE199" s="4"/>
      <c r="NF199" s="4"/>
    </row>
    <row r="200" spans="325:370">
      <c r="LM200" s="1"/>
      <c r="LN200" s="111"/>
      <c r="LO200" s="103"/>
      <c r="LP200" s="2"/>
      <c r="LQ200" s="2"/>
      <c r="LR200" s="2"/>
      <c r="LS200" s="2"/>
      <c r="LT200" s="2"/>
      <c r="LU200" s="2"/>
      <c r="LV200" s="2"/>
      <c r="LW200" s="2"/>
      <c r="LX200" s="2"/>
      <c r="LY200" s="1"/>
      <c r="LZ200" s="1"/>
      <c r="MA200" s="1"/>
      <c r="MB200" s="1"/>
      <c r="MC200" s="1"/>
      <c r="MD200" s="1"/>
      <c r="ME200" s="1"/>
      <c r="MF200" s="1"/>
      <c r="MG200" s="1"/>
      <c r="ML200" s="1"/>
      <c r="MM200" s="89"/>
      <c r="MN200" s="77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</row>
    <row r="201" spans="325:370">
      <c r="LM201" s="1"/>
      <c r="LN201" s="111"/>
      <c r="LO201" s="103"/>
      <c r="LP201" s="2"/>
      <c r="LQ201" s="2"/>
      <c r="LR201" s="2"/>
      <c r="LS201" s="2"/>
      <c r="LT201" s="2"/>
      <c r="LU201" s="2"/>
      <c r="LV201" s="2"/>
      <c r="LW201" s="2"/>
      <c r="LX201" s="2"/>
      <c r="LY201" s="1"/>
      <c r="LZ201" s="1"/>
      <c r="MA201" s="1"/>
      <c r="MB201" s="1"/>
      <c r="MC201" s="1"/>
      <c r="MD201" s="1"/>
      <c r="ME201" s="1"/>
      <c r="MF201" s="1"/>
      <c r="MG201" s="1"/>
      <c r="ML201" s="1"/>
      <c r="MM201" s="89"/>
      <c r="MN201" s="77"/>
      <c r="MO201" s="2"/>
      <c r="MP201" s="2"/>
      <c r="MQ201" s="2"/>
      <c r="MR201" s="2"/>
      <c r="MS201" s="2"/>
      <c r="MT201" s="2"/>
      <c r="MU201" s="2"/>
      <c r="MV201" s="2"/>
      <c r="MW201" s="2"/>
      <c r="MX201" s="1"/>
      <c r="MY201" s="1"/>
      <c r="MZ201" s="1"/>
      <c r="NA201" s="1"/>
      <c r="NB201" s="1"/>
      <c r="NC201" s="1"/>
      <c r="ND201" s="1"/>
      <c r="NE201" s="1"/>
      <c r="NF201" s="1"/>
    </row>
    <row r="202" spans="325:370">
      <c r="LM202" s="10"/>
      <c r="LN202" s="115"/>
      <c r="LO202" s="122"/>
      <c r="LP202" s="114"/>
      <c r="LQ202" s="114"/>
      <c r="LR202" s="114"/>
      <c r="LS202" s="114"/>
      <c r="LT202" s="114"/>
      <c r="LU202" s="114"/>
      <c r="LV202" s="114"/>
      <c r="LW202" s="114"/>
      <c r="LX202" s="114"/>
      <c r="LY202" s="10"/>
      <c r="LZ202" s="10"/>
      <c r="MA202" s="10"/>
      <c r="MB202" s="10"/>
      <c r="MC202" s="10"/>
      <c r="MD202" s="10"/>
      <c r="ME202" s="10"/>
      <c r="MF202" s="10"/>
      <c r="MG202" s="10"/>
      <c r="ML202" s="1"/>
      <c r="MM202" s="111"/>
      <c r="MN202" s="103"/>
      <c r="MO202" s="2"/>
      <c r="MP202" s="2"/>
      <c r="MQ202" s="2"/>
      <c r="MR202" s="2"/>
      <c r="MS202" s="2"/>
      <c r="MT202" s="2"/>
      <c r="MU202" s="2"/>
      <c r="MV202" s="2"/>
      <c r="MW202" s="2"/>
      <c r="MX202" s="1"/>
      <c r="MY202" s="1"/>
      <c r="MZ202" s="1"/>
      <c r="NA202" s="1"/>
      <c r="NB202" s="1"/>
      <c r="NC202" s="1"/>
      <c r="ND202" s="1"/>
      <c r="NE202" s="1"/>
      <c r="NF202" s="1"/>
    </row>
    <row r="203" spans="325:370">
      <c r="LM203" s="10"/>
      <c r="LN203" s="115"/>
      <c r="LO203" s="10"/>
      <c r="LP203" s="114"/>
      <c r="LQ203" s="114"/>
      <c r="LR203" s="114"/>
      <c r="LS203" s="114"/>
      <c r="LT203" s="114"/>
      <c r="LU203" s="114"/>
      <c r="LV203" s="114"/>
      <c r="LW203" s="114"/>
      <c r="LX203" s="114"/>
      <c r="LY203" s="10"/>
      <c r="LZ203" s="10"/>
      <c r="MA203" s="10"/>
      <c r="MB203" s="10"/>
      <c r="MC203" s="10"/>
      <c r="MD203" s="10"/>
      <c r="ME203" s="10"/>
      <c r="MF203" s="10"/>
      <c r="MG203" s="10"/>
      <c r="ML203" s="1"/>
      <c r="MM203" s="111"/>
      <c r="MN203" s="103"/>
      <c r="MO203" s="2"/>
      <c r="MP203" s="2"/>
      <c r="MQ203" s="2"/>
      <c r="MR203" s="2"/>
      <c r="MS203" s="2"/>
      <c r="MT203" s="2"/>
      <c r="MU203" s="2"/>
      <c r="MV203" s="2"/>
      <c r="MW203" s="2"/>
      <c r="MX203" s="1"/>
      <c r="MY203" s="1"/>
      <c r="MZ203" s="1"/>
      <c r="NA203" s="1"/>
      <c r="NB203" s="1"/>
      <c r="NC203" s="1"/>
      <c r="ND203" s="1"/>
      <c r="NE203" s="1"/>
      <c r="NF203" s="1"/>
    </row>
    <row r="204" spans="325:370">
      <c r="LM204" s="10"/>
      <c r="LN204" s="115"/>
      <c r="LO204" s="10"/>
      <c r="LP204" s="114"/>
      <c r="LQ204" s="114"/>
      <c r="LR204" s="114"/>
      <c r="LS204" s="114"/>
      <c r="LT204" s="114"/>
      <c r="LU204" s="114"/>
      <c r="LV204" s="114"/>
      <c r="LW204" s="114"/>
      <c r="LX204" s="114"/>
      <c r="LY204" s="10"/>
      <c r="LZ204" s="10"/>
      <c r="MA204" s="10"/>
      <c r="MB204" s="10"/>
      <c r="MC204" s="10"/>
      <c r="MD204" s="10"/>
      <c r="ME204" s="10"/>
      <c r="MF204" s="10"/>
      <c r="MG204" s="10"/>
      <c r="ML204" s="10"/>
      <c r="MM204" s="115"/>
      <c r="MN204" s="122"/>
      <c r="MO204" s="114"/>
      <c r="MP204" s="114"/>
      <c r="MQ204" s="114"/>
      <c r="MR204" s="114"/>
      <c r="MS204" s="114"/>
      <c r="MT204" s="114"/>
      <c r="MU204" s="114"/>
      <c r="MV204" s="114"/>
      <c r="MW204" s="114"/>
      <c r="MX204" s="10"/>
      <c r="MY204" s="10"/>
      <c r="MZ204" s="10"/>
      <c r="NA204" s="10"/>
      <c r="NB204" s="10"/>
      <c r="NC204" s="10"/>
      <c r="ND204" s="10"/>
      <c r="NE204" s="10"/>
      <c r="NF204" s="10"/>
    </row>
    <row r="205" spans="325:370"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L205" s="10"/>
      <c r="MM205" s="115"/>
      <c r="MN205" s="10"/>
      <c r="MO205" s="114"/>
      <c r="MP205" s="114"/>
      <c r="MQ205" s="114"/>
      <c r="MR205" s="114"/>
      <c r="MS205" s="114"/>
      <c r="MT205" s="114"/>
      <c r="MU205" s="114"/>
      <c r="MV205" s="114"/>
      <c r="MW205" s="114"/>
      <c r="MX205" s="10"/>
      <c r="MY205" s="10"/>
      <c r="MZ205" s="10"/>
      <c r="NA205" s="10"/>
      <c r="NB205" s="10"/>
      <c r="NC205" s="10"/>
      <c r="ND205" s="10"/>
      <c r="NE205" s="10"/>
      <c r="NF205" s="10"/>
    </row>
    <row r="206" spans="325:370"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L206" s="10"/>
      <c r="MM206" s="115"/>
      <c r="MN206" s="10"/>
      <c r="MO206" s="114"/>
      <c r="MP206" s="114"/>
      <c r="MQ206" s="114"/>
      <c r="MR206" s="114"/>
      <c r="MS206" s="114"/>
      <c r="MT206" s="114"/>
      <c r="MU206" s="114"/>
      <c r="MV206" s="114"/>
      <c r="MW206" s="114"/>
      <c r="MX206" s="10"/>
      <c r="MY206" s="10"/>
      <c r="MZ206" s="10"/>
      <c r="NA206" s="10"/>
      <c r="NB206" s="10"/>
      <c r="NC206" s="10"/>
      <c r="ND206" s="10"/>
      <c r="NE206" s="10"/>
      <c r="NF206" s="10"/>
    </row>
    <row r="207" spans="325:370"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</row>
    <row r="208" spans="325:370"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</row>
    <row r="209" spans="325:370"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</row>
    <row r="210" spans="325:370"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</row>
    <row r="211" spans="325:370"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</row>
    <row r="212" spans="325:370"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</row>
    <row r="213" spans="325:370"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</row>
    <row r="214" spans="325:370"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</row>
    <row r="215" spans="325:370"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</row>
    <row r="216" spans="325:370"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</row>
    <row r="217" spans="325:370"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</row>
    <row r="218" spans="325:370"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</row>
    <row r="219" spans="325:370"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</row>
    <row r="220" spans="325:370"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</row>
    <row r="221" spans="325:370"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</row>
    <row r="222" spans="325:370"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</row>
    <row r="223" spans="325:370"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</row>
    <row r="224" spans="325:370"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</row>
    <row r="225" spans="325:370"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</row>
    <row r="226" spans="325:370"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</row>
    <row r="227" spans="325:370"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</row>
    <row r="228" spans="325:370"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</row>
    <row r="229" spans="325:370"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</row>
    <row r="230" spans="325:370"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</row>
    <row r="231" spans="325:370"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</row>
    <row r="232" spans="325:370"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</row>
    <row r="233" spans="325:370"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</row>
    <row r="234" spans="325:370"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</row>
    <row r="235" spans="325:370"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</row>
    <row r="236" spans="325:370"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</row>
    <row r="237" spans="325:370"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</row>
    <row r="238" spans="325:370"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</row>
    <row r="239" spans="325:370"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</row>
    <row r="240" spans="325:370"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</row>
    <row r="241" spans="325:370"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</row>
    <row r="242" spans="325:370"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</row>
    <row r="243" spans="325:370"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</row>
    <row r="244" spans="325:370"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</row>
    <row r="245" spans="325:370"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</row>
    <row r="246" spans="325:370"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</row>
    <row r="247" spans="325:370"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</row>
    <row r="248" spans="325:370"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</row>
    <row r="249" spans="325:370"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</row>
    <row r="250" spans="325:370"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</row>
    <row r="251" spans="325:370"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</row>
    <row r="252" spans="325:370"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</row>
    <row r="253" spans="325:370"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</row>
    <row r="254" spans="325:370"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</row>
    <row r="255" spans="325:370"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</row>
    <row r="256" spans="325:370"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</row>
    <row r="257" spans="325:370"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</row>
    <row r="258" spans="325:370"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</row>
    <row r="259" spans="325:370"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</row>
    <row r="260" spans="325:370"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</row>
    <row r="261" spans="325:370"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</row>
    <row r="262" spans="325:370"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</row>
    <row r="263" spans="325:370"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</row>
    <row r="264" spans="325:370"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</row>
    <row r="265" spans="325:370"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</row>
    <row r="266" spans="325:370"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</row>
    <row r="267" spans="325:370"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</row>
    <row r="268" spans="325:370"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</row>
    <row r="1039821" spans="16322:16340">
      <c r="XCT1039821" s="188"/>
      <c r="XCU1039821" s="188"/>
      <c r="XCV1039821" s="188"/>
      <c r="XCW1039821" s="189"/>
      <c r="XCX1039821" s="189"/>
      <c r="XCY1039821" s="189"/>
      <c r="XCZ1039821" s="189"/>
      <c r="XDA1039821" s="189"/>
      <c r="XDB1039821" s="189"/>
      <c r="XDC1039821" s="189"/>
      <c r="XDD1039821" s="189"/>
      <c r="XDE1039821" s="189"/>
      <c r="XDF1039821" s="189"/>
      <c r="XDG1039821" s="189"/>
      <c r="XDH1039821" s="189"/>
      <c r="XDI1039821" s="189"/>
      <c r="XDJ1039821" s="189"/>
      <c r="XDK1039821" s="189"/>
      <c r="XDL1039821" s="189"/>
    </row>
    <row r="1039822" spans="16322:16340">
      <c r="XCT1039822" s="188"/>
      <c r="XCU1039822" s="188"/>
      <c r="XCV1039822" s="188"/>
      <c r="XCW1039822" s="167"/>
      <c r="XCX1039822" s="167"/>
      <c r="XCY1039822" s="167"/>
      <c r="XCZ1039822" s="167"/>
      <c r="XDA1039822" s="167"/>
      <c r="XDB1039822" s="167"/>
      <c r="XDC1039822" s="167"/>
      <c r="XDD1039822" s="167"/>
      <c r="XDE1039822" s="167"/>
      <c r="XDF1039822" s="167"/>
      <c r="XDG1039822" s="167"/>
      <c r="XDH1039822" s="167"/>
      <c r="XDI1039822" s="167"/>
      <c r="XDJ1039822" s="167"/>
      <c r="XDK1039822" s="167"/>
      <c r="XDL1039822" s="167"/>
    </row>
    <row r="1039823" spans="16322:16340">
      <c r="XCT1039823" s="193"/>
      <c r="XCU1039823" s="193"/>
      <c r="XCV1039823" s="193"/>
      <c r="XCW1039823" s="168"/>
      <c r="XCX1039823" s="168"/>
      <c r="XCY1039823" s="168"/>
      <c r="XCZ1039823" s="168"/>
      <c r="XDA1039823" s="168"/>
      <c r="XDB1039823" s="168"/>
      <c r="XDC1039823" s="168"/>
      <c r="XDD1039823" s="168"/>
      <c r="XDE1039823" s="168"/>
      <c r="XDF1039823" s="168"/>
      <c r="XDG1039823" s="168"/>
      <c r="XDH1039823" s="168"/>
      <c r="XDI1039823" s="168"/>
      <c r="XDJ1039823" s="168"/>
      <c r="XDK1039823" s="168"/>
      <c r="XDL1039823" s="168"/>
    </row>
    <row r="1039824" spans="16322:16340">
      <c r="XCT1039824" s="194"/>
      <c r="XCU1039824" s="194"/>
      <c r="XCV1039824" s="194"/>
      <c r="XCW1039824" s="168"/>
      <c r="XCX1039824" s="168"/>
      <c r="XCY1039824" s="168"/>
      <c r="XCZ1039824" s="168"/>
      <c r="XDA1039824" s="168"/>
      <c r="XDB1039824" s="168"/>
      <c r="XDC1039824" s="168"/>
      <c r="XDD1039824" s="168"/>
      <c r="XDE1039824" s="168"/>
      <c r="XDF1039824" s="168"/>
      <c r="XDG1039824" s="168"/>
      <c r="XDH1039824" s="168"/>
      <c r="XDI1039824" s="168"/>
      <c r="XDJ1039824" s="168"/>
      <c r="XDK1039824" s="168"/>
      <c r="XDL1039824" s="168"/>
    </row>
    <row r="1039825" spans="16322:16340">
      <c r="XCT1039825" s="192"/>
      <c r="XCU1039825" s="192"/>
      <c r="XCV1039825" s="192"/>
      <c r="XCW1039825" s="169"/>
      <c r="XCX1039825" s="169"/>
      <c r="XCY1039825" s="169"/>
      <c r="XCZ1039825" s="169"/>
      <c r="XDA1039825" s="169"/>
      <c r="XDB1039825" s="169"/>
      <c r="XDC1039825" s="169"/>
      <c r="XDD1039825" s="169"/>
      <c r="XDE1039825" s="169"/>
      <c r="XDF1039825" s="169"/>
      <c r="XDG1039825" s="169"/>
      <c r="XDH1039825" s="169"/>
      <c r="XDI1039825" s="169"/>
      <c r="XDJ1039825" s="169"/>
      <c r="XDK1039825" s="169"/>
      <c r="XDL1039825" s="169"/>
    </row>
    <row r="1039826" spans="16322:16340">
      <c r="XCT1039826" s="191"/>
      <c r="XCU1039826" s="191"/>
      <c r="XCV1039826" s="191"/>
      <c r="XCW1039826" s="170"/>
      <c r="XCX1039826" s="170"/>
      <c r="XCY1039826" s="170"/>
      <c r="XCZ1039826" s="170"/>
      <c r="XDA1039826" s="170"/>
      <c r="XDB1039826" s="170"/>
      <c r="XDC1039826" s="170"/>
      <c r="XDD1039826" s="170"/>
      <c r="XDE1039826" s="170"/>
      <c r="XDF1039826" s="170"/>
      <c r="XDG1039826" s="170"/>
      <c r="XDH1039826" s="170"/>
      <c r="XDI1039826" s="170"/>
      <c r="XDJ1039826" s="170"/>
      <c r="XDK1039826" s="170"/>
      <c r="XDL1039826" s="170"/>
    </row>
    <row r="1039827" spans="16322:16340">
      <c r="XCT1039827" s="191"/>
      <c r="XCU1039827" s="191"/>
      <c r="XCV1039827" s="191"/>
      <c r="XCW1039827" s="170"/>
      <c r="XCX1039827" s="170"/>
      <c r="XCY1039827" s="170"/>
      <c r="XCZ1039827" s="170"/>
      <c r="XDA1039827" s="170"/>
      <c r="XDB1039827" s="170"/>
      <c r="XDC1039827" s="170"/>
      <c r="XDD1039827" s="170"/>
      <c r="XDE1039827" s="170"/>
      <c r="XDF1039827" s="170"/>
      <c r="XDG1039827" s="170"/>
      <c r="XDH1039827" s="170"/>
      <c r="XDI1039827" s="170"/>
      <c r="XDJ1039827" s="170"/>
      <c r="XDK1039827" s="170"/>
      <c r="XDL1039827" s="170"/>
    </row>
    <row r="1039828" spans="16322:16340">
      <c r="XCT1039828" s="191"/>
      <c r="XCU1039828" s="191"/>
      <c r="XCV1039828" s="191"/>
      <c r="XCW1039828" s="170"/>
      <c r="XCX1039828" s="170"/>
      <c r="XCY1039828" s="170"/>
      <c r="XCZ1039828" s="170"/>
      <c r="XDA1039828" s="170"/>
      <c r="XDB1039828" s="170"/>
      <c r="XDC1039828" s="170"/>
      <c r="XDD1039828" s="170"/>
      <c r="XDE1039828" s="170"/>
      <c r="XDF1039828" s="170"/>
      <c r="XDG1039828" s="170"/>
      <c r="XDH1039828" s="170"/>
      <c r="XDI1039828" s="170"/>
      <c r="XDJ1039828" s="170"/>
      <c r="XDK1039828" s="170"/>
      <c r="XDL1039828" s="170"/>
    </row>
    <row r="1039829" spans="16322:16340">
      <c r="XCT1039829" s="191"/>
      <c r="XCU1039829" s="191"/>
      <c r="XCV1039829" s="191"/>
      <c r="XCW1039829" s="170"/>
      <c r="XCX1039829" s="170"/>
      <c r="XCY1039829" s="170"/>
      <c r="XCZ1039829" s="170"/>
      <c r="XDA1039829" s="170"/>
      <c r="XDB1039829" s="170"/>
      <c r="XDC1039829" s="170"/>
      <c r="XDD1039829" s="170"/>
      <c r="XDE1039829" s="170"/>
      <c r="XDF1039829" s="170"/>
      <c r="XDG1039829" s="170"/>
      <c r="XDH1039829" s="170"/>
      <c r="XDI1039829" s="170"/>
      <c r="XDJ1039829" s="170"/>
      <c r="XDK1039829" s="170"/>
      <c r="XDL1039829" s="170"/>
    </row>
    <row r="1039830" spans="16322:16340">
      <c r="XCT1039830" s="191"/>
      <c r="XCU1039830" s="191"/>
      <c r="XCV1039830" s="191"/>
      <c r="XCW1039830" s="171"/>
      <c r="XCX1039830" s="171"/>
      <c r="XCY1039830" s="171"/>
      <c r="XCZ1039830" s="172"/>
      <c r="XDA1039830" s="172"/>
      <c r="XDB1039830" s="171"/>
      <c r="XDC1039830" s="171"/>
      <c r="XDD1039830" s="171"/>
      <c r="XDE1039830" s="171"/>
      <c r="XDF1039830" s="171"/>
      <c r="XDG1039830" s="171"/>
      <c r="XDH1039830" s="171"/>
      <c r="XDI1039830" s="171"/>
      <c r="XDJ1039830" s="171"/>
      <c r="XDK1039830" s="171"/>
      <c r="XDL1039830" s="171"/>
    </row>
    <row r="1039831" spans="16322:16340">
      <c r="XCT1039831" s="192"/>
      <c r="XCU1039831" s="192"/>
      <c r="XCV1039831" s="192"/>
      <c r="XCW1039831" s="169"/>
      <c r="XCX1039831" s="169"/>
      <c r="XCY1039831" s="169"/>
      <c r="XCZ1039831" s="169"/>
      <c r="XDA1039831" s="169"/>
      <c r="XDB1039831" s="169"/>
      <c r="XDC1039831" s="169"/>
      <c r="XDD1039831" s="169"/>
      <c r="XDE1039831" s="169"/>
      <c r="XDF1039831" s="169"/>
      <c r="XDG1039831" s="169"/>
      <c r="XDH1039831" s="169"/>
      <c r="XDI1039831" s="169"/>
      <c r="XDJ1039831" s="169"/>
      <c r="XDK1039831" s="169"/>
      <c r="XDL1039831" s="169"/>
    </row>
    <row r="1039832" spans="16322:16340">
      <c r="XCT1039832" s="191"/>
      <c r="XCU1039832" s="191"/>
      <c r="XCV1039832" s="191"/>
      <c r="XCW1039832" s="170"/>
      <c r="XCX1039832" s="170"/>
      <c r="XCY1039832" s="170"/>
      <c r="XCZ1039832" s="170"/>
      <c r="XDA1039832" s="170"/>
      <c r="XDB1039832" s="171"/>
      <c r="XDC1039832" s="170"/>
      <c r="XDD1039832" s="171"/>
      <c r="XDE1039832" s="170"/>
      <c r="XDF1039832" s="170"/>
      <c r="XDG1039832" s="170"/>
      <c r="XDH1039832" s="170"/>
      <c r="XDI1039832" s="170"/>
      <c r="XDJ1039832" s="170"/>
      <c r="XDK1039832" s="170"/>
      <c r="XDL1039832" s="170"/>
    </row>
    <row r="1039833" spans="16322:16340">
      <c r="XCT1039833" s="191"/>
      <c r="XCU1039833" s="191"/>
      <c r="XCV1039833" s="191"/>
      <c r="XCW1039833" s="170"/>
      <c r="XCX1039833" s="170"/>
      <c r="XCY1039833" s="170"/>
      <c r="XCZ1039833" s="170"/>
      <c r="XDA1039833" s="170"/>
      <c r="XDB1039833" s="170"/>
      <c r="XDC1039833" s="170"/>
      <c r="XDD1039833" s="170"/>
      <c r="XDE1039833" s="170"/>
      <c r="XDF1039833" s="170"/>
      <c r="XDG1039833" s="170"/>
      <c r="XDH1039833" s="170"/>
      <c r="XDI1039833" s="170"/>
      <c r="XDJ1039833" s="170"/>
      <c r="XDK1039833" s="170"/>
      <c r="XDL1039833" s="170"/>
    </row>
    <row r="1039834" spans="16322:16340">
      <c r="XCT1039834" s="191"/>
      <c r="XCU1039834" s="191"/>
      <c r="XCV1039834" s="191"/>
      <c r="XCW1039834" s="170"/>
      <c r="XCX1039834" s="170"/>
      <c r="XCY1039834" s="170"/>
      <c r="XCZ1039834" s="170"/>
      <c r="XDA1039834" s="170"/>
      <c r="XDB1039834" s="170"/>
      <c r="XDC1039834" s="170"/>
      <c r="XDD1039834" s="170"/>
      <c r="XDE1039834" s="170"/>
      <c r="XDF1039834" s="170"/>
      <c r="XDG1039834" s="170"/>
      <c r="XDH1039834" s="170"/>
      <c r="XDI1039834" s="170"/>
      <c r="XDJ1039834" s="170"/>
      <c r="XDK1039834" s="170"/>
      <c r="XDL1039834" s="170"/>
    </row>
    <row r="1039835" spans="16322:16340">
      <c r="XCT1039835" s="191"/>
      <c r="XCU1039835" s="191"/>
      <c r="XCV1039835" s="191"/>
      <c r="XCW1039835" s="170"/>
      <c r="XCX1039835" s="170"/>
      <c r="XCY1039835" s="170"/>
      <c r="XCZ1039835" s="170"/>
      <c r="XDA1039835" s="170"/>
      <c r="XDB1039835" s="170"/>
      <c r="XDC1039835" s="170"/>
      <c r="XDD1039835" s="170"/>
      <c r="XDE1039835" s="170"/>
      <c r="XDF1039835" s="170"/>
      <c r="XDG1039835" s="170"/>
      <c r="XDH1039835" s="170"/>
      <c r="XDI1039835" s="170"/>
      <c r="XDJ1039835" s="170"/>
      <c r="XDK1039835" s="170"/>
      <c r="XDL1039835" s="170"/>
    </row>
    <row r="1039836" spans="16322:16340">
      <c r="XCT1039836" s="191"/>
      <c r="XCU1039836" s="191"/>
      <c r="XCV1039836" s="191"/>
      <c r="XCW1039836" s="170"/>
      <c r="XCX1039836" s="171"/>
      <c r="XCY1039836" s="171"/>
      <c r="XCZ1039836" s="172"/>
      <c r="XDA1039836" s="170"/>
      <c r="XDB1039836" s="170"/>
      <c r="XDC1039836" s="171"/>
      <c r="XDD1039836" s="170"/>
      <c r="XDE1039836" s="170"/>
      <c r="XDF1039836" s="170"/>
      <c r="XDG1039836" s="171"/>
      <c r="XDH1039836" s="170"/>
      <c r="XDI1039836" s="170"/>
      <c r="XDJ1039836" s="170"/>
      <c r="XDK1039836" s="171"/>
      <c r="XDL1039836" s="170"/>
    </row>
    <row r="1039837" spans="16322:16340">
      <c r="XCT1039837" s="192"/>
      <c r="XCU1039837" s="192"/>
      <c r="XCV1039837" s="192"/>
      <c r="XCW1039837" s="169"/>
      <c r="XCX1039837" s="169"/>
      <c r="XCY1039837" s="169"/>
      <c r="XCZ1039837" s="169"/>
      <c r="XDA1039837" s="169"/>
      <c r="XDB1039837" s="169"/>
      <c r="XDC1039837" s="169"/>
      <c r="XDD1039837" s="169"/>
      <c r="XDE1039837" s="169"/>
      <c r="XDF1039837" s="169"/>
      <c r="XDG1039837" s="169"/>
      <c r="XDH1039837" s="169"/>
      <c r="XDI1039837" s="169"/>
      <c r="XDJ1039837" s="169"/>
      <c r="XDK1039837" s="169"/>
      <c r="XDL1039837" s="169"/>
    </row>
    <row r="1039838" spans="16322:16340">
      <c r="XCT1039838" s="191"/>
      <c r="XCU1039838" s="191"/>
      <c r="XCV1039838" s="191"/>
      <c r="XCW1039838" s="170"/>
      <c r="XCX1039838" s="170"/>
      <c r="XCY1039838" s="170"/>
      <c r="XCZ1039838" s="170"/>
      <c r="XDA1039838" s="170"/>
      <c r="XDB1039838" s="170"/>
      <c r="XDC1039838" s="170"/>
      <c r="XDD1039838" s="170"/>
      <c r="XDE1039838" s="170"/>
      <c r="XDF1039838" s="170"/>
      <c r="XDG1039838" s="170"/>
      <c r="XDH1039838" s="170"/>
      <c r="XDI1039838" s="170"/>
      <c r="XDJ1039838" s="170"/>
      <c r="XDK1039838" s="170"/>
      <c r="XDL1039838" s="170"/>
    </row>
    <row r="1039839" spans="16322:16340">
      <c r="XCT1039839" s="191"/>
      <c r="XCU1039839" s="191"/>
      <c r="XCV1039839" s="191"/>
      <c r="XCW1039839" s="170"/>
      <c r="XCX1039839" s="170"/>
      <c r="XCY1039839" s="170"/>
      <c r="XCZ1039839" s="170"/>
      <c r="XDA1039839" s="170"/>
      <c r="XDB1039839" s="170"/>
      <c r="XDC1039839" s="170"/>
      <c r="XDD1039839" s="170"/>
      <c r="XDE1039839" s="170"/>
      <c r="XDF1039839" s="170"/>
      <c r="XDG1039839" s="170"/>
      <c r="XDH1039839" s="170"/>
      <c r="XDI1039839" s="170"/>
      <c r="XDJ1039839" s="170"/>
      <c r="XDK1039839" s="170"/>
      <c r="XDL1039839" s="170"/>
    </row>
    <row r="1039840" spans="16322:16340">
      <c r="XCT1039840" s="191"/>
      <c r="XCU1039840" s="191"/>
      <c r="XCV1039840" s="191"/>
      <c r="XCW1039840" s="170"/>
      <c r="XCX1039840" s="170"/>
      <c r="XCY1039840" s="170"/>
      <c r="XCZ1039840" s="170"/>
      <c r="XDA1039840" s="170"/>
      <c r="XDB1039840" s="170"/>
      <c r="XDC1039840" s="170"/>
      <c r="XDD1039840" s="170"/>
      <c r="XDE1039840" s="170"/>
      <c r="XDF1039840" s="170"/>
      <c r="XDG1039840" s="170"/>
      <c r="XDH1039840" s="170"/>
      <c r="XDI1039840" s="170"/>
      <c r="XDJ1039840" s="170"/>
      <c r="XDK1039840" s="170"/>
      <c r="XDL1039840" s="170"/>
    </row>
    <row r="1039841" spans="16322:16340">
      <c r="XCT1039841" s="192"/>
      <c r="XCU1039841" s="192"/>
      <c r="XCV1039841" s="192"/>
      <c r="XCW1039841" s="169"/>
      <c r="XCX1039841" s="169"/>
      <c r="XCY1039841" s="169"/>
      <c r="XCZ1039841" s="169"/>
      <c r="XDA1039841" s="169"/>
      <c r="XDB1039841" s="169"/>
      <c r="XDC1039841" s="169"/>
      <c r="XDD1039841" s="169"/>
      <c r="XDE1039841" s="169"/>
      <c r="XDF1039841" s="169"/>
      <c r="XDG1039841" s="169"/>
      <c r="XDH1039841" s="169"/>
      <c r="XDI1039841" s="169"/>
      <c r="XDJ1039841" s="169"/>
      <c r="XDK1039841" s="169"/>
      <c r="XDL1039841" s="169"/>
    </row>
    <row r="1039842" spans="16322:16340">
      <c r="XCT1039842" s="191"/>
      <c r="XCU1039842" s="191"/>
      <c r="XCV1039842" s="191"/>
      <c r="XCW1039842" s="171"/>
      <c r="XCX1039842" s="171"/>
      <c r="XCY1039842" s="171"/>
      <c r="XCZ1039842" s="172"/>
      <c r="XDA1039842" s="172"/>
      <c r="XDB1039842" s="171"/>
      <c r="XDC1039842" s="171"/>
      <c r="XDD1039842" s="171"/>
      <c r="XDE1039842" s="170"/>
      <c r="XDF1039842" s="171"/>
      <c r="XDG1039842" s="171"/>
      <c r="XDH1039842" s="171"/>
      <c r="XDI1039842" s="170"/>
      <c r="XDJ1039842" s="170"/>
      <c r="XDK1039842" s="171"/>
      <c r="XDL1039842" s="170"/>
    </row>
    <row r="1039843" spans="16322:16340">
      <c r="XCT1039843" s="191"/>
      <c r="XCU1039843" s="191"/>
      <c r="XCV1039843" s="191"/>
      <c r="XCW1039843" s="170"/>
      <c r="XCX1039843" s="170"/>
      <c r="XCY1039843" s="170"/>
      <c r="XCZ1039843" s="170"/>
      <c r="XDA1039843" s="170"/>
      <c r="XDB1039843" s="170"/>
      <c r="XDC1039843" s="170"/>
      <c r="XDD1039843" s="170"/>
      <c r="XDE1039843" s="170"/>
      <c r="XDF1039843" s="170"/>
      <c r="XDG1039843" s="170"/>
      <c r="XDH1039843" s="170"/>
      <c r="XDI1039843" s="170"/>
      <c r="XDJ1039843" s="170"/>
      <c r="XDK1039843" s="170"/>
      <c r="XDL1039843" s="170"/>
    </row>
    <row r="1039844" spans="16322:16340">
      <c r="XCT1039844" s="191"/>
      <c r="XCU1039844" s="191"/>
      <c r="XCV1039844" s="191"/>
      <c r="XCW1039844" s="170"/>
      <c r="XCX1039844" s="170"/>
      <c r="XCY1039844" s="170"/>
      <c r="XCZ1039844" s="170"/>
      <c r="XDA1039844" s="170"/>
      <c r="XDB1039844" s="170"/>
      <c r="XDC1039844" s="170"/>
      <c r="XDD1039844" s="170"/>
      <c r="XDE1039844" s="170"/>
      <c r="XDF1039844" s="170"/>
      <c r="XDG1039844" s="170"/>
      <c r="XDH1039844" s="170"/>
      <c r="XDI1039844" s="170"/>
      <c r="XDJ1039844" s="170"/>
      <c r="XDK1039844" s="170"/>
      <c r="XDL1039844" s="170"/>
    </row>
    <row r="1039845" spans="16322:16340">
      <c r="XCT1039845" s="191"/>
      <c r="XCU1039845" s="191"/>
      <c r="XCV1039845" s="191"/>
      <c r="XCW1039845" s="170"/>
      <c r="XCX1039845" s="170"/>
      <c r="XCY1039845" s="170"/>
      <c r="XCZ1039845" s="170"/>
      <c r="XDA1039845" s="170"/>
      <c r="XDB1039845" s="170"/>
      <c r="XDC1039845" s="170"/>
      <c r="XDD1039845" s="170"/>
      <c r="XDE1039845" s="170"/>
      <c r="XDF1039845" s="170"/>
      <c r="XDG1039845" s="170"/>
      <c r="XDH1039845" s="170"/>
      <c r="XDI1039845" s="170"/>
      <c r="XDJ1039845" s="170"/>
      <c r="XDK1039845" s="170"/>
      <c r="XDL1039845" s="170"/>
    </row>
    <row r="1039846" spans="16322:16340">
      <c r="XCT1039846" s="191"/>
      <c r="XCU1039846" s="191"/>
      <c r="XCV1039846" s="191"/>
      <c r="XCW1039846" s="170"/>
      <c r="XCX1039846" s="170"/>
      <c r="XCY1039846" s="170"/>
      <c r="XCZ1039846" s="170"/>
      <c r="XDA1039846" s="170"/>
      <c r="XDB1039846" s="170"/>
      <c r="XDC1039846" s="170"/>
      <c r="XDD1039846" s="170"/>
      <c r="XDE1039846" s="170"/>
      <c r="XDF1039846" s="170"/>
      <c r="XDG1039846" s="170"/>
      <c r="XDH1039846" s="170"/>
      <c r="XDI1039846" s="170"/>
      <c r="XDJ1039846" s="170"/>
      <c r="XDK1039846" s="170"/>
      <c r="XDL1039846" s="170"/>
    </row>
    <row r="1039847" spans="16322:16340">
      <c r="XCT1039847" s="192"/>
      <c r="XCU1039847" s="192"/>
      <c r="XCV1039847" s="192"/>
      <c r="XCW1039847" s="169"/>
      <c r="XCX1039847" s="169"/>
      <c r="XCY1039847" s="169"/>
      <c r="XCZ1039847" s="169"/>
      <c r="XDA1039847" s="169"/>
      <c r="XDB1039847" s="169"/>
      <c r="XDC1039847" s="169"/>
      <c r="XDD1039847" s="169"/>
      <c r="XDE1039847" s="169"/>
      <c r="XDF1039847" s="169"/>
      <c r="XDG1039847" s="169"/>
      <c r="XDH1039847" s="169"/>
      <c r="XDI1039847" s="169"/>
      <c r="XDJ1039847" s="169"/>
      <c r="XDK1039847" s="169"/>
      <c r="XDL1039847" s="169"/>
    </row>
    <row r="1039848" spans="16322:16340">
      <c r="XCT1039848" s="191"/>
      <c r="XCU1039848" s="191"/>
      <c r="XCV1039848" s="191"/>
      <c r="XCW1039848" s="170"/>
      <c r="XCX1039848" s="170"/>
      <c r="XCY1039848" s="170"/>
      <c r="XCZ1039848" s="170"/>
      <c r="XDA1039848" s="170"/>
      <c r="XDB1039848" s="170"/>
      <c r="XDC1039848" s="170"/>
      <c r="XDD1039848" s="170"/>
      <c r="XDE1039848" s="170"/>
      <c r="XDF1039848" s="170"/>
      <c r="XDG1039848" s="170"/>
      <c r="XDH1039848" s="170"/>
      <c r="XDI1039848" s="170"/>
      <c r="XDJ1039848" s="170"/>
      <c r="XDK1039848" s="170"/>
      <c r="XDL1039848" s="170"/>
    </row>
    <row r="1039849" spans="16322:16340">
      <c r="XCT1039849" s="191"/>
      <c r="XCU1039849" s="191"/>
      <c r="XCV1039849" s="191"/>
      <c r="XCW1039849" s="170"/>
      <c r="XCX1039849" s="170"/>
      <c r="XCY1039849" s="170"/>
      <c r="XCZ1039849" s="170"/>
      <c r="XDA1039849" s="170"/>
      <c r="XDB1039849" s="170"/>
      <c r="XDC1039849" s="170"/>
      <c r="XDD1039849" s="170"/>
      <c r="XDE1039849" s="170"/>
      <c r="XDF1039849" s="170"/>
      <c r="XDG1039849" s="170"/>
      <c r="XDH1039849" s="170"/>
      <c r="XDI1039849" s="170"/>
      <c r="XDJ1039849" s="170"/>
      <c r="XDK1039849" s="170"/>
      <c r="XDL1039849" s="170"/>
    </row>
    <row r="1039850" spans="16322:16340">
      <c r="XCT1039850" s="191"/>
      <c r="XCU1039850" s="191"/>
      <c r="XCV1039850" s="191"/>
      <c r="XCW1039850" s="170"/>
      <c r="XCX1039850" s="170"/>
      <c r="XCY1039850" s="170"/>
      <c r="XCZ1039850" s="170"/>
      <c r="XDA1039850" s="170"/>
      <c r="XDB1039850" s="170"/>
      <c r="XDC1039850" s="170"/>
      <c r="XDD1039850" s="170"/>
      <c r="XDE1039850" s="170"/>
      <c r="XDF1039850" s="170"/>
      <c r="XDG1039850" s="170"/>
      <c r="XDH1039850" s="170"/>
      <c r="XDI1039850" s="170"/>
      <c r="XDJ1039850" s="170"/>
      <c r="XDK1039850" s="170"/>
      <c r="XDL1039850" s="170"/>
    </row>
    <row r="1039851" spans="16322:16340">
      <c r="XCT1039851" s="191"/>
      <c r="XCU1039851" s="191"/>
      <c r="XCV1039851" s="191"/>
      <c r="XCW1039851" s="171"/>
      <c r="XCX1039851" s="170"/>
      <c r="XCY1039851" s="170"/>
      <c r="XCZ1039851" s="170"/>
      <c r="XDA1039851" s="170"/>
      <c r="XDB1039851" s="170"/>
      <c r="XDC1039851" s="170"/>
      <c r="XDD1039851" s="170"/>
      <c r="XDE1039851" s="171"/>
      <c r="XDF1039851" s="171"/>
      <c r="XDG1039851" s="170"/>
      <c r="XDH1039851" s="171"/>
      <c r="XDI1039851" s="171"/>
      <c r="XDJ1039851" s="171"/>
      <c r="XDK1039851" s="170"/>
      <c r="XDL1039851" s="171"/>
    </row>
    <row r="1039852" spans="16322:16340">
      <c r="XCT1039852" s="192"/>
      <c r="XCU1039852" s="192"/>
      <c r="XCV1039852" s="192"/>
      <c r="XCW1039852" s="169"/>
      <c r="XCX1039852" s="169"/>
      <c r="XCY1039852" s="169"/>
      <c r="XCZ1039852" s="169"/>
      <c r="XDA1039852" s="169"/>
      <c r="XDB1039852" s="169"/>
      <c r="XDC1039852" s="169"/>
      <c r="XDD1039852" s="169"/>
      <c r="XDE1039852" s="169"/>
      <c r="XDF1039852" s="169"/>
      <c r="XDG1039852" s="169"/>
      <c r="XDH1039852" s="169"/>
      <c r="XDI1039852" s="169"/>
      <c r="XDJ1039852" s="169"/>
      <c r="XDK1039852" s="169"/>
      <c r="XDL1039852" s="169"/>
    </row>
    <row r="1039853" spans="16322:16340">
      <c r="XCT1039853" s="191"/>
      <c r="XCU1039853" s="191"/>
      <c r="XCV1039853" s="191"/>
      <c r="XCW1039853" s="170"/>
      <c r="XCX1039853" s="170"/>
      <c r="XCY1039853" s="170"/>
      <c r="XCZ1039853" s="170"/>
      <c r="XDA1039853" s="170"/>
      <c r="XDB1039853" s="170"/>
      <c r="XDC1039853" s="170"/>
      <c r="XDD1039853" s="170"/>
      <c r="XDE1039853" s="170"/>
      <c r="XDF1039853" s="170"/>
      <c r="XDG1039853" s="170"/>
      <c r="XDH1039853" s="170"/>
      <c r="XDI1039853" s="170"/>
      <c r="XDJ1039853" s="170"/>
      <c r="XDK1039853" s="170"/>
      <c r="XDL1039853" s="170"/>
    </row>
    <row r="1039854" spans="16322:16340">
      <c r="XCT1039854" s="191"/>
      <c r="XCU1039854" s="191"/>
      <c r="XCV1039854" s="191"/>
      <c r="XCW1039854" s="170"/>
      <c r="XCX1039854" s="170"/>
      <c r="XCY1039854" s="170"/>
      <c r="XCZ1039854" s="170"/>
      <c r="XDA1039854" s="170"/>
      <c r="XDB1039854" s="170"/>
      <c r="XDC1039854" s="170"/>
      <c r="XDD1039854" s="170"/>
      <c r="XDE1039854" s="170"/>
      <c r="XDF1039854" s="170"/>
      <c r="XDG1039854" s="170"/>
      <c r="XDH1039854" s="170"/>
      <c r="XDI1039854" s="170"/>
      <c r="XDJ1039854" s="170"/>
      <c r="XDK1039854" s="170"/>
      <c r="XDL1039854" s="170"/>
    </row>
    <row r="1039855" spans="16322:16340">
      <c r="XCT1039855" s="191"/>
      <c r="XCU1039855" s="191"/>
      <c r="XCV1039855" s="191"/>
      <c r="XCW1039855" s="170"/>
      <c r="XCX1039855" s="170"/>
      <c r="XCY1039855" s="170"/>
      <c r="XCZ1039855" s="170"/>
      <c r="XDA1039855" s="170"/>
      <c r="XDB1039855" s="170"/>
      <c r="XDC1039855" s="170"/>
      <c r="XDD1039855" s="170"/>
      <c r="XDE1039855" s="170"/>
      <c r="XDF1039855" s="170"/>
      <c r="XDG1039855" s="170"/>
      <c r="XDH1039855" s="170"/>
      <c r="XDI1039855" s="170"/>
      <c r="XDJ1039855" s="170"/>
      <c r="XDK1039855" s="170"/>
      <c r="XDL1039855" s="170"/>
    </row>
    <row r="1039856" spans="16322:16340">
      <c r="XCT1039856" s="191"/>
      <c r="XCU1039856" s="191"/>
      <c r="XCV1039856" s="191"/>
      <c r="XCW1039856" s="170"/>
      <c r="XCX1039856" s="170"/>
      <c r="XCY1039856" s="170"/>
      <c r="XCZ1039856" s="170"/>
      <c r="XDA1039856" s="170"/>
      <c r="XDB1039856" s="170"/>
      <c r="XDC1039856" s="170"/>
      <c r="XDD1039856" s="170"/>
      <c r="XDE1039856" s="170"/>
      <c r="XDF1039856" s="170"/>
      <c r="XDG1039856" s="170"/>
      <c r="XDH1039856" s="170"/>
      <c r="XDI1039856" s="170"/>
      <c r="XDJ1039856" s="170"/>
      <c r="XDK1039856" s="170"/>
      <c r="XDL1039856" s="170"/>
    </row>
    <row r="1039857" spans="16322:16340">
      <c r="XCT1039857" s="191"/>
      <c r="XCU1039857" s="191"/>
      <c r="XCV1039857" s="191"/>
      <c r="XCW1039857" s="171"/>
      <c r="XCX1039857" s="171"/>
      <c r="XCY1039857" s="171"/>
      <c r="XCZ1039857" s="172"/>
      <c r="XDA1039857" s="172"/>
      <c r="XDB1039857" s="171"/>
      <c r="XDC1039857" s="171"/>
      <c r="XDD1039857" s="171"/>
      <c r="XDE1039857" s="170"/>
      <c r="XDF1039857" s="170"/>
      <c r="XDG1039857" s="171"/>
      <c r="XDH1039857" s="170"/>
      <c r="XDI1039857" s="170"/>
      <c r="XDJ1039857" s="170"/>
      <c r="XDK1039857" s="171"/>
      <c r="XDL1039857" s="170"/>
    </row>
    <row r="1039858" spans="16322:16340">
      <c r="XCT1039858" s="192"/>
      <c r="XCU1039858" s="192"/>
      <c r="XCV1039858" s="192"/>
      <c r="XCW1039858" s="169"/>
      <c r="XCX1039858" s="169"/>
      <c r="XCY1039858" s="169"/>
      <c r="XCZ1039858" s="169"/>
      <c r="XDA1039858" s="169"/>
      <c r="XDB1039858" s="169"/>
      <c r="XDC1039858" s="169"/>
      <c r="XDD1039858" s="169"/>
      <c r="XDE1039858" s="169"/>
      <c r="XDF1039858" s="169"/>
      <c r="XDG1039858" s="169"/>
      <c r="XDH1039858" s="169"/>
      <c r="XDI1039858" s="169"/>
      <c r="XDJ1039858" s="169"/>
      <c r="XDK1039858" s="169"/>
      <c r="XDL1039858" s="169"/>
    </row>
    <row r="1039859" spans="16322:16340">
      <c r="XCT1039859" s="191"/>
      <c r="XCU1039859" s="191"/>
      <c r="XCV1039859" s="191"/>
      <c r="XCW1039859" s="170"/>
      <c r="XCX1039859" s="170"/>
      <c r="XCY1039859" s="170"/>
      <c r="XCZ1039859" s="170"/>
      <c r="XDA1039859" s="170"/>
      <c r="XDB1039859" s="170"/>
      <c r="XDC1039859" s="170"/>
      <c r="XDD1039859" s="170"/>
      <c r="XDE1039859" s="170"/>
      <c r="XDF1039859" s="170"/>
      <c r="XDG1039859" s="170"/>
      <c r="XDH1039859" s="170"/>
      <c r="XDI1039859" s="170"/>
      <c r="XDJ1039859" s="170"/>
      <c r="XDK1039859" s="170"/>
      <c r="XDL1039859" s="170"/>
    </row>
    <row r="1039860" spans="16322:16340">
      <c r="XCT1039860" s="191"/>
      <c r="XCU1039860" s="191"/>
      <c r="XCV1039860" s="191"/>
      <c r="XCW1039860" s="170"/>
      <c r="XCX1039860" s="170"/>
      <c r="XCY1039860" s="170"/>
      <c r="XCZ1039860" s="170"/>
      <c r="XDA1039860" s="170"/>
      <c r="XDB1039860" s="170"/>
      <c r="XDC1039860" s="170"/>
      <c r="XDD1039860" s="170"/>
      <c r="XDE1039860" s="170"/>
      <c r="XDF1039860" s="170"/>
      <c r="XDG1039860" s="170"/>
      <c r="XDH1039860" s="170"/>
      <c r="XDI1039860" s="170"/>
      <c r="XDJ1039860" s="170"/>
      <c r="XDK1039860" s="170"/>
      <c r="XDL1039860" s="170"/>
    </row>
    <row r="1039861" spans="16322:16340">
      <c r="XCT1039861" s="191"/>
      <c r="XCU1039861" s="191"/>
      <c r="XCV1039861" s="191"/>
      <c r="XCW1039861" s="170"/>
      <c r="XCX1039861" s="170"/>
      <c r="XCY1039861" s="170"/>
      <c r="XCZ1039861" s="170"/>
      <c r="XDA1039861" s="170"/>
      <c r="XDB1039861" s="170"/>
      <c r="XDC1039861" s="170"/>
      <c r="XDD1039861" s="170"/>
      <c r="XDE1039861" s="170"/>
      <c r="XDF1039861" s="170"/>
      <c r="XDG1039861" s="170"/>
      <c r="XDH1039861" s="170"/>
      <c r="XDI1039861" s="170"/>
      <c r="XDJ1039861" s="170"/>
      <c r="XDK1039861" s="170"/>
      <c r="XDL1039861" s="170"/>
    </row>
    <row r="1039862" spans="16322:16340">
      <c r="XCT1039862" s="191"/>
      <c r="XCU1039862" s="191"/>
      <c r="XCV1039862" s="191"/>
      <c r="XCW1039862" s="170"/>
      <c r="XCX1039862" s="170"/>
      <c r="XCY1039862" s="170"/>
      <c r="XCZ1039862" s="170"/>
      <c r="XDA1039862" s="170"/>
      <c r="XDB1039862" s="170"/>
      <c r="XDC1039862" s="170"/>
      <c r="XDD1039862" s="170"/>
      <c r="XDE1039862" s="170"/>
      <c r="XDF1039862" s="170"/>
      <c r="XDG1039862" s="170"/>
      <c r="XDH1039862" s="170"/>
      <c r="XDI1039862" s="170"/>
      <c r="XDJ1039862" s="170"/>
      <c r="XDK1039862" s="170"/>
      <c r="XDL1039862" s="170"/>
    </row>
    <row r="1039863" spans="16322:16340">
      <c r="XCT1039863" s="191"/>
      <c r="XCU1039863" s="191"/>
      <c r="XCV1039863" s="191"/>
      <c r="XCW1039863" s="171"/>
      <c r="XCX1039863" s="171"/>
      <c r="XCY1039863" s="171"/>
      <c r="XCZ1039863" s="172"/>
      <c r="XDA1039863" s="170"/>
      <c r="XDB1039863" s="170"/>
      <c r="XDC1039863" s="171"/>
      <c r="XDD1039863" s="170"/>
      <c r="XDE1039863" s="170"/>
      <c r="XDF1039863" s="170"/>
      <c r="XDG1039863" s="171"/>
      <c r="XDH1039863" s="170"/>
      <c r="XDI1039863" s="170"/>
      <c r="XDJ1039863" s="170"/>
      <c r="XDK1039863" s="171"/>
      <c r="XDL1039863" s="170"/>
    </row>
    <row r="1039864" spans="16322:16340">
      <c r="XCT1039864" s="192"/>
      <c r="XCU1039864" s="192"/>
      <c r="XCV1039864" s="192"/>
      <c r="XCW1039864" s="169"/>
      <c r="XCX1039864" s="169"/>
      <c r="XCY1039864" s="169"/>
      <c r="XCZ1039864" s="169"/>
      <c r="XDA1039864" s="169"/>
      <c r="XDB1039864" s="169"/>
      <c r="XDC1039864" s="169"/>
      <c r="XDD1039864" s="169"/>
      <c r="XDE1039864" s="169"/>
      <c r="XDF1039864" s="169"/>
      <c r="XDG1039864" s="169"/>
      <c r="XDH1039864" s="169"/>
      <c r="XDI1039864" s="169"/>
      <c r="XDJ1039864" s="169"/>
      <c r="XDK1039864" s="169"/>
      <c r="XDL1039864" s="169"/>
    </row>
    <row r="1039865" spans="16322:16340">
      <c r="XCT1039865" s="191"/>
      <c r="XCU1039865" s="191"/>
      <c r="XCV1039865" s="191"/>
      <c r="XCW1039865" s="170"/>
      <c r="XCX1039865" s="170"/>
      <c r="XCY1039865" s="170"/>
      <c r="XCZ1039865" s="170"/>
      <c r="XDA1039865" s="170"/>
      <c r="XDB1039865" s="170"/>
      <c r="XDC1039865" s="170"/>
      <c r="XDD1039865" s="170"/>
      <c r="XDE1039865" s="170"/>
      <c r="XDF1039865" s="170"/>
      <c r="XDG1039865" s="170"/>
      <c r="XDH1039865" s="170"/>
      <c r="XDI1039865" s="170"/>
      <c r="XDJ1039865" s="170"/>
      <c r="XDK1039865" s="170"/>
      <c r="XDL1039865" s="170"/>
    </row>
    <row r="1039866" spans="16322:16340">
      <c r="XCT1039866" s="191"/>
      <c r="XCU1039866" s="191"/>
      <c r="XCV1039866" s="191"/>
      <c r="XCW1039866" s="170"/>
      <c r="XCX1039866" s="170"/>
      <c r="XCY1039866" s="170"/>
      <c r="XCZ1039866" s="170"/>
      <c r="XDA1039866" s="170"/>
      <c r="XDB1039866" s="170"/>
      <c r="XDC1039866" s="170"/>
      <c r="XDD1039866" s="170"/>
      <c r="XDE1039866" s="170"/>
      <c r="XDF1039866" s="170"/>
      <c r="XDG1039866" s="170"/>
      <c r="XDH1039866" s="170"/>
      <c r="XDI1039866" s="170"/>
      <c r="XDJ1039866" s="170"/>
      <c r="XDK1039866" s="170"/>
      <c r="XDL1039866" s="170"/>
    </row>
    <row r="1039867" spans="16322:16340">
      <c r="XCT1039867" s="191"/>
      <c r="XCU1039867" s="191"/>
      <c r="XCV1039867" s="191"/>
      <c r="XCW1039867" s="170"/>
      <c r="XCX1039867" s="170"/>
      <c r="XCY1039867" s="170"/>
      <c r="XCZ1039867" s="170"/>
      <c r="XDA1039867" s="170"/>
      <c r="XDB1039867" s="170"/>
      <c r="XDC1039867" s="170"/>
      <c r="XDD1039867" s="170"/>
      <c r="XDE1039867" s="170"/>
      <c r="XDF1039867" s="170"/>
      <c r="XDG1039867" s="170"/>
      <c r="XDH1039867" s="170"/>
      <c r="XDI1039867" s="170"/>
      <c r="XDJ1039867" s="170"/>
      <c r="XDK1039867" s="170"/>
      <c r="XDL1039867" s="170"/>
    </row>
    <row r="1039868" spans="16322:16340">
      <c r="XCT1039868" s="191"/>
      <c r="XCU1039868" s="191"/>
      <c r="XCV1039868" s="191"/>
      <c r="XCW1039868" s="170"/>
      <c r="XCX1039868" s="170"/>
      <c r="XCY1039868" s="170"/>
      <c r="XCZ1039868" s="170"/>
      <c r="XDA1039868" s="170"/>
      <c r="XDB1039868" s="170"/>
      <c r="XDC1039868" s="170"/>
      <c r="XDD1039868" s="170"/>
      <c r="XDE1039868" s="170"/>
      <c r="XDF1039868" s="170"/>
      <c r="XDG1039868" s="170"/>
      <c r="XDH1039868" s="170"/>
      <c r="XDI1039868" s="170"/>
      <c r="XDJ1039868" s="170"/>
      <c r="XDK1039868" s="170"/>
      <c r="XDL1039868" s="170"/>
    </row>
    <row r="1039869" spans="16322:16340">
      <c r="XCT1039869" s="191"/>
      <c r="XCU1039869" s="191"/>
      <c r="XCV1039869" s="191"/>
      <c r="XCW1039869" s="171"/>
      <c r="XCX1039869" s="171"/>
      <c r="XCY1039869" s="171"/>
      <c r="XCZ1039869" s="172"/>
      <c r="XDA1039869" s="170"/>
      <c r="XDB1039869" s="170"/>
      <c r="XDC1039869" s="171"/>
      <c r="XDD1039869" s="170"/>
      <c r="XDE1039869" s="170"/>
      <c r="XDF1039869" s="170"/>
      <c r="XDG1039869" s="171"/>
      <c r="XDH1039869" s="170"/>
      <c r="XDI1039869" s="171"/>
      <c r="XDJ1039869" s="171"/>
      <c r="XDK1039869" s="171"/>
      <c r="XDL1039869" s="171"/>
    </row>
    <row r="1039870" spans="16322:16340">
      <c r="XCT1039870" s="192"/>
      <c r="XCU1039870" s="192"/>
      <c r="XCV1039870" s="192"/>
      <c r="XCW1039870" s="169"/>
      <c r="XCX1039870" s="169"/>
      <c r="XCY1039870" s="169"/>
      <c r="XCZ1039870" s="169"/>
      <c r="XDA1039870" s="169"/>
      <c r="XDB1039870" s="169"/>
      <c r="XDC1039870" s="169"/>
      <c r="XDD1039870" s="169"/>
      <c r="XDE1039870" s="169"/>
      <c r="XDF1039870" s="169"/>
      <c r="XDG1039870" s="169"/>
      <c r="XDH1039870" s="169"/>
      <c r="XDI1039870" s="169"/>
      <c r="XDJ1039870" s="169"/>
      <c r="XDK1039870" s="169"/>
      <c r="XDL1039870" s="169"/>
    </row>
    <row r="1039871" spans="16322:16340">
      <c r="XCT1039871" s="191"/>
      <c r="XCU1039871" s="191"/>
      <c r="XCV1039871" s="191"/>
      <c r="XCW1039871" s="170"/>
      <c r="XCX1039871" s="170"/>
      <c r="XCY1039871" s="170"/>
      <c r="XCZ1039871" s="170"/>
      <c r="XDA1039871" s="170"/>
      <c r="XDB1039871" s="170"/>
      <c r="XDC1039871" s="170"/>
      <c r="XDD1039871" s="170"/>
      <c r="XDE1039871" s="170"/>
      <c r="XDF1039871" s="170"/>
      <c r="XDG1039871" s="170"/>
      <c r="XDH1039871" s="170"/>
      <c r="XDI1039871" s="170"/>
      <c r="XDJ1039871" s="170"/>
      <c r="XDK1039871" s="170"/>
      <c r="XDL1039871" s="170"/>
    </row>
    <row r="1039872" spans="16322:16340">
      <c r="XCT1039872" s="191"/>
      <c r="XCU1039872" s="191"/>
      <c r="XCV1039872" s="191"/>
      <c r="XCW1039872" s="170"/>
      <c r="XCX1039872" s="170"/>
      <c r="XCY1039872" s="170"/>
      <c r="XCZ1039872" s="170"/>
      <c r="XDA1039872" s="170"/>
      <c r="XDB1039872" s="170"/>
      <c r="XDC1039872" s="170"/>
      <c r="XDD1039872" s="170"/>
      <c r="XDE1039872" s="170"/>
      <c r="XDF1039872" s="170"/>
      <c r="XDG1039872" s="170"/>
      <c r="XDH1039872" s="170"/>
      <c r="XDI1039872" s="170"/>
      <c r="XDJ1039872" s="170"/>
      <c r="XDK1039872" s="170"/>
      <c r="XDL1039872" s="170"/>
    </row>
    <row r="1039873" spans="16322:16340">
      <c r="XCT1039873" s="191"/>
      <c r="XCU1039873" s="191"/>
      <c r="XCV1039873" s="191"/>
      <c r="XCW1039873" s="170"/>
      <c r="XCX1039873" s="170"/>
      <c r="XCY1039873" s="170"/>
      <c r="XCZ1039873" s="170"/>
      <c r="XDA1039873" s="170"/>
      <c r="XDB1039873" s="170"/>
      <c r="XDC1039873" s="170"/>
      <c r="XDD1039873" s="170"/>
      <c r="XDE1039873" s="170"/>
      <c r="XDF1039873" s="170"/>
      <c r="XDG1039873" s="170"/>
      <c r="XDH1039873" s="170"/>
      <c r="XDI1039873" s="170"/>
      <c r="XDJ1039873" s="170"/>
      <c r="XDK1039873" s="170"/>
      <c r="XDL1039873" s="170"/>
    </row>
    <row r="1039874" spans="16322:16340">
      <c r="XCT1039874" s="191"/>
      <c r="XCU1039874" s="191"/>
      <c r="XCV1039874" s="191"/>
      <c r="XCW1039874" s="171"/>
      <c r="XCX1039874" s="170"/>
      <c r="XCY1039874" s="170"/>
      <c r="XCZ1039874" s="170"/>
      <c r="XDA1039874" s="172"/>
      <c r="XDB1039874" s="171"/>
      <c r="XDC1039874" s="170"/>
      <c r="XDD1039874" s="171"/>
      <c r="XDE1039874" s="171"/>
      <c r="XDF1039874" s="171"/>
      <c r="XDG1039874" s="170"/>
      <c r="XDH1039874" s="171"/>
      <c r="XDI1039874" s="171"/>
      <c r="XDJ1039874" s="171"/>
      <c r="XDK1039874" s="170"/>
      <c r="XDL1039874" s="171"/>
    </row>
    <row r="1039875" spans="16322:16340">
      <c r="XCT1039875" s="192"/>
      <c r="XCU1039875" s="192"/>
      <c r="XCV1039875" s="192"/>
      <c r="XCW1039875" s="169"/>
      <c r="XCX1039875" s="169"/>
      <c r="XCY1039875" s="169"/>
      <c r="XCZ1039875" s="169"/>
      <c r="XDA1039875" s="169"/>
      <c r="XDB1039875" s="169"/>
      <c r="XDC1039875" s="169"/>
      <c r="XDD1039875" s="169"/>
      <c r="XDE1039875" s="169"/>
      <c r="XDF1039875" s="169"/>
      <c r="XDG1039875" s="169"/>
      <c r="XDH1039875" s="169"/>
      <c r="XDI1039875" s="169"/>
      <c r="XDJ1039875" s="169"/>
      <c r="XDK1039875" s="169"/>
      <c r="XDL1039875" s="169"/>
    </row>
    <row r="1039876" spans="16322:16340">
      <c r="XCT1039876" s="191"/>
      <c r="XCU1039876" s="191"/>
      <c r="XCV1039876" s="191"/>
      <c r="XCW1039876" s="171"/>
      <c r="XCX1039876" s="171"/>
      <c r="XCY1039876" s="171"/>
      <c r="XCZ1039876" s="172"/>
      <c r="XDA1039876" s="172"/>
      <c r="XDB1039876" s="171"/>
      <c r="XDC1039876" s="171"/>
      <c r="XDD1039876" s="171"/>
      <c r="XDE1039876" s="170"/>
      <c r="XDF1039876" s="170"/>
      <c r="XDG1039876" s="171"/>
      <c r="XDH1039876" s="170"/>
      <c r="XDI1039876" s="170"/>
      <c r="XDJ1039876" s="170"/>
      <c r="XDK1039876" s="171"/>
      <c r="XDL1039876" s="170"/>
    </row>
    <row r="1039877" spans="16322:16340">
      <c r="XCT1039877" s="191"/>
      <c r="XCU1039877" s="191"/>
      <c r="XCV1039877" s="191"/>
      <c r="XCW1039877" s="170"/>
      <c r="XCX1039877" s="170"/>
      <c r="XCY1039877" s="170"/>
      <c r="XCZ1039877" s="170"/>
      <c r="XDA1039877" s="170"/>
      <c r="XDB1039877" s="170"/>
      <c r="XDC1039877" s="170"/>
      <c r="XDD1039877" s="170"/>
      <c r="XDE1039877" s="170"/>
      <c r="XDF1039877" s="170"/>
      <c r="XDG1039877" s="170"/>
      <c r="XDH1039877" s="170"/>
      <c r="XDI1039877" s="170"/>
      <c r="XDJ1039877" s="170"/>
      <c r="XDK1039877" s="170"/>
      <c r="XDL1039877" s="170"/>
    </row>
    <row r="1039878" spans="16322:16340">
      <c r="XCT1039878" s="191"/>
      <c r="XCU1039878" s="191"/>
      <c r="XCV1039878" s="191"/>
      <c r="XCW1039878" s="170"/>
      <c r="XCX1039878" s="170"/>
      <c r="XCY1039878" s="170"/>
      <c r="XCZ1039878" s="170"/>
      <c r="XDA1039878" s="170"/>
      <c r="XDB1039878" s="170"/>
      <c r="XDC1039878" s="170"/>
      <c r="XDD1039878" s="170"/>
      <c r="XDE1039878" s="170"/>
      <c r="XDF1039878" s="170"/>
      <c r="XDG1039878" s="170"/>
      <c r="XDH1039878" s="170"/>
      <c r="XDI1039878" s="170"/>
      <c r="XDJ1039878" s="170"/>
      <c r="XDK1039878" s="170"/>
      <c r="XDL1039878" s="170"/>
    </row>
    <row r="1039879" spans="16322:16340">
      <c r="XCT1039879" s="191"/>
      <c r="XCU1039879" s="191"/>
      <c r="XCV1039879" s="191"/>
      <c r="XCW1039879" s="170"/>
      <c r="XCX1039879" s="170"/>
      <c r="XCY1039879" s="170"/>
      <c r="XCZ1039879" s="170"/>
      <c r="XDA1039879" s="170"/>
      <c r="XDB1039879" s="170"/>
      <c r="XDC1039879" s="170"/>
      <c r="XDD1039879" s="170"/>
      <c r="XDE1039879" s="170"/>
      <c r="XDF1039879" s="170"/>
      <c r="XDG1039879" s="170"/>
      <c r="XDH1039879" s="170"/>
      <c r="XDI1039879" s="170"/>
      <c r="XDJ1039879" s="170"/>
      <c r="XDK1039879" s="170"/>
      <c r="XDL1039879" s="170"/>
    </row>
    <row r="1039880" spans="16322:16340">
      <c r="XCT1039880" s="191"/>
      <c r="XCU1039880" s="191"/>
      <c r="XCV1039880" s="191"/>
      <c r="XCW1039880" s="170"/>
      <c r="XCX1039880" s="170"/>
      <c r="XCY1039880" s="170"/>
      <c r="XCZ1039880" s="170"/>
      <c r="XDA1039880" s="170"/>
      <c r="XDB1039880" s="170"/>
      <c r="XDC1039880" s="170"/>
      <c r="XDD1039880" s="170"/>
      <c r="XDE1039880" s="170"/>
      <c r="XDF1039880" s="170"/>
      <c r="XDG1039880" s="170"/>
      <c r="XDH1039880" s="170"/>
      <c r="XDI1039880" s="170"/>
      <c r="XDJ1039880" s="170"/>
      <c r="XDK1039880" s="170"/>
      <c r="XDL1039880" s="170"/>
    </row>
    <row r="1039881" spans="16322:16340">
      <c r="XCT1039881" s="192"/>
      <c r="XCU1039881" s="192"/>
      <c r="XCV1039881" s="192"/>
      <c r="XCW1039881" s="169"/>
      <c r="XCX1039881" s="169"/>
      <c r="XCY1039881" s="169"/>
      <c r="XCZ1039881" s="169"/>
      <c r="XDA1039881" s="169"/>
      <c r="XDB1039881" s="169"/>
      <c r="XDC1039881" s="169"/>
      <c r="XDD1039881" s="169"/>
      <c r="XDE1039881" s="169"/>
      <c r="XDF1039881" s="169"/>
      <c r="XDG1039881" s="169"/>
      <c r="XDH1039881" s="169"/>
      <c r="XDI1039881" s="169"/>
      <c r="XDJ1039881" s="169"/>
      <c r="XDK1039881" s="169"/>
      <c r="XDL1039881" s="169"/>
    </row>
    <row r="1039882" spans="16322:16340">
      <c r="XCT1039882" s="191"/>
      <c r="XCU1039882" s="191"/>
      <c r="XCV1039882" s="191"/>
      <c r="XCW1039882" s="170"/>
      <c r="XCX1039882" s="170"/>
      <c r="XCY1039882" s="170"/>
      <c r="XCZ1039882" s="170"/>
      <c r="XDA1039882" s="170"/>
      <c r="XDB1039882" s="171"/>
      <c r="XDC1039882" s="170"/>
      <c r="XDD1039882" s="171"/>
      <c r="XDE1039882" s="170"/>
      <c r="XDF1039882" s="170"/>
      <c r="XDG1039882" s="170"/>
      <c r="XDH1039882" s="170"/>
      <c r="XDI1039882" s="170"/>
      <c r="XDJ1039882" s="170"/>
      <c r="XDK1039882" s="170"/>
      <c r="XDL1039882" s="170"/>
    </row>
    <row r="1039883" spans="16322:16340">
      <c r="XCT1039883" s="191"/>
      <c r="XCU1039883" s="191"/>
      <c r="XCV1039883" s="191"/>
      <c r="XCW1039883" s="170"/>
      <c r="XCX1039883" s="170"/>
      <c r="XCY1039883" s="170"/>
      <c r="XCZ1039883" s="170"/>
      <c r="XDA1039883" s="170"/>
      <c r="XDB1039883" s="170"/>
      <c r="XDC1039883" s="170"/>
      <c r="XDD1039883" s="170"/>
      <c r="XDE1039883" s="170"/>
      <c r="XDF1039883" s="170"/>
      <c r="XDG1039883" s="170"/>
      <c r="XDH1039883" s="170"/>
      <c r="XDI1039883" s="170"/>
      <c r="XDJ1039883" s="170"/>
      <c r="XDK1039883" s="170"/>
      <c r="XDL1039883" s="170"/>
    </row>
    <row r="1039884" spans="16322:16340">
      <c r="XCT1039884" s="191"/>
      <c r="XCU1039884" s="191"/>
      <c r="XCV1039884" s="191"/>
      <c r="XCW1039884" s="170"/>
      <c r="XCX1039884" s="170"/>
      <c r="XCY1039884" s="170"/>
      <c r="XCZ1039884" s="170"/>
      <c r="XDA1039884" s="170"/>
      <c r="XDB1039884" s="170"/>
      <c r="XDC1039884" s="170"/>
      <c r="XDD1039884" s="170"/>
      <c r="XDE1039884" s="170"/>
      <c r="XDF1039884" s="170"/>
      <c r="XDG1039884" s="170"/>
      <c r="XDH1039884" s="170"/>
      <c r="XDI1039884" s="170"/>
      <c r="XDJ1039884" s="170"/>
      <c r="XDK1039884" s="170"/>
      <c r="XDL1039884" s="170"/>
    </row>
    <row r="1039885" spans="16322:16340">
      <c r="XCT1039885" s="191"/>
      <c r="XCU1039885" s="191"/>
      <c r="XCV1039885" s="191"/>
      <c r="XCW1039885" s="170"/>
      <c r="XCX1039885" s="170"/>
      <c r="XCY1039885" s="170"/>
      <c r="XCZ1039885" s="170"/>
      <c r="XDA1039885" s="170"/>
      <c r="XDB1039885" s="170"/>
      <c r="XDC1039885" s="170"/>
      <c r="XDD1039885" s="170"/>
      <c r="XDE1039885" s="170"/>
      <c r="XDF1039885" s="170"/>
      <c r="XDG1039885" s="170"/>
      <c r="XDH1039885" s="170"/>
      <c r="XDI1039885" s="170"/>
      <c r="XDJ1039885" s="170"/>
      <c r="XDK1039885" s="170"/>
      <c r="XDL1039885" s="170"/>
    </row>
    <row r="1039886" spans="16322:16340">
      <c r="XCT1039886" s="191"/>
      <c r="XCU1039886" s="191"/>
      <c r="XCV1039886" s="191"/>
      <c r="XCW1039886" s="171"/>
      <c r="XCX1039886" s="171"/>
      <c r="XCY1039886" s="171"/>
      <c r="XCZ1039886" s="172"/>
      <c r="XDA1039886" s="170"/>
      <c r="XDB1039886" s="170"/>
      <c r="XDC1039886" s="171"/>
      <c r="XDD1039886" s="170"/>
      <c r="XDE1039886" s="170"/>
      <c r="XDF1039886" s="170"/>
      <c r="XDG1039886" s="171"/>
      <c r="XDH1039886" s="170"/>
      <c r="XDI1039886" s="171"/>
      <c r="XDJ1039886" s="171"/>
      <c r="XDK1039886" s="171"/>
      <c r="XDL1039886" s="171"/>
    </row>
    <row r="1039887" spans="16322:16340">
      <c r="XCT1039887" s="192"/>
      <c r="XCU1039887" s="192"/>
      <c r="XCV1039887" s="192"/>
      <c r="XCW1039887" s="169"/>
      <c r="XCX1039887" s="169"/>
      <c r="XCY1039887" s="169"/>
      <c r="XCZ1039887" s="169"/>
      <c r="XDA1039887" s="169"/>
      <c r="XDB1039887" s="169"/>
      <c r="XDC1039887" s="169"/>
      <c r="XDD1039887" s="169"/>
      <c r="XDE1039887" s="169"/>
      <c r="XDF1039887" s="169"/>
      <c r="XDG1039887" s="169"/>
      <c r="XDH1039887" s="169"/>
      <c r="XDI1039887" s="169"/>
      <c r="XDJ1039887" s="169"/>
      <c r="XDK1039887" s="169"/>
      <c r="XDL1039887" s="169"/>
    </row>
    <row r="1039888" spans="16322:16340">
      <c r="XCT1039888" s="191"/>
      <c r="XCU1039888" s="191"/>
      <c r="XCV1039888" s="191"/>
      <c r="XCW1039888" s="170"/>
      <c r="XCX1039888" s="170"/>
      <c r="XCY1039888" s="170"/>
      <c r="XCZ1039888" s="170"/>
      <c r="XDA1039888" s="170"/>
      <c r="XDB1039888" s="170"/>
      <c r="XDC1039888" s="170"/>
      <c r="XDD1039888" s="170"/>
      <c r="XDE1039888" s="170"/>
      <c r="XDF1039888" s="170"/>
      <c r="XDG1039888" s="170"/>
      <c r="XDH1039888" s="170"/>
      <c r="XDI1039888" s="170"/>
      <c r="XDJ1039888" s="170"/>
      <c r="XDK1039888" s="170"/>
      <c r="XDL1039888" s="170"/>
    </row>
    <row r="1039889" spans="16322:16340">
      <c r="XCT1039889" s="191"/>
      <c r="XCU1039889" s="191"/>
      <c r="XCV1039889" s="191"/>
      <c r="XCW1039889" s="170"/>
      <c r="XCX1039889" s="170"/>
      <c r="XCY1039889" s="170"/>
      <c r="XCZ1039889" s="170"/>
      <c r="XDA1039889" s="170"/>
      <c r="XDB1039889" s="170"/>
      <c r="XDC1039889" s="170"/>
      <c r="XDD1039889" s="170"/>
      <c r="XDE1039889" s="170"/>
      <c r="XDF1039889" s="170"/>
      <c r="XDG1039889" s="170"/>
      <c r="XDH1039889" s="170"/>
      <c r="XDI1039889" s="170"/>
      <c r="XDJ1039889" s="170"/>
      <c r="XDK1039889" s="170"/>
      <c r="XDL1039889" s="170"/>
    </row>
    <row r="1039890" spans="16322:16340">
      <c r="XCT1039890" s="191"/>
      <c r="XCU1039890" s="191"/>
      <c r="XCV1039890" s="191"/>
      <c r="XCW1039890" s="170"/>
      <c r="XCX1039890" s="170"/>
      <c r="XCY1039890" s="170"/>
      <c r="XCZ1039890" s="170"/>
      <c r="XDA1039890" s="170"/>
      <c r="XDB1039890" s="170"/>
      <c r="XDC1039890" s="170"/>
      <c r="XDD1039890" s="170"/>
      <c r="XDE1039890" s="170"/>
      <c r="XDF1039890" s="170"/>
      <c r="XDG1039890" s="170"/>
      <c r="XDH1039890" s="170"/>
      <c r="XDI1039890" s="170"/>
      <c r="XDJ1039890" s="170"/>
      <c r="XDK1039890" s="170"/>
      <c r="XDL1039890" s="170"/>
    </row>
    <row r="1039891" spans="16322:16340">
      <c r="XCT1039891" s="191"/>
      <c r="XCU1039891" s="191"/>
      <c r="XCV1039891" s="191"/>
      <c r="XCW1039891" s="170"/>
      <c r="XCX1039891" s="170"/>
      <c r="XCY1039891" s="170"/>
      <c r="XCZ1039891" s="170"/>
      <c r="XDA1039891" s="170"/>
      <c r="XDB1039891" s="170"/>
      <c r="XDC1039891" s="170"/>
      <c r="XDD1039891" s="170"/>
      <c r="XDE1039891" s="170"/>
      <c r="XDF1039891" s="170"/>
      <c r="XDG1039891" s="170"/>
      <c r="XDH1039891" s="170"/>
      <c r="XDI1039891" s="170"/>
      <c r="XDJ1039891" s="170"/>
      <c r="XDK1039891" s="170"/>
      <c r="XDL1039891" s="170"/>
    </row>
    <row r="1039892" spans="16322:16340">
      <c r="XCT1039892" s="191"/>
      <c r="XCU1039892" s="191"/>
      <c r="XCV1039892" s="191"/>
      <c r="XCW1039892" s="171"/>
      <c r="XCX1039892" s="171"/>
      <c r="XCY1039892" s="171"/>
      <c r="XCZ1039892" s="172"/>
      <c r="XDA1039892" s="170"/>
      <c r="XDB1039892" s="170"/>
      <c r="XDC1039892" s="171"/>
      <c r="XDD1039892" s="170"/>
      <c r="XDE1039892" s="170"/>
      <c r="XDF1039892" s="170"/>
      <c r="XDG1039892" s="171"/>
      <c r="XDH1039892" s="170"/>
      <c r="XDI1039892" s="170"/>
      <c r="XDJ1039892" s="170"/>
      <c r="XDK1039892" s="171"/>
      <c r="XDL1039892" s="170"/>
    </row>
    <row r="1039893" spans="16322:16340">
      <c r="XCT1039893" s="192"/>
      <c r="XCU1039893" s="192"/>
      <c r="XCV1039893" s="192"/>
      <c r="XCW1039893" s="169"/>
      <c r="XCX1039893" s="169"/>
      <c r="XCY1039893" s="169"/>
      <c r="XCZ1039893" s="169"/>
      <c r="XDA1039893" s="169"/>
      <c r="XDB1039893" s="169"/>
      <c r="XDC1039893" s="169"/>
      <c r="XDD1039893" s="169"/>
      <c r="XDE1039893" s="169"/>
      <c r="XDF1039893" s="169"/>
      <c r="XDG1039893" s="169"/>
      <c r="XDH1039893" s="169"/>
      <c r="XDI1039893" s="169"/>
      <c r="XDJ1039893" s="169"/>
      <c r="XDK1039893" s="169"/>
      <c r="XDL1039893" s="169"/>
    </row>
    <row r="1039894" spans="16322:16340">
      <c r="XCT1039894" s="191"/>
      <c r="XCU1039894" s="191"/>
      <c r="XCV1039894" s="191"/>
      <c r="XCW1039894" s="170"/>
      <c r="XCX1039894" s="170"/>
      <c r="XCY1039894" s="170"/>
      <c r="XCZ1039894" s="170"/>
      <c r="XDA1039894" s="170"/>
      <c r="XDB1039894" s="170"/>
      <c r="XDC1039894" s="170"/>
      <c r="XDD1039894" s="170"/>
      <c r="XDE1039894" s="170"/>
      <c r="XDF1039894" s="170"/>
      <c r="XDG1039894" s="170"/>
      <c r="XDH1039894" s="170"/>
      <c r="XDI1039894" s="170"/>
      <c r="XDJ1039894" s="170"/>
      <c r="XDK1039894" s="170"/>
      <c r="XDL1039894" s="170"/>
    </row>
    <row r="1039895" spans="16322:16340">
      <c r="XCT1039895" s="191"/>
      <c r="XCU1039895" s="191"/>
      <c r="XCV1039895" s="191"/>
      <c r="XCW1039895" s="170"/>
      <c r="XCX1039895" s="170"/>
      <c r="XCY1039895" s="170"/>
      <c r="XCZ1039895" s="170"/>
      <c r="XDA1039895" s="170"/>
      <c r="XDB1039895" s="170"/>
      <c r="XDC1039895" s="170"/>
      <c r="XDD1039895" s="170"/>
      <c r="XDE1039895" s="170"/>
      <c r="XDF1039895" s="170"/>
      <c r="XDG1039895" s="170"/>
      <c r="XDH1039895" s="170"/>
      <c r="XDI1039895" s="170"/>
      <c r="XDJ1039895" s="170"/>
      <c r="XDK1039895" s="170"/>
      <c r="XDL1039895" s="170"/>
    </row>
    <row r="1039896" spans="16322:16340">
      <c r="XCT1039896" s="191"/>
      <c r="XCU1039896" s="191"/>
      <c r="XCV1039896" s="191"/>
      <c r="XCW1039896" s="170"/>
      <c r="XCX1039896" s="170"/>
      <c r="XCY1039896" s="170"/>
      <c r="XCZ1039896" s="170"/>
      <c r="XDA1039896" s="170"/>
      <c r="XDB1039896" s="170"/>
      <c r="XDC1039896" s="170"/>
      <c r="XDD1039896" s="170"/>
      <c r="XDE1039896" s="170"/>
      <c r="XDF1039896" s="170"/>
      <c r="XDG1039896" s="170"/>
      <c r="XDH1039896" s="170"/>
      <c r="XDI1039896" s="170"/>
      <c r="XDJ1039896" s="170"/>
      <c r="XDK1039896" s="170"/>
      <c r="XDL1039896" s="170"/>
    </row>
    <row r="1039897" spans="16322:16340">
      <c r="XCT1039897" s="191"/>
      <c r="XCU1039897" s="191"/>
      <c r="XCV1039897" s="191"/>
      <c r="XCW1039897" s="170"/>
      <c r="XCX1039897" s="170"/>
      <c r="XCY1039897" s="170"/>
      <c r="XCZ1039897" s="170"/>
      <c r="XDA1039897" s="170"/>
      <c r="XDB1039897" s="170"/>
      <c r="XDC1039897" s="170"/>
      <c r="XDD1039897" s="170"/>
      <c r="XDE1039897" s="170"/>
      <c r="XDF1039897" s="170"/>
      <c r="XDG1039897" s="170"/>
      <c r="XDH1039897" s="170"/>
      <c r="XDI1039897" s="170"/>
      <c r="XDJ1039897" s="170"/>
      <c r="XDK1039897" s="170"/>
      <c r="XDL1039897" s="170"/>
    </row>
    <row r="1039898" spans="16322:16340">
      <c r="XCT1039898" s="191"/>
      <c r="XCU1039898" s="191"/>
      <c r="XCV1039898" s="191"/>
      <c r="XCW1039898" s="171"/>
      <c r="XCX1039898" s="171"/>
      <c r="XCY1039898" s="171"/>
      <c r="XCZ1039898" s="172"/>
      <c r="XDA1039898" s="170"/>
      <c r="XDB1039898" s="170"/>
      <c r="XDC1039898" s="171"/>
      <c r="XDD1039898" s="170"/>
      <c r="XDE1039898" s="171"/>
      <c r="XDF1039898" s="171"/>
      <c r="XDG1039898" s="171"/>
      <c r="XDH1039898" s="171"/>
      <c r="XDI1039898" s="171"/>
      <c r="XDJ1039898" s="171"/>
      <c r="XDK1039898" s="171"/>
      <c r="XDL1039898" s="171"/>
    </row>
    <row r="1039899" spans="16322:16340">
      <c r="XCT1039899" s="192"/>
      <c r="XCU1039899" s="192"/>
      <c r="XCV1039899" s="192"/>
      <c r="XCW1039899" s="169"/>
      <c r="XCX1039899" s="169"/>
      <c r="XCY1039899" s="169"/>
      <c r="XCZ1039899" s="169"/>
      <c r="XDA1039899" s="169"/>
      <c r="XDB1039899" s="169"/>
      <c r="XDC1039899" s="169"/>
      <c r="XDD1039899" s="169"/>
      <c r="XDE1039899" s="169"/>
      <c r="XDF1039899" s="169"/>
      <c r="XDG1039899" s="169"/>
      <c r="XDH1039899" s="169"/>
      <c r="XDI1039899" s="169"/>
      <c r="XDJ1039899" s="169"/>
      <c r="XDK1039899" s="169"/>
      <c r="XDL1039899" s="169"/>
    </row>
    <row r="1039900" spans="16322:16340">
      <c r="XCT1039900" s="191"/>
      <c r="XCU1039900" s="191"/>
      <c r="XCV1039900" s="191"/>
      <c r="XCW1039900" s="170"/>
      <c r="XCX1039900" s="170"/>
      <c r="XCY1039900" s="170"/>
      <c r="XCZ1039900" s="170"/>
      <c r="XDA1039900" s="170"/>
      <c r="XDB1039900" s="170"/>
      <c r="XDC1039900" s="170"/>
      <c r="XDD1039900" s="170"/>
      <c r="XDE1039900" s="170"/>
      <c r="XDF1039900" s="170"/>
      <c r="XDG1039900" s="170"/>
      <c r="XDH1039900" s="170"/>
      <c r="XDI1039900" s="170"/>
      <c r="XDJ1039900" s="170"/>
      <c r="XDK1039900" s="170"/>
      <c r="XDL1039900" s="170"/>
    </row>
    <row r="1039901" spans="16322:16340">
      <c r="XCT1039901" s="191"/>
      <c r="XCU1039901" s="191"/>
      <c r="XCV1039901" s="191"/>
      <c r="XCW1039901" s="170"/>
      <c r="XCX1039901" s="170"/>
      <c r="XCY1039901" s="170"/>
      <c r="XCZ1039901" s="170"/>
      <c r="XDA1039901" s="170"/>
      <c r="XDB1039901" s="170"/>
      <c r="XDC1039901" s="170"/>
      <c r="XDD1039901" s="170"/>
      <c r="XDE1039901" s="170"/>
      <c r="XDF1039901" s="170"/>
      <c r="XDG1039901" s="170"/>
      <c r="XDH1039901" s="170"/>
      <c r="XDI1039901" s="170"/>
      <c r="XDJ1039901" s="170"/>
      <c r="XDK1039901" s="170"/>
      <c r="XDL1039901" s="170"/>
    </row>
    <row r="1039902" spans="16322:16340">
      <c r="XCT1039902" s="191"/>
      <c r="XCU1039902" s="191"/>
      <c r="XCV1039902" s="191"/>
      <c r="XCW1039902" s="170"/>
      <c r="XCX1039902" s="170"/>
      <c r="XCY1039902" s="170"/>
      <c r="XCZ1039902" s="170"/>
      <c r="XDA1039902" s="170"/>
      <c r="XDB1039902" s="170"/>
      <c r="XDC1039902" s="170"/>
      <c r="XDD1039902" s="170"/>
      <c r="XDE1039902" s="170"/>
      <c r="XDF1039902" s="170"/>
      <c r="XDG1039902" s="170"/>
      <c r="XDH1039902" s="170"/>
      <c r="XDI1039902" s="170"/>
      <c r="XDJ1039902" s="170"/>
      <c r="XDK1039902" s="170"/>
      <c r="XDL1039902" s="170"/>
    </row>
    <row r="1039903" spans="16322:16340">
      <c r="XCT1039903" s="191"/>
      <c r="XCU1039903" s="191"/>
      <c r="XCV1039903" s="191"/>
      <c r="XCW1039903" s="170"/>
      <c r="XCX1039903" s="170"/>
      <c r="XCY1039903" s="170"/>
      <c r="XCZ1039903" s="170"/>
      <c r="XDA1039903" s="170"/>
      <c r="XDB1039903" s="170"/>
      <c r="XDC1039903" s="170"/>
      <c r="XDD1039903" s="170"/>
      <c r="XDE1039903" s="170"/>
      <c r="XDF1039903" s="170"/>
      <c r="XDG1039903" s="170"/>
      <c r="XDH1039903" s="170"/>
      <c r="XDI1039903" s="170"/>
      <c r="XDJ1039903" s="170"/>
      <c r="XDK1039903" s="170"/>
      <c r="XDL1039903" s="170"/>
    </row>
    <row r="1039904" spans="16322:16340">
      <c r="XCT1039904" s="191"/>
      <c r="XCU1039904" s="191"/>
      <c r="XCV1039904" s="191"/>
      <c r="XCW1039904" s="171"/>
      <c r="XCX1039904" s="171"/>
      <c r="XCY1039904" s="171"/>
      <c r="XCZ1039904" s="172"/>
      <c r="XDA1039904" s="172"/>
      <c r="XDB1039904" s="171"/>
      <c r="XDC1039904" s="171"/>
      <c r="XDD1039904" s="171"/>
      <c r="XDE1039904" s="170"/>
      <c r="XDF1039904" s="170"/>
      <c r="XDG1039904" s="171"/>
      <c r="XDH1039904" s="170"/>
      <c r="XDI1039904" s="171"/>
      <c r="XDJ1039904" s="171"/>
      <c r="XDK1039904" s="171"/>
      <c r="XDL1039904" s="171"/>
    </row>
    <row r="1039905" spans="16322:16340">
      <c r="XCT1039905" s="192"/>
      <c r="XCU1039905" s="192"/>
      <c r="XCV1039905" s="192"/>
      <c r="XCW1039905" s="169"/>
      <c r="XCX1039905" s="169"/>
      <c r="XCY1039905" s="169"/>
      <c r="XCZ1039905" s="169"/>
      <c r="XDA1039905" s="169"/>
      <c r="XDB1039905" s="169"/>
      <c r="XDC1039905" s="169"/>
      <c r="XDD1039905" s="169"/>
      <c r="XDE1039905" s="169"/>
      <c r="XDF1039905" s="169"/>
      <c r="XDG1039905" s="169"/>
      <c r="XDH1039905" s="169"/>
      <c r="XDI1039905" s="169"/>
      <c r="XDJ1039905" s="169"/>
      <c r="XDK1039905" s="169"/>
      <c r="XDL1039905" s="169"/>
    </row>
    <row r="1039906" spans="16322:16340">
      <c r="XCT1039906" s="191"/>
      <c r="XCU1039906" s="191"/>
      <c r="XCV1039906" s="191"/>
      <c r="XCW1039906" s="170"/>
      <c r="XCX1039906" s="170"/>
      <c r="XCY1039906" s="170"/>
      <c r="XCZ1039906" s="170"/>
      <c r="XDA1039906" s="170"/>
      <c r="XDB1039906" s="170"/>
      <c r="XDC1039906" s="170"/>
      <c r="XDD1039906" s="170"/>
      <c r="XDE1039906" s="170"/>
      <c r="XDF1039906" s="170"/>
      <c r="XDG1039906" s="170"/>
      <c r="XDH1039906" s="170"/>
      <c r="XDI1039906" s="170"/>
      <c r="XDJ1039906" s="170"/>
      <c r="XDK1039906" s="170"/>
      <c r="XDL1039906" s="170"/>
    </row>
    <row r="1039907" spans="16322:16340">
      <c r="XCT1039907" s="191"/>
      <c r="XCU1039907" s="191"/>
      <c r="XCV1039907" s="191"/>
      <c r="XCW1039907" s="170"/>
      <c r="XCX1039907" s="170"/>
      <c r="XCY1039907" s="170"/>
      <c r="XCZ1039907" s="170"/>
      <c r="XDA1039907" s="170"/>
      <c r="XDB1039907" s="170"/>
      <c r="XDC1039907" s="170"/>
      <c r="XDD1039907" s="170"/>
      <c r="XDE1039907" s="170"/>
      <c r="XDF1039907" s="170"/>
      <c r="XDG1039907" s="170"/>
      <c r="XDH1039907" s="170"/>
      <c r="XDI1039907" s="170"/>
      <c r="XDJ1039907" s="170"/>
      <c r="XDK1039907" s="170"/>
      <c r="XDL1039907" s="170"/>
    </row>
    <row r="1039908" spans="16322:16340">
      <c r="XCT1039908" s="191"/>
      <c r="XCU1039908" s="191"/>
      <c r="XCV1039908" s="191"/>
      <c r="XCW1039908" s="170"/>
      <c r="XCX1039908" s="170"/>
      <c r="XCY1039908" s="170"/>
      <c r="XCZ1039908" s="170"/>
      <c r="XDA1039908" s="170"/>
      <c r="XDB1039908" s="170"/>
      <c r="XDC1039908" s="170"/>
      <c r="XDD1039908" s="170"/>
      <c r="XDE1039908" s="170"/>
      <c r="XDF1039908" s="170"/>
      <c r="XDG1039908" s="170"/>
      <c r="XDH1039908" s="170"/>
      <c r="XDI1039908" s="170"/>
      <c r="XDJ1039908" s="170"/>
      <c r="XDK1039908" s="170"/>
      <c r="XDL1039908" s="170"/>
    </row>
    <row r="1039909" spans="16322:16340">
      <c r="XCT1039909" s="191"/>
      <c r="XCU1039909" s="191"/>
      <c r="XCV1039909" s="191"/>
      <c r="XCW1039909" s="170"/>
      <c r="XCX1039909" s="170"/>
      <c r="XCY1039909" s="170"/>
      <c r="XCZ1039909" s="170"/>
      <c r="XDA1039909" s="170"/>
      <c r="XDB1039909" s="170"/>
      <c r="XDC1039909" s="170"/>
      <c r="XDD1039909" s="170"/>
      <c r="XDE1039909" s="170"/>
      <c r="XDF1039909" s="170"/>
      <c r="XDG1039909" s="170"/>
      <c r="XDH1039909" s="170"/>
      <c r="XDI1039909" s="170"/>
      <c r="XDJ1039909" s="170"/>
      <c r="XDK1039909" s="170"/>
      <c r="XDL1039909" s="170"/>
    </row>
    <row r="1039910" spans="16322:16340">
      <c r="XCT1039910" s="191"/>
      <c r="XCU1039910" s="191"/>
      <c r="XCV1039910" s="191"/>
      <c r="XCW1039910" s="171"/>
      <c r="XCX1039910" s="171"/>
      <c r="XCY1039910" s="171"/>
      <c r="XCZ1039910" s="172"/>
      <c r="XDA1039910" s="170"/>
      <c r="XDB1039910" s="170"/>
      <c r="XDC1039910" s="171"/>
      <c r="XDD1039910" s="170"/>
      <c r="XDE1039910" s="170"/>
      <c r="XDF1039910" s="170"/>
      <c r="XDG1039910" s="171"/>
      <c r="XDH1039910" s="170"/>
      <c r="XDI1039910" s="171"/>
      <c r="XDJ1039910" s="171"/>
      <c r="XDK1039910" s="171"/>
      <c r="XDL1039910" s="171"/>
    </row>
    <row r="1039911" spans="16322:16340">
      <c r="XCT1039911" s="192"/>
      <c r="XCU1039911" s="192"/>
      <c r="XCV1039911" s="192"/>
      <c r="XCW1039911" s="169"/>
      <c r="XCX1039911" s="169"/>
      <c r="XCY1039911" s="169"/>
      <c r="XCZ1039911" s="169"/>
      <c r="XDA1039911" s="169"/>
      <c r="XDB1039911" s="169"/>
      <c r="XDC1039911" s="169"/>
      <c r="XDD1039911" s="169"/>
      <c r="XDE1039911" s="169"/>
      <c r="XDF1039911" s="169"/>
      <c r="XDG1039911" s="169"/>
      <c r="XDH1039911" s="169"/>
      <c r="XDI1039911" s="169"/>
      <c r="XDJ1039911" s="169"/>
      <c r="XDK1039911" s="169"/>
      <c r="XDL1039911" s="169"/>
    </row>
    <row r="1039912" spans="16322:16340">
      <c r="XCT1039912" s="191"/>
      <c r="XCU1039912" s="191"/>
      <c r="XCV1039912" s="191"/>
      <c r="XCW1039912" s="170"/>
      <c r="XCX1039912" s="170"/>
      <c r="XCY1039912" s="170"/>
      <c r="XCZ1039912" s="170"/>
      <c r="XDA1039912" s="170"/>
      <c r="XDB1039912" s="170"/>
      <c r="XDC1039912" s="170"/>
      <c r="XDD1039912" s="170"/>
      <c r="XDE1039912" s="170"/>
      <c r="XDF1039912" s="170"/>
      <c r="XDG1039912" s="170"/>
      <c r="XDH1039912" s="170"/>
      <c r="XDI1039912" s="170"/>
      <c r="XDJ1039912" s="170"/>
      <c r="XDK1039912" s="170"/>
      <c r="XDL1039912" s="170"/>
    </row>
    <row r="1039913" spans="16322:16340">
      <c r="XCT1039913" s="191"/>
      <c r="XCU1039913" s="191"/>
      <c r="XCV1039913" s="191"/>
      <c r="XCW1039913" s="170"/>
      <c r="XCX1039913" s="170"/>
      <c r="XCY1039913" s="170"/>
      <c r="XCZ1039913" s="170"/>
      <c r="XDA1039913" s="170"/>
      <c r="XDB1039913" s="170"/>
      <c r="XDC1039913" s="170"/>
      <c r="XDD1039913" s="170"/>
      <c r="XDE1039913" s="170"/>
      <c r="XDF1039913" s="170"/>
      <c r="XDG1039913" s="170"/>
      <c r="XDH1039913" s="170"/>
      <c r="XDI1039913" s="170"/>
      <c r="XDJ1039913" s="170"/>
      <c r="XDK1039913" s="170"/>
      <c r="XDL1039913" s="170"/>
    </row>
    <row r="1039914" spans="16322:16340">
      <c r="XCT1039914" s="191"/>
      <c r="XCU1039914" s="191"/>
      <c r="XCV1039914" s="191"/>
      <c r="XCW1039914" s="170"/>
      <c r="XCX1039914" s="170"/>
      <c r="XCY1039914" s="170"/>
      <c r="XCZ1039914" s="170"/>
      <c r="XDA1039914" s="170"/>
      <c r="XDB1039914" s="170"/>
      <c r="XDC1039914" s="170"/>
      <c r="XDD1039914" s="170"/>
      <c r="XDE1039914" s="170"/>
      <c r="XDF1039914" s="170"/>
      <c r="XDG1039914" s="170"/>
      <c r="XDH1039914" s="170"/>
      <c r="XDI1039914" s="170"/>
      <c r="XDJ1039914" s="170"/>
      <c r="XDK1039914" s="170"/>
      <c r="XDL1039914" s="170"/>
    </row>
    <row r="1039915" spans="16322:16340">
      <c r="XCT1039915" s="191"/>
      <c r="XCU1039915" s="191"/>
      <c r="XCV1039915" s="191"/>
      <c r="XCW1039915" s="170"/>
      <c r="XCX1039915" s="170"/>
      <c r="XCY1039915" s="170"/>
      <c r="XCZ1039915" s="170"/>
      <c r="XDA1039915" s="170"/>
      <c r="XDB1039915" s="170"/>
      <c r="XDC1039915" s="170"/>
      <c r="XDD1039915" s="170"/>
      <c r="XDE1039915" s="170"/>
      <c r="XDF1039915" s="170"/>
      <c r="XDG1039915" s="170"/>
      <c r="XDH1039915" s="170"/>
      <c r="XDI1039915" s="170"/>
      <c r="XDJ1039915" s="170"/>
      <c r="XDK1039915" s="170"/>
      <c r="XDL1039915" s="170"/>
    </row>
    <row r="1039916" spans="16322:16340">
      <c r="XCT1039916" s="191"/>
      <c r="XCU1039916" s="191"/>
      <c r="XCV1039916" s="191"/>
      <c r="XCW1039916" s="171"/>
      <c r="XCX1039916" s="171"/>
      <c r="XCY1039916" s="171"/>
      <c r="XCZ1039916" s="172"/>
      <c r="XDA1039916" s="170"/>
      <c r="XDB1039916" s="170"/>
      <c r="XDC1039916" s="171"/>
      <c r="XDD1039916" s="170"/>
      <c r="XDE1039916" s="170"/>
      <c r="XDF1039916" s="170"/>
      <c r="XDG1039916" s="171"/>
      <c r="XDH1039916" s="170"/>
      <c r="XDI1039916" s="170"/>
      <c r="XDJ1039916" s="170"/>
      <c r="XDK1039916" s="171"/>
      <c r="XDL1039916" s="170"/>
    </row>
    <row r="1039917" spans="16322:16340">
      <c r="XCT1039917" s="195"/>
      <c r="XCU1039917" s="195"/>
      <c r="XCV1039917" s="195"/>
      <c r="XCW1039917" s="169"/>
      <c r="XCX1039917" s="169"/>
      <c r="XCY1039917" s="169"/>
      <c r="XCZ1039917" s="169"/>
      <c r="XDA1039917" s="169"/>
      <c r="XDB1039917" s="169"/>
      <c r="XDC1039917" s="169"/>
      <c r="XDD1039917" s="169"/>
      <c r="XDE1039917" s="169"/>
      <c r="XDF1039917" s="169"/>
      <c r="XDG1039917" s="169"/>
      <c r="XDH1039917" s="169"/>
      <c r="XDI1039917" s="169"/>
      <c r="XDJ1039917" s="169"/>
      <c r="XDK1039917" s="169"/>
      <c r="XDL1039917" s="169"/>
    </row>
    <row r="1039918" spans="16322:16340">
      <c r="XCT1039918" s="173"/>
      <c r="XCU1039918" s="174"/>
      <c r="XCV1039918" s="175"/>
      <c r="XCW1039918" s="170"/>
      <c r="XCX1039918" s="170"/>
      <c r="XCY1039918" s="170"/>
      <c r="XCZ1039918" s="170"/>
      <c r="XDA1039918" s="170"/>
      <c r="XDB1039918" s="170"/>
      <c r="XDC1039918" s="170"/>
      <c r="XDD1039918" s="170"/>
      <c r="XDE1039918" s="170"/>
      <c r="XDF1039918" s="170"/>
      <c r="XDG1039918" s="170"/>
      <c r="XDH1039918" s="170"/>
      <c r="XDI1039918" s="170"/>
      <c r="XDJ1039918" s="170"/>
      <c r="XDK1039918" s="170"/>
      <c r="XDL1039918" s="170"/>
    </row>
    <row r="1039919" spans="16322:16340">
      <c r="XCT1039919" s="194"/>
      <c r="XCU1039919" s="194"/>
      <c r="XCV1039919" s="194"/>
      <c r="XCW1039919" s="168"/>
      <c r="XCX1039919" s="168"/>
      <c r="XCY1039919" s="168"/>
      <c r="XCZ1039919" s="168"/>
      <c r="XDA1039919" s="168"/>
      <c r="XDB1039919" s="168"/>
      <c r="XDC1039919" s="168"/>
      <c r="XDD1039919" s="168"/>
      <c r="XDE1039919" s="168"/>
      <c r="XDF1039919" s="168"/>
      <c r="XDG1039919" s="168"/>
      <c r="XDH1039919" s="168"/>
      <c r="XDI1039919" s="168"/>
      <c r="XDJ1039919" s="168"/>
      <c r="XDK1039919" s="168"/>
      <c r="XDL1039919" s="168"/>
    </row>
    <row r="1039920" spans="16322:16340">
      <c r="XCT1039920" s="192"/>
      <c r="XCU1039920" s="192"/>
      <c r="XCV1039920" s="192"/>
      <c r="XCW1039920" s="169"/>
      <c r="XCX1039920" s="169"/>
      <c r="XCY1039920" s="169"/>
      <c r="XCZ1039920" s="169"/>
      <c r="XDA1039920" s="169"/>
      <c r="XDB1039920" s="169"/>
      <c r="XDC1039920" s="169"/>
      <c r="XDD1039920" s="169"/>
      <c r="XDE1039920" s="169"/>
      <c r="XDF1039920" s="169"/>
      <c r="XDG1039920" s="169"/>
      <c r="XDH1039920" s="169"/>
      <c r="XDI1039920" s="169"/>
      <c r="XDJ1039920" s="169"/>
      <c r="XDK1039920" s="169"/>
      <c r="XDL1039920" s="169"/>
    </row>
    <row r="1039921" spans="16322:16340">
      <c r="XCT1039921" s="191"/>
      <c r="XCU1039921" s="191"/>
      <c r="XCV1039921" s="191"/>
      <c r="XCW1039921" s="170"/>
      <c r="XCX1039921" s="170"/>
      <c r="XCY1039921" s="170"/>
      <c r="XCZ1039921" s="170"/>
      <c r="XDA1039921" s="170"/>
      <c r="XDB1039921" s="170"/>
      <c r="XDC1039921" s="170"/>
      <c r="XDD1039921" s="170"/>
      <c r="XDE1039921" s="170"/>
      <c r="XDF1039921" s="170"/>
      <c r="XDG1039921" s="170"/>
      <c r="XDH1039921" s="170"/>
      <c r="XDI1039921" s="170"/>
      <c r="XDJ1039921" s="170"/>
      <c r="XDK1039921" s="170"/>
      <c r="XDL1039921" s="170"/>
    </row>
    <row r="1039922" spans="16322:16340">
      <c r="XCT1039922" s="191"/>
      <c r="XCU1039922" s="191"/>
      <c r="XCV1039922" s="191"/>
      <c r="XCW1039922" s="170"/>
      <c r="XCX1039922" s="170"/>
      <c r="XCY1039922" s="170"/>
      <c r="XCZ1039922" s="170"/>
      <c r="XDA1039922" s="170"/>
      <c r="XDB1039922" s="170"/>
      <c r="XDC1039922" s="170"/>
      <c r="XDD1039922" s="170"/>
      <c r="XDE1039922" s="170"/>
      <c r="XDF1039922" s="170"/>
      <c r="XDG1039922" s="170"/>
      <c r="XDH1039922" s="170"/>
      <c r="XDI1039922" s="170"/>
      <c r="XDJ1039922" s="170"/>
      <c r="XDK1039922" s="170"/>
      <c r="XDL1039922" s="170"/>
    </row>
    <row r="1039923" spans="16322:16340">
      <c r="XCT1039923" s="191"/>
      <c r="XCU1039923" s="191"/>
      <c r="XCV1039923" s="191"/>
      <c r="XCW1039923" s="170"/>
      <c r="XCX1039923" s="170"/>
      <c r="XCY1039923" s="170"/>
      <c r="XCZ1039923" s="170"/>
      <c r="XDA1039923" s="170"/>
      <c r="XDB1039923" s="170"/>
      <c r="XDC1039923" s="170"/>
      <c r="XDD1039923" s="170"/>
      <c r="XDE1039923" s="170"/>
      <c r="XDF1039923" s="170"/>
      <c r="XDG1039923" s="170"/>
      <c r="XDH1039923" s="170"/>
      <c r="XDI1039923" s="170"/>
      <c r="XDJ1039923" s="170"/>
      <c r="XDK1039923" s="170"/>
      <c r="XDL1039923" s="170"/>
    </row>
    <row r="1039924" spans="16322:16340">
      <c r="XCT1039924" s="191"/>
      <c r="XCU1039924" s="191"/>
      <c r="XCV1039924" s="191"/>
      <c r="XCW1039924" s="170"/>
      <c r="XCX1039924" s="170"/>
      <c r="XCY1039924" s="170"/>
      <c r="XCZ1039924" s="170"/>
      <c r="XDA1039924" s="170"/>
      <c r="XDB1039924" s="170"/>
      <c r="XDC1039924" s="170"/>
      <c r="XDD1039924" s="170"/>
      <c r="XDE1039924" s="171"/>
      <c r="XDF1039924" s="171"/>
      <c r="XDG1039924" s="170"/>
      <c r="XDH1039924" s="171"/>
      <c r="XDI1039924" s="170"/>
      <c r="XDJ1039924" s="170"/>
      <c r="XDK1039924" s="170"/>
      <c r="XDL1039924" s="170"/>
    </row>
    <row r="1039925" spans="16322:16340">
      <c r="XCT1039925" s="192"/>
      <c r="XCU1039925" s="192"/>
      <c r="XCV1039925" s="192"/>
      <c r="XCW1039925" s="169"/>
      <c r="XCX1039925" s="169"/>
      <c r="XCY1039925" s="169"/>
      <c r="XCZ1039925" s="169"/>
      <c r="XDA1039925" s="169"/>
      <c r="XDB1039925" s="169"/>
      <c r="XDC1039925" s="169"/>
      <c r="XDD1039925" s="169"/>
      <c r="XDE1039925" s="176"/>
      <c r="XDF1039925" s="176"/>
      <c r="XDG1039925" s="169"/>
      <c r="XDH1039925" s="176"/>
      <c r="XDI1039925" s="176"/>
      <c r="XDJ1039925" s="176"/>
      <c r="XDK1039925" s="169"/>
      <c r="XDL1039925" s="176"/>
    </row>
    <row r="1039926" spans="16322:16340">
      <c r="XCT1039926" s="191"/>
      <c r="XCU1039926" s="191"/>
      <c r="XCV1039926" s="191"/>
      <c r="XCW1039926" s="170"/>
      <c r="XCX1039926" s="170"/>
      <c r="XCY1039926" s="170"/>
      <c r="XCZ1039926" s="170"/>
      <c r="XDA1039926" s="170"/>
      <c r="XDB1039926" s="170"/>
      <c r="XDC1039926" s="170"/>
      <c r="XDD1039926" s="170"/>
      <c r="XDE1039926" s="171"/>
      <c r="XDF1039926" s="171"/>
      <c r="XDG1039926" s="170"/>
      <c r="XDH1039926" s="171"/>
      <c r="XDI1039926" s="171"/>
      <c r="XDJ1039926" s="171"/>
      <c r="XDK1039926" s="170"/>
      <c r="XDL1039926" s="171"/>
    </row>
    <row r="1039927" spans="16322:16340">
      <c r="XCT1039927" s="192"/>
      <c r="XCU1039927" s="192"/>
      <c r="XCV1039927" s="192"/>
      <c r="XCW1039927" s="169"/>
      <c r="XCX1039927" s="169"/>
      <c r="XCY1039927" s="169"/>
      <c r="XCZ1039927" s="169"/>
      <c r="XDA1039927" s="169"/>
      <c r="XDB1039927" s="169"/>
      <c r="XDC1039927" s="169"/>
      <c r="XDD1039927" s="169"/>
      <c r="XDE1039927" s="169"/>
      <c r="XDF1039927" s="169"/>
      <c r="XDG1039927" s="169"/>
      <c r="XDH1039927" s="169"/>
      <c r="XDI1039927" s="169"/>
      <c r="XDJ1039927" s="169"/>
      <c r="XDK1039927" s="169"/>
      <c r="XDL1039927" s="169"/>
    </row>
    <row r="1039928" spans="16322:16340">
      <c r="XCT1039928" s="191"/>
      <c r="XCU1039928" s="191"/>
      <c r="XCV1039928" s="191"/>
      <c r="XCW1039928" s="170"/>
      <c r="XCX1039928" s="170"/>
      <c r="XCY1039928" s="170"/>
      <c r="XCZ1039928" s="170"/>
      <c r="XDA1039928" s="170"/>
      <c r="XDB1039928" s="170"/>
      <c r="XDC1039928" s="170"/>
      <c r="XDD1039928" s="170"/>
      <c r="XDE1039928" s="170"/>
      <c r="XDF1039928" s="170"/>
      <c r="XDG1039928" s="170"/>
      <c r="XDH1039928" s="170"/>
      <c r="XDI1039928" s="170"/>
      <c r="XDJ1039928" s="170"/>
      <c r="XDK1039928" s="170"/>
      <c r="XDL1039928" s="170"/>
    </row>
    <row r="1039929" spans="16322:16340">
      <c r="XCT1039929" s="191"/>
      <c r="XCU1039929" s="191"/>
      <c r="XCV1039929" s="191"/>
      <c r="XCW1039929" s="170"/>
      <c r="XCX1039929" s="170"/>
      <c r="XCY1039929" s="170"/>
      <c r="XCZ1039929" s="170"/>
      <c r="XDA1039929" s="170"/>
      <c r="XDB1039929" s="170"/>
      <c r="XDC1039929" s="170"/>
      <c r="XDD1039929" s="170"/>
      <c r="XDE1039929" s="170"/>
      <c r="XDF1039929" s="170"/>
      <c r="XDG1039929" s="170"/>
      <c r="XDH1039929" s="170"/>
      <c r="XDI1039929" s="170"/>
      <c r="XDJ1039929" s="170"/>
      <c r="XDK1039929" s="170"/>
      <c r="XDL1039929" s="170"/>
    </row>
    <row r="1039930" spans="16322:16340">
      <c r="XCT1039930" s="191"/>
      <c r="XCU1039930" s="191"/>
      <c r="XCV1039930" s="191"/>
      <c r="XCW1039930" s="170"/>
      <c r="XCX1039930" s="170"/>
      <c r="XCY1039930" s="170"/>
      <c r="XCZ1039930" s="170"/>
      <c r="XDA1039930" s="170"/>
      <c r="XDB1039930" s="170"/>
      <c r="XDC1039930" s="170"/>
      <c r="XDD1039930" s="170"/>
      <c r="XDE1039930" s="170"/>
      <c r="XDF1039930" s="170"/>
      <c r="XDG1039930" s="170"/>
      <c r="XDH1039930" s="170"/>
      <c r="XDI1039930" s="170"/>
      <c r="XDJ1039930" s="170"/>
      <c r="XDK1039930" s="170"/>
      <c r="XDL1039930" s="170"/>
    </row>
    <row r="1039931" spans="16322:16340">
      <c r="XCT1039931" s="191"/>
      <c r="XCU1039931" s="191"/>
      <c r="XCV1039931" s="191"/>
      <c r="XCW1039931" s="170"/>
      <c r="XCX1039931" s="170"/>
      <c r="XCY1039931" s="170"/>
      <c r="XCZ1039931" s="170"/>
      <c r="XDA1039931" s="170"/>
      <c r="XDB1039931" s="170"/>
      <c r="XDC1039931" s="170"/>
      <c r="XDD1039931" s="170"/>
      <c r="XDE1039931" s="170"/>
      <c r="XDF1039931" s="170"/>
      <c r="XDG1039931" s="170"/>
      <c r="XDH1039931" s="170"/>
      <c r="XDI1039931" s="170"/>
      <c r="XDJ1039931" s="170"/>
      <c r="XDK1039931" s="170"/>
      <c r="XDL1039931" s="170"/>
    </row>
    <row r="1039932" spans="16322:16340">
      <c r="XCT1039932" s="192"/>
      <c r="XCU1039932" s="192"/>
      <c r="XCV1039932" s="192"/>
      <c r="XCW1039932" s="169"/>
      <c r="XCX1039932" s="169"/>
      <c r="XCY1039932" s="169"/>
      <c r="XCZ1039932" s="169"/>
      <c r="XDA1039932" s="169"/>
      <c r="XDB1039932" s="169"/>
      <c r="XDC1039932" s="169"/>
      <c r="XDD1039932" s="169"/>
      <c r="XDE1039932" s="169"/>
      <c r="XDF1039932" s="169"/>
      <c r="XDG1039932" s="169"/>
      <c r="XDH1039932" s="169"/>
      <c r="XDI1039932" s="176"/>
      <c r="XDJ1039932" s="176"/>
      <c r="XDK1039932" s="169"/>
      <c r="XDL1039932" s="176"/>
    </row>
    <row r="1039933" spans="16322:16340">
      <c r="XCT1039933" s="191"/>
      <c r="XCU1039933" s="191"/>
      <c r="XCV1039933" s="191"/>
      <c r="XCW1039933" s="170"/>
      <c r="XCX1039933" s="170"/>
      <c r="XCY1039933" s="170"/>
      <c r="XCZ1039933" s="170"/>
      <c r="XDA1039933" s="170"/>
      <c r="XDB1039933" s="170"/>
      <c r="XDC1039933" s="170"/>
      <c r="XDD1039933" s="170"/>
      <c r="XDE1039933" s="171"/>
      <c r="XDF1039933" s="171"/>
      <c r="XDG1039933" s="170"/>
      <c r="XDH1039933" s="171"/>
      <c r="XDI1039933" s="171"/>
      <c r="XDJ1039933" s="171"/>
      <c r="XDK1039933" s="170"/>
      <c r="XDL1039933" s="171"/>
    </row>
    <row r="1039934" spans="16322:16340">
      <c r="XCT1039934" s="191"/>
      <c r="XCU1039934" s="191"/>
      <c r="XCV1039934" s="191"/>
      <c r="XCW1039934" s="170"/>
      <c r="XCX1039934" s="170"/>
      <c r="XCY1039934" s="170"/>
      <c r="XCZ1039934" s="170"/>
      <c r="XDA1039934" s="170"/>
      <c r="XDB1039934" s="170"/>
      <c r="XDC1039934" s="170"/>
      <c r="XDD1039934" s="170"/>
      <c r="XDE1039934" s="170"/>
      <c r="XDF1039934" s="170"/>
      <c r="XDG1039934" s="170"/>
      <c r="XDH1039934" s="170"/>
      <c r="XDI1039934" s="171"/>
      <c r="XDJ1039934" s="171"/>
      <c r="XDK1039934" s="170"/>
      <c r="XDL1039934" s="171"/>
    </row>
    <row r="1039935" spans="16322:16340">
      <c r="XCT1039935" s="191"/>
      <c r="XCU1039935" s="191"/>
      <c r="XCV1039935" s="191"/>
      <c r="XCW1039935" s="170"/>
      <c r="XCX1039935" s="171"/>
      <c r="XCY1039935" s="171"/>
      <c r="XCZ1039935" s="172"/>
      <c r="XDA1039935" s="172"/>
      <c r="XDB1039935" s="171"/>
      <c r="XDC1039935" s="171"/>
      <c r="XDD1039935" s="171"/>
      <c r="XDE1039935" s="171"/>
      <c r="XDF1039935" s="171"/>
      <c r="XDG1039935" s="171"/>
      <c r="XDH1039935" s="171"/>
      <c r="XDI1039935" s="171"/>
      <c r="XDJ1039935" s="171"/>
      <c r="XDK1039935" s="171"/>
      <c r="XDL1039935" s="171"/>
    </row>
    <row r="1039936" spans="16322:16340">
      <c r="XCT1039936" s="192"/>
      <c r="XCU1039936" s="192"/>
      <c r="XCV1039936" s="192"/>
      <c r="XCW1039936" s="169"/>
      <c r="XCX1039936" s="169"/>
      <c r="XCY1039936" s="169"/>
      <c r="XCZ1039936" s="169"/>
      <c r="XDA1039936" s="169"/>
      <c r="XDB1039936" s="169"/>
      <c r="XDC1039936" s="169"/>
      <c r="XDD1039936" s="169"/>
      <c r="XDE1039936" s="169"/>
      <c r="XDF1039936" s="169"/>
      <c r="XDG1039936" s="169"/>
      <c r="XDH1039936" s="169"/>
      <c r="XDI1039936" s="169"/>
      <c r="XDJ1039936" s="169"/>
      <c r="XDK1039936" s="169"/>
      <c r="XDL1039936" s="169"/>
    </row>
    <row r="1039937" spans="16322:16340">
      <c r="XCT1039937" s="191"/>
      <c r="XCU1039937" s="191"/>
      <c r="XCV1039937" s="191"/>
      <c r="XCW1039937" s="170"/>
      <c r="XCX1039937" s="170"/>
      <c r="XCY1039937" s="170"/>
      <c r="XCZ1039937" s="170"/>
      <c r="XDA1039937" s="170"/>
      <c r="XDB1039937" s="170"/>
      <c r="XDC1039937" s="170"/>
      <c r="XDD1039937" s="170"/>
      <c r="XDE1039937" s="170"/>
      <c r="XDF1039937" s="170"/>
      <c r="XDG1039937" s="170"/>
      <c r="XDH1039937" s="170"/>
      <c r="XDI1039937" s="170"/>
      <c r="XDJ1039937" s="170"/>
      <c r="XDK1039937" s="170"/>
      <c r="XDL1039937" s="170"/>
    </row>
    <row r="1039938" spans="16322:16340">
      <c r="XCT1039938" s="191"/>
      <c r="XCU1039938" s="191"/>
      <c r="XCV1039938" s="191"/>
      <c r="XCW1039938" s="170"/>
      <c r="XCX1039938" s="170"/>
      <c r="XCY1039938" s="170"/>
      <c r="XCZ1039938" s="170"/>
      <c r="XDA1039938" s="170"/>
      <c r="XDB1039938" s="170"/>
      <c r="XDC1039938" s="170"/>
      <c r="XDD1039938" s="170"/>
      <c r="XDE1039938" s="170"/>
      <c r="XDF1039938" s="170"/>
      <c r="XDG1039938" s="170"/>
      <c r="XDH1039938" s="170"/>
      <c r="XDI1039938" s="170"/>
      <c r="XDJ1039938" s="170"/>
      <c r="XDK1039938" s="170"/>
      <c r="XDL1039938" s="170"/>
    </row>
    <row r="1039939" spans="16322:16340">
      <c r="XCT1039939" s="191"/>
      <c r="XCU1039939" s="191"/>
      <c r="XCV1039939" s="191"/>
      <c r="XCW1039939" s="170"/>
      <c r="XCX1039939" s="170"/>
      <c r="XCY1039939" s="170"/>
      <c r="XCZ1039939" s="170"/>
      <c r="XDA1039939" s="170"/>
      <c r="XDB1039939" s="170"/>
      <c r="XDC1039939" s="170"/>
      <c r="XDD1039939" s="170"/>
      <c r="XDE1039939" s="170"/>
      <c r="XDF1039939" s="170"/>
      <c r="XDG1039939" s="170"/>
      <c r="XDH1039939" s="170"/>
      <c r="XDI1039939" s="170"/>
      <c r="XDJ1039939" s="170"/>
      <c r="XDK1039939" s="170"/>
      <c r="XDL1039939" s="170"/>
    </row>
    <row r="1039940" spans="16322:16340">
      <c r="XCT1039940" s="191"/>
      <c r="XCU1039940" s="191"/>
      <c r="XCV1039940" s="191"/>
      <c r="XCW1039940" s="170"/>
      <c r="XCX1039940" s="170"/>
      <c r="XCY1039940" s="170"/>
      <c r="XCZ1039940" s="170"/>
      <c r="XDA1039940" s="170"/>
      <c r="XDB1039940" s="170"/>
      <c r="XDC1039940" s="170"/>
      <c r="XDD1039940" s="170"/>
      <c r="XDE1039940" s="170"/>
      <c r="XDF1039940" s="170"/>
      <c r="XDG1039940" s="170"/>
      <c r="XDH1039940" s="170"/>
      <c r="XDI1039940" s="170"/>
      <c r="XDJ1039940" s="170"/>
      <c r="XDK1039940" s="170"/>
      <c r="XDL1039940" s="170"/>
    </row>
    <row r="1039941" spans="16322:16340">
      <c r="XCT1039941" s="191"/>
      <c r="XCU1039941" s="191"/>
      <c r="XCV1039941" s="191"/>
      <c r="XCW1039941" s="170"/>
      <c r="XCX1039941" s="170"/>
      <c r="XCY1039941" s="170"/>
      <c r="XCZ1039941" s="170"/>
      <c r="XDA1039941" s="170"/>
      <c r="XDB1039941" s="170"/>
      <c r="XDC1039941" s="170"/>
      <c r="XDD1039941" s="170"/>
      <c r="XDE1039941" s="170"/>
      <c r="XDF1039941" s="170"/>
      <c r="XDG1039941" s="170"/>
      <c r="XDH1039941" s="170"/>
      <c r="XDI1039941" s="170"/>
      <c r="XDJ1039941" s="170"/>
      <c r="XDK1039941" s="170"/>
      <c r="XDL1039941" s="170"/>
    </row>
    <row r="1039942" spans="16322:16340">
      <c r="XCT1039942" s="192"/>
      <c r="XCU1039942" s="192"/>
      <c r="XCV1039942" s="192"/>
      <c r="XCW1039942" s="169"/>
      <c r="XCX1039942" s="169"/>
      <c r="XCY1039942" s="169"/>
      <c r="XCZ1039942" s="169"/>
      <c r="XDA1039942" s="169"/>
      <c r="XDB1039942" s="169"/>
      <c r="XDC1039942" s="169"/>
      <c r="XDD1039942" s="169"/>
      <c r="XDE1039942" s="169"/>
      <c r="XDF1039942" s="169"/>
      <c r="XDG1039942" s="169"/>
      <c r="XDH1039942" s="169"/>
      <c r="XDI1039942" s="169"/>
      <c r="XDJ1039942" s="169"/>
      <c r="XDK1039942" s="169"/>
      <c r="XDL1039942" s="169"/>
    </row>
    <row r="1039943" spans="16322:16340">
      <c r="XCT1039943" s="191"/>
      <c r="XCU1039943" s="191"/>
      <c r="XCV1039943" s="191"/>
      <c r="XCW1039943" s="170"/>
      <c r="XCX1039943" s="170"/>
      <c r="XCY1039943" s="170"/>
      <c r="XCZ1039943" s="170"/>
      <c r="XDA1039943" s="170"/>
      <c r="XDB1039943" s="170"/>
      <c r="XDC1039943" s="170"/>
      <c r="XDD1039943" s="170"/>
      <c r="XDE1039943" s="170"/>
      <c r="XDF1039943" s="170"/>
      <c r="XDG1039943" s="170"/>
      <c r="XDH1039943" s="170"/>
      <c r="XDI1039943" s="170"/>
      <c r="XDJ1039943" s="170"/>
      <c r="XDK1039943" s="170"/>
      <c r="XDL1039943" s="170"/>
    </row>
    <row r="1039944" spans="16322:16340">
      <c r="XCT1039944" s="191"/>
      <c r="XCU1039944" s="191"/>
      <c r="XCV1039944" s="191"/>
      <c r="XCW1039944" s="170"/>
      <c r="XCX1039944" s="170"/>
      <c r="XCY1039944" s="170"/>
      <c r="XCZ1039944" s="170"/>
      <c r="XDA1039944" s="170"/>
      <c r="XDB1039944" s="170"/>
      <c r="XDC1039944" s="170"/>
      <c r="XDD1039944" s="170"/>
      <c r="XDE1039944" s="170"/>
      <c r="XDF1039944" s="170"/>
      <c r="XDG1039944" s="170"/>
      <c r="XDH1039944" s="170"/>
      <c r="XDI1039944" s="170"/>
      <c r="XDJ1039944" s="170"/>
      <c r="XDK1039944" s="170"/>
      <c r="XDL1039944" s="170"/>
    </row>
    <row r="1039945" spans="16322:16340">
      <c r="XCT1039945" s="191"/>
      <c r="XCU1039945" s="191"/>
      <c r="XCV1039945" s="191"/>
      <c r="XCW1039945" s="170"/>
      <c r="XCX1039945" s="170"/>
      <c r="XCY1039945" s="170"/>
      <c r="XCZ1039945" s="170"/>
      <c r="XDA1039945" s="170"/>
      <c r="XDB1039945" s="170"/>
      <c r="XDC1039945" s="170"/>
      <c r="XDD1039945" s="170"/>
      <c r="XDE1039945" s="170"/>
      <c r="XDF1039945" s="170"/>
      <c r="XDG1039945" s="170"/>
      <c r="XDH1039945" s="170"/>
      <c r="XDI1039945" s="170"/>
      <c r="XDJ1039945" s="170"/>
      <c r="XDK1039945" s="170"/>
      <c r="XDL1039945" s="170"/>
    </row>
    <row r="1039946" spans="16322:16340">
      <c r="XCT1039946" s="191"/>
      <c r="XCU1039946" s="191"/>
      <c r="XCV1039946" s="191"/>
      <c r="XCW1039946" s="170"/>
      <c r="XCX1039946" s="170"/>
      <c r="XCY1039946" s="170"/>
      <c r="XCZ1039946" s="170"/>
      <c r="XDA1039946" s="170"/>
      <c r="XDB1039946" s="170"/>
      <c r="XDC1039946" s="170"/>
      <c r="XDD1039946" s="170"/>
      <c r="XDE1039946" s="170"/>
      <c r="XDF1039946" s="170"/>
      <c r="XDG1039946" s="170"/>
      <c r="XDH1039946" s="170"/>
      <c r="XDI1039946" s="170"/>
      <c r="XDJ1039946" s="170"/>
      <c r="XDK1039946" s="170"/>
      <c r="XDL1039946" s="170"/>
    </row>
    <row r="1039947" spans="16322:16340">
      <c r="XCT1039947" s="192"/>
      <c r="XCU1039947" s="192"/>
      <c r="XCV1039947" s="192"/>
      <c r="XCW1039947" s="169"/>
      <c r="XCX1039947" s="169"/>
      <c r="XCY1039947" s="169"/>
      <c r="XCZ1039947" s="169"/>
      <c r="XDA1039947" s="169"/>
      <c r="XDB1039947" s="169"/>
      <c r="XDC1039947" s="169"/>
      <c r="XDD1039947" s="169"/>
      <c r="XDE1039947" s="169"/>
      <c r="XDF1039947" s="169"/>
      <c r="XDG1039947" s="169"/>
      <c r="XDH1039947" s="169"/>
      <c r="XDI1039947" s="176"/>
      <c r="XDJ1039947" s="176"/>
      <c r="XDK1039947" s="169"/>
      <c r="XDL1039947" s="176"/>
    </row>
    <row r="1039948" spans="16322:16340">
      <c r="XCT1039948" s="191"/>
      <c r="XCU1039948" s="191"/>
      <c r="XCV1039948" s="191"/>
      <c r="XCW1039948" s="170"/>
      <c r="XCX1039948" s="170"/>
      <c r="XCY1039948" s="170"/>
      <c r="XCZ1039948" s="170"/>
      <c r="XDA1039948" s="170"/>
      <c r="XDB1039948" s="170"/>
      <c r="XDC1039948" s="170"/>
      <c r="XDD1039948" s="170"/>
      <c r="XDE1039948" s="171"/>
      <c r="XDF1039948" s="170"/>
      <c r="XDG1039948" s="170"/>
      <c r="XDH1039948" s="170"/>
      <c r="XDI1039948" s="171"/>
      <c r="XDJ1039948" s="171"/>
      <c r="XDK1039948" s="170"/>
      <c r="XDL1039948" s="171"/>
    </row>
    <row r="1039949" spans="16322:16340">
      <c r="XCT1039949" s="191"/>
      <c r="XCU1039949" s="191"/>
      <c r="XCV1039949" s="191"/>
      <c r="XCW1039949" s="170"/>
      <c r="XCX1039949" s="170"/>
      <c r="XCY1039949" s="170"/>
      <c r="XCZ1039949" s="170"/>
      <c r="XDA1039949" s="170"/>
      <c r="XDB1039949" s="170"/>
      <c r="XDC1039949" s="170"/>
      <c r="XDD1039949" s="170"/>
      <c r="XDE1039949" s="170"/>
      <c r="XDF1039949" s="170"/>
      <c r="XDG1039949" s="170"/>
      <c r="XDH1039949" s="170"/>
      <c r="XDI1039949" s="171"/>
      <c r="XDJ1039949" s="171"/>
      <c r="XDK1039949" s="170"/>
      <c r="XDL1039949" s="171"/>
    </row>
    <row r="1039950" spans="16322:16340">
      <c r="XCT1039950" s="191"/>
      <c r="XCU1039950" s="191"/>
      <c r="XCV1039950" s="191"/>
      <c r="XCW1039950" s="171"/>
      <c r="XCX1039950" s="171"/>
      <c r="XCY1039950" s="171"/>
      <c r="XCZ1039950" s="172"/>
      <c r="XDA1039950" s="170"/>
      <c r="XDB1039950" s="170"/>
      <c r="XDC1039950" s="171"/>
      <c r="XDD1039950" s="170"/>
      <c r="XDE1039950" s="171"/>
      <c r="XDF1039950" s="171"/>
      <c r="XDG1039950" s="171"/>
      <c r="XDH1039950" s="171"/>
      <c r="XDI1039950" s="171"/>
      <c r="XDJ1039950" s="171"/>
      <c r="XDK1039950" s="171"/>
      <c r="XDL1039950" s="171"/>
    </row>
    <row r="1039951" spans="16322:16340">
      <c r="XCT1039951" s="192"/>
      <c r="XCU1039951" s="192"/>
      <c r="XCV1039951" s="192"/>
      <c r="XCW1039951" s="169"/>
      <c r="XCX1039951" s="169"/>
      <c r="XCY1039951" s="169"/>
      <c r="XCZ1039951" s="169"/>
      <c r="XDA1039951" s="169"/>
      <c r="XDB1039951" s="169"/>
      <c r="XDC1039951" s="169"/>
      <c r="XDD1039951" s="169"/>
      <c r="XDE1039951" s="169"/>
      <c r="XDF1039951" s="169"/>
      <c r="XDG1039951" s="169"/>
      <c r="XDH1039951" s="169"/>
      <c r="XDI1039951" s="169"/>
      <c r="XDJ1039951" s="169"/>
      <c r="XDK1039951" s="169"/>
      <c r="XDL1039951" s="169"/>
    </row>
    <row r="1039952" spans="16322:16340">
      <c r="XCT1039952" s="191"/>
      <c r="XCU1039952" s="191"/>
      <c r="XCV1039952" s="191"/>
      <c r="XCW1039952" s="170"/>
      <c r="XCX1039952" s="170"/>
      <c r="XCY1039952" s="170"/>
      <c r="XCZ1039952" s="170"/>
      <c r="XDA1039952" s="170"/>
      <c r="XDB1039952" s="170"/>
      <c r="XDC1039952" s="170"/>
      <c r="XDD1039952" s="170"/>
      <c r="XDE1039952" s="170"/>
      <c r="XDF1039952" s="170"/>
      <c r="XDG1039952" s="170"/>
      <c r="XDH1039952" s="170"/>
      <c r="XDI1039952" s="170"/>
      <c r="XDJ1039952" s="170"/>
      <c r="XDK1039952" s="170"/>
      <c r="XDL1039952" s="170"/>
    </row>
    <row r="1039953" spans="16322:16340">
      <c r="XCT1039953" s="191"/>
      <c r="XCU1039953" s="191"/>
      <c r="XCV1039953" s="191"/>
      <c r="XCW1039953" s="170"/>
      <c r="XCX1039953" s="170"/>
      <c r="XCY1039953" s="170"/>
      <c r="XCZ1039953" s="170"/>
      <c r="XDA1039953" s="170"/>
      <c r="XDB1039953" s="170"/>
      <c r="XDC1039953" s="170"/>
      <c r="XDD1039953" s="170"/>
      <c r="XDE1039953" s="170"/>
      <c r="XDF1039953" s="170"/>
      <c r="XDG1039953" s="170"/>
      <c r="XDH1039953" s="170"/>
      <c r="XDI1039953" s="170"/>
      <c r="XDJ1039953" s="170"/>
      <c r="XDK1039953" s="170"/>
      <c r="XDL1039953" s="170"/>
    </row>
    <row r="1039954" spans="16322:16340">
      <c r="XCT1039954" s="191"/>
      <c r="XCU1039954" s="191"/>
      <c r="XCV1039954" s="191"/>
      <c r="XCW1039954" s="170"/>
      <c r="XCX1039954" s="170"/>
      <c r="XCY1039954" s="170"/>
      <c r="XCZ1039954" s="170"/>
      <c r="XDA1039954" s="170"/>
      <c r="XDB1039954" s="170"/>
      <c r="XDC1039954" s="170"/>
      <c r="XDD1039954" s="170"/>
      <c r="XDE1039954" s="170"/>
      <c r="XDF1039954" s="170"/>
      <c r="XDG1039954" s="170"/>
      <c r="XDH1039954" s="170"/>
      <c r="XDI1039954" s="170"/>
      <c r="XDJ1039954" s="170"/>
      <c r="XDK1039954" s="170"/>
      <c r="XDL1039954" s="170"/>
    </row>
    <row r="1039955" spans="16322:16340">
      <c r="XCT1039955" s="191"/>
      <c r="XCU1039955" s="191"/>
      <c r="XCV1039955" s="191"/>
      <c r="XCW1039955" s="170"/>
      <c r="XCX1039955" s="170"/>
      <c r="XCY1039955" s="170"/>
      <c r="XCZ1039955" s="170"/>
      <c r="XDA1039955" s="170"/>
      <c r="XDB1039955" s="170"/>
      <c r="XDC1039955" s="170"/>
      <c r="XDD1039955" s="170"/>
      <c r="XDE1039955" s="170"/>
      <c r="XDF1039955" s="170"/>
      <c r="XDG1039955" s="170"/>
      <c r="XDH1039955" s="170"/>
      <c r="XDI1039955" s="170"/>
      <c r="XDJ1039955" s="170"/>
      <c r="XDK1039955" s="170"/>
      <c r="XDL1039955" s="170"/>
    </row>
    <row r="1039956" spans="16322:16340">
      <c r="XCT1039956" s="191"/>
      <c r="XCU1039956" s="191"/>
      <c r="XCV1039956" s="191"/>
      <c r="XCW1039956" s="170"/>
      <c r="XCX1039956" s="170"/>
      <c r="XCY1039956" s="170"/>
      <c r="XCZ1039956" s="170"/>
      <c r="XDA1039956" s="170"/>
      <c r="XDB1039956" s="170"/>
      <c r="XDC1039956" s="170"/>
      <c r="XDD1039956" s="170"/>
      <c r="XDE1039956" s="170"/>
      <c r="XDF1039956" s="170"/>
      <c r="XDG1039956" s="170"/>
      <c r="XDH1039956" s="170"/>
      <c r="XDI1039956" s="170"/>
      <c r="XDJ1039956" s="170"/>
      <c r="XDK1039956" s="170"/>
      <c r="XDL1039956" s="170"/>
    </row>
    <row r="1039957" spans="16322:16340">
      <c r="XCT1039957" s="192"/>
      <c r="XCU1039957" s="192"/>
      <c r="XCV1039957" s="192"/>
      <c r="XCW1039957" s="169"/>
      <c r="XCX1039957" s="169"/>
      <c r="XCY1039957" s="169"/>
      <c r="XCZ1039957" s="169"/>
      <c r="XDA1039957" s="169"/>
      <c r="XDB1039957" s="169"/>
      <c r="XDC1039957" s="169"/>
      <c r="XDD1039957" s="169"/>
      <c r="XDE1039957" s="169"/>
      <c r="XDF1039957" s="169"/>
      <c r="XDG1039957" s="169"/>
      <c r="XDH1039957" s="169"/>
      <c r="XDI1039957" s="169"/>
      <c r="XDJ1039957" s="169"/>
      <c r="XDK1039957" s="169"/>
      <c r="XDL1039957" s="169"/>
    </row>
    <row r="1039958" spans="16322:16340">
      <c r="XCT1039958" s="191"/>
      <c r="XCU1039958" s="191"/>
      <c r="XCV1039958" s="191"/>
      <c r="XCW1039958" s="170"/>
      <c r="XCX1039958" s="170"/>
      <c r="XCY1039958" s="170"/>
      <c r="XCZ1039958" s="170"/>
      <c r="XDA1039958" s="170"/>
      <c r="XDB1039958" s="170"/>
      <c r="XDC1039958" s="170"/>
      <c r="XDD1039958" s="170"/>
      <c r="XDE1039958" s="170"/>
      <c r="XDF1039958" s="170"/>
      <c r="XDG1039958" s="170"/>
      <c r="XDH1039958" s="170"/>
      <c r="XDI1039958" s="170"/>
      <c r="XDJ1039958" s="170"/>
      <c r="XDK1039958" s="170"/>
      <c r="XDL1039958" s="170"/>
    </row>
    <row r="1039959" spans="16322:16340">
      <c r="XCT1039959" s="191"/>
      <c r="XCU1039959" s="191"/>
      <c r="XCV1039959" s="191"/>
      <c r="XCW1039959" s="170"/>
      <c r="XCX1039959" s="170"/>
      <c r="XCY1039959" s="170"/>
      <c r="XCZ1039959" s="170"/>
      <c r="XDA1039959" s="170"/>
      <c r="XDB1039959" s="170"/>
      <c r="XDC1039959" s="170"/>
      <c r="XDD1039959" s="170"/>
      <c r="XDE1039959" s="170"/>
      <c r="XDF1039959" s="170"/>
      <c r="XDG1039959" s="170"/>
      <c r="XDH1039959" s="170"/>
      <c r="XDI1039959" s="170"/>
      <c r="XDJ1039959" s="170"/>
      <c r="XDK1039959" s="170"/>
      <c r="XDL1039959" s="170"/>
    </row>
    <row r="1039960" spans="16322:16340">
      <c r="XCT1039960" s="191"/>
      <c r="XCU1039960" s="191"/>
      <c r="XCV1039960" s="191"/>
      <c r="XCW1039960" s="170"/>
      <c r="XCX1039960" s="170"/>
      <c r="XCY1039960" s="170"/>
      <c r="XCZ1039960" s="170"/>
      <c r="XDA1039960" s="170"/>
      <c r="XDB1039960" s="170"/>
      <c r="XDC1039960" s="170"/>
      <c r="XDD1039960" s="170"/>
      <c r="XDE1039960" s="170"/>
      <c r="XDF1039960" s="170"/>
      <c r="XDG1039960" s="170"/>
      <c r="XDH1039960" s="170"/>
      <c r="XDI1039960" s="170"/>
      <c r="XDJ1039960" s="170"/>
      <c r="XDK1039960" s="170"/>
      <c r="XDL1039960" s="170"/>
    </row>
    <row r="1039961" spans="16322:16340">
      <c r="XCT1039961" s="191"/>
      <c r="XCU1039961" s="191"/>
      <c r="XCV1039961" s="191"/>
      <c r="XCW1039961" s="170"/>
      <c r="XCX1039961" s="170"/>
      <c r="XCY1039961" s="170"/>
      <c r="XCZ1039961" s="170"/>
      <c r="XDA1039961" s="170"/>
      <c r="XDB1039961" s="170"/>
      <c r="XDC1039961" s="170"/>
      <c r="XDD1039961" s="170"/>
      <c r="XDE1039961" s="170"/>
      <c r="XDF1039961" s="170"/>
      <c r="XDG1039961" s="170"/>
      <c r="XDH1039961" s="170"/>
      <c r="XDI1039961" s="170"/>
      <c r="XDJ1039961" s="170"/>
      <c r="XDK1039961" s="170"/>
      <c r="XDL1039961" s="170"/>
    </row>
    <row r="1039962" spans="16322:16340">
      <c r="XCT1039962" s="191"/>
      <c r="XCU1039962" s="191"/>
      <c r="XCV1039962" s="191"/>
      <c r="XCW1039962" s="170"/>
      <c r="XCX1039962" s="170"/>
      <c r="XCY1039962" s="170"/>
      <c r="XCZ1039962" s="170"/>
      <c r="XDA1039962" s="170"/>
      <c r="XDB1039962" s="170"/>
      <c r="XDC1039962" s="170"/>
      <c r="XDD1039962" s="170"/>
      <c r="XDE1039962" s="170"/>
      <c r="XDF1039962" s="170"/>
      <c r="XDG1039962" s="170"/>
      <c r="XDH1039962" s="170"/>
      <c r="XDI1039962" s="170"/>
      <c r="XDJ1039962" s="170"/>
      <c r="XDK1039962" s="170"/>
      <c r="XDL1039962" s="170"/>
    </row>
    <row r="1039963" spans="16322:16340">
      <c r="XCT1039963" s="192"/>
      <c r="XCU1039963" s="192"/>
      <c r="XCV1039963" s="192"/>
      <c r="XCW1039963" s="169"/>
      <c r="XCX1039963" s="169"/>
      <c r="XCY1039963" s="169"/>
      <c r="XCZ1039963" s="169"/>
      <c r="XDA1039963" s="177"/>
      <c r="XDB1039963" s="176"/>
      <c r="XDC1039963" s="169"/>
      <c r="XDD1039963" s="176"/>
      <c r="XDE1039963" s="176"/>
      <c r="XDF1039963" s="176"/>
      <c r="XDG1039963" s="169"/>
      <c r="XDH1039963" s="176"/>
      <c r="XDI1039963" s="176"/>
      <c r="XDJ1039963" s="176"/>
      <c r="XDK1039963" s="169"/>
      <c r="XDL1039963" s="176"/>
    </row>
    <row r="1039964" spans="16322:16340">
      <c r="XCT1039964" s="191"/>
      <c r="XCU1039964" s="191"/>
      <c r="XCV1039964" s="191"/>
      <c r="XCW1039964" s="170"/>
      <c r="XCX1039964" s="170"/>
      <c r="XCY1039964" s="170"/>
      <c r="XCZ1039964" s="170"/>
      <c r="XDA1039964" s="172"/>
      <c r="XDB1039964" s="171"/>
      <c r="XDC1039964" s="170"/>
      <c r="XDD1039964" s="171"/>
      <c r="XDE1039964" s="171"/>
      <c r="XDF1039964" s="171"/>
      <c r="XDG1039964" s="170"/>
      <c r="XDH1039964" s="171"/>
      <c r="XDI1039964" s="171"/>
      <c r="XDJ1039964" s="171"/>
      <c r="XDK1039964" s="170"/>
      <c r="XDL1039964" s="171"/>
    </row>
    <row r="1039965" spans="16322:16340">
      <c r="XCT1039965" s="192"/>
      <c r="XCU1039965" s="192"/>
      <c r="XCV1039965" s="192"/>
      <c r="XCW1039965" s="169"/>
      <c r="XCX1039965" s="169"/>
      <c r="XCY1039965" s="169"/>
      <c r="XCZ1039965" s="169"/>
      <c r="XDA1039965" s="169"/>
      <c r="XDB1039965" s="169"/>
      <c r="XDC1039965" s="169"/>
      <c r="XDD1039965" s="169"/>
      <c r="XDE1039965" s="169"/>
      <c r="XDF1039965" s="169"/>
      <c r="XDG1039965" s="169"/>
      <c r="XDH1039965" s="169"/>
      <c r="XDI1039965" s="169"/>
      <c r="XDJ1039965" s="169"/>
      <c r="XDK1039965" s="169"/>
      <c r="XDL1039965" s="169"/>
    </row>
    <row r="1039966" spans="16322:16340">
      <c r="XCT1039966" s="191"/>
      <c r="XCU1039966" s="191"/>
      <c r="XCV1039966" s="191"/>
      <c r="XCW1039966" s="170"/>
      <c r="XCX1039966" s="170"/>
      <c r="XCY1039966" s="170"/>
      <c r="XCZ1039966" s="170"/>
      <c r="XDA1039966" s="170"/>
      <c r="XDB1039966" s="170"/>
      <c r="XDC1039966" s="170"/>
      <c r="XDD1039966" s="170"/>
      <c r="XDE1039966" s="170"/>
      <c r="XDF1039966" s="170"/>
      <c r="XDG1039966" s="170"/>
      <c r="XDH1039966" s="170"/>
      <c r="XDI1039966" s="170"/>
      <c r="XDJ1039966" s="170"/>
      <c r="XDK1039966" s="170"/>
      <c r="XDL1039966" s="170"/>
    </row>
    <row r="1039967" spans="16322:16340">
      <c r="XCT1039967" s="191"/>
      <c r="XCU1039967" s="191"/>
      <c r="XCV1039967" s="191"/>
      <c r="XCW1039967" s="170"/>
      <c r="XCX1039967" s="170"/>
      <c r="XCY1039967" s="170"/>
      <c r="XCZ1039967" s="170"/>
      <c r="XDA1039967" s="170"/>
      <c r="XDB1039967" s="170"/>
      <c r="XDC1039967" s="170"/>
      <c r="XDD1039967" s="170"/>
      <c r="XDE1039967" s="170"/>
      <c r="XDF1039967" s="170"/>
      <c r="XDG1039967" s="170"/>
      <c r="XDH1039967" s="170"/>
      <c r="XDI1039967" s="170"/>
      <c r="XDJ1039967" s="170"/>
      <c r="XDK1039967" s="170"/>
      <c r="XDL1039967" s="170"/>
    </row>
    <row r="1039968" spans="16322:16340">
      <c r="XCT1039968" s="191"/>
      <c r="XCU1039968" s="191"/>
      <c r="XCV1039968" s="191"/>
      <c r="XCW1039968" s="170"/>
      <c r="XCX1039968" s="170"/>
      <c r="XCY1039968" s="170"/>
      <c r="XCZ1039968" s="170"/>
      <c r="XDA1039968" s="170"/>
      <c r="XDB1039968" s="170"/>
      <c r="XDC1039968" s="170"/>
      <c r="XDD1039968" s="170"/>
      <c r="XDE1039968" s="170"/>
      <c r="XDF1039968" s="170"/>
      <c r="XDG1039968" s="170"/>
      <c r="XDH1039968" s="170"/>
      <c r="XDI1039968" s="170"/>
      <c r="XDJ1039968" s="170"/>
      <c r="XDK1039968" s="170"/>
      <c r="XDL1039968" s="170"/>
    </row>
    <row r="1039969" spans="16322:16340">
      <c r="XCT1039969" s="191"/>
      <c r="XCU1039969" s="191"/>
      <c r="XCV1039969" s="191"/>
      <c r="XCW1039969" s="170"/>
      <c r="XCX1039969" s="170"/>
      <c r="XCY1039969" s="170"/>
      <c r="XCZ1039969" s="170"/>
      <c r="XDA1039969" s="170"/>
      <c r="XDB1039969" s="170"/>
      <c r="XDC1039969" s="170"/>
      <c r="XDD1039969" s="170"/>
      <c r="XDE1039969" s="170"/>
      <c r="XDF1039969" s="170"/>
      <c r="XDG1039969" s="170"/>
      <c r="XDH1039969" s="170"/>
      <c r="XDI1039969" s="170"/>
      <c r="XDJ1039969" s="170"/>
      <c r="XDK1039969" s="170"/>
      <c r="XDL1039969" s="170"/>
    </row>
    <row r="1039970" spans="16322:16340">
      <c r="XCT1039970" s="191"/>
      <c r="XCU1039970" s="191"/>
      <c r="XCV1039970" s="191"/>
      <c r="XCW1039970" s="170"/>
      <c r="XCX1039970" s="170"/>
      <c r="XCY1039970" s="170"/>
      <c r="XCZ1039970" s="170"/>
      <c r="XDA1039970" s="170"/>
      <c r="XDB1039970" s="170"/>
      <c r="XDC1039970" s="170"/>
      <c r="XDD1039970" s="170"/>
      <c r="XDE1039970" s="170"/>
      <c r="XDF1039970" s="170"/>
      <c r="XDG1039970" s="170"/>
      <c r="XDH1039970" s="170"/>
      <c r="XDI1039970" s="170"/>
      <c r="XDJ1039970" s="170"/>
      <c r="XDK1039970" s="170"/>
      <c r="XDL1039970" s="170"/>
    </row>
    <row r="1039971" spans="16322:16340">
      <c r="XCT1039971" s="192"/>
      <c r="XCU1039971" s="192"/>
      <c r="XCV1039971" s="192"/>
      <c r="XCW1039971" s="169"/>
      <c r="XCX1039971" s="169"/>
      <c r="XCY1039971" s="169"/>
      <c r="XCZ1039971" s="169"/>
      <c r="XDA1039971" s="169"/>
      <c r="XDB1039971" s="169"/>
      <c r="XDC1039971" s="169"/>
      <c r="XDD1039971" s="169"/>
      <c r="XDE1039971" s="176"/>
      <c r="XDF1039971" s="176"/>
      <c r="XDG1039971" s="169"/>
      <c r="XDH1039971" s="176"/>
      <c r="XDI1039971" s="176"/>
      <c r="XDJ1039971" s="176"/>
      <c r="XDK1039971" s="169"/>
      <c r="XDL1039971" s="176"/>
    </row>
    <row r="1039972" spans="16322:16340">
      <c r="XCT1039972" s="191"/>
      <c r="XCU1039972" s="191"/>
      <c r="XCV1039972" s="191"/>
      <c r="XCW1039972" s="170"/>
      <c r="XCX1039972" s="170"/>
      <c r="XCY1039972" s="170"/>
      <c r="XCZ1039972" s="170"/>
      <c r="XDA1039972" s="170"/>
      <c r="XDB1039972" s="170"/>
      <c r="XDC1039972" s="170"/>
      <c r="XDD1039972" s="170"/>
      <c r="XDE1039972" s="171"/>
      <c r="XDF1039972" s="171"/>
      <c r="XDG1039972" s="170"/>
      <c r="XDH1039972" s="171"/>
      <c r="XDI1039972" s="171"/>
      <c r="XDJ1039972" s="171"/>
      <c r="XDK1039972" s="170"/>
      <c r="XDL1039972" s="171"/>
    </row>
    <row r="1039973" spans="16322:16340">
      <c r="XCT1039973" s="192"/>
      <c r="XCU1039973" s="192"/>
      <c r="XCV1039973" s="192"/>
      <c r="XCW1039973" s="169"/>
      <c r="XCX1039973" s="169"/>
      <c r="XCY1039973" s="169"/>
      <c r="XCZ1039973" s="169"/>
      <c r="XDA1039973" s="169"/>
      <c r="XDB1039973" s="169"/>
      <c r="XDC1039973" s="169"/>
      <c r="XDD1039973" s="169"/>
      <c r="XDE1039973" s="169"/>
      <c r="XDF1039973" s="169"/>
      <c r="XDG1039973" s="169"/>
      <c r="XDH1039973" s="169"/>
      <c r="XDI1039973" s="169"/>
      <c r="XDJ1039973" s="169"/>
      <c r="XDK1039973" s="169"/>
      <c r="XDL1039973" s="169"/>
    </row>
    <row r="1039974" spans="16322:16340">
      <c r="XCT1039974" s="191"/>
      <c r="XCU1039974" s="191"/>
      <c r="XCV1039974" s="191"/>
      <c r="XCW1039974" s="170"/>
      <c r="XCX1039974" s="170"/>
      <c r="XCY1039974" s="170"/>
      <c r="XCZ1039974" s="170"/>
      <c r="XDA1039974" s="170"/>
      <c r="XDB1039974" s="170"/>
      <c r="XDC1039974" s="170"/>
      <c r="XDD1039974" s="170"/>
      <c r="XDE1039974" s="170"/>
      <c r="XDF1039974" s="170"/>
      <c r="XDG1039974" s="170"/>
      <c r="XDH1039974" s="170"/>
      <c r="XDI1039974" s="170"/>
      <c r="XDJ1039974" s="170"/>
      <c r="XDK1039974" s="170"/>
      <c r="XDL1039974" s="170"/>
    </row>
    <row r="1039975" spans="16322:16340">
      <c r="XCT1039975" s="191"/>
      <c r="XCU1039975" s="191"/>
      <c r="XCV1039975" s="191"/>
      <c r="XCW1039975" s="170"/>
      <c r="XCX1039975" s="170"/>
      <c r="XCY1039975" s="170"/>
      <c r="XCZ1039975" s="170"/>
      <c r="XDA1039975" s="170"/>
      <c r="XDB1039975" s="170"/>
      <c r="XDC1039975" s="170"/>
      <c r="XDD1039975" s="170"/>
      <c r="XDE1039975" s="170"/>
      <c r="XDF1039975" s="170"/>
      <c r="XDG1039975" s="170"/>
      <c r="XDH1039975" s="170"/>
      <c r="XDI1039975" s="170"/>
      <c r="XDJ1039975" s="170"/>
      <c r="XDK1039975" s="170"/>
      <c r="XDL1039975" s="170"/>
    </row>
    <row r="1039976" spans="16322:16340">
      <c r="XCT1039976" s="191"/>
      <c r="XCU1039976" s="191"/>
      <c r="XCV1039976" s="191"/>
      <c r="XCW1039976" s="170"/>
      <c r="XCX1039976" s="170"/>
      <c r="XCY1039976" s="170"/>
      <c r="XCZ1039976" s="170"/>
      <c r="XDA1039976" s="170"/>
      <c r="XDB1039976" s="170"/>
      <c r="XDC1039976" s="170"/>
      <c r="XDD1039976" s="170"/>
      <c r="XDE1039976" s="170"/>
      <c r="XDF1039976" s="170"/>
      <c r="XDG1039976" s="170"/>
      <c r="XDH1039976" s="170"/>
      <c r="XDI1039976" s="170"/>
      <c r="XDJ1039976" s="170"/>
      <c r="XDK1039976" s="170"/>
      <c r="XDL1039976" s="170"/>
    </row>
    <row r="1039977" spans="16322:16340">
      <c r="XCT1039977" s="191"/>
      <c r="XCU1039977" s="191"/>
      <c r="XCV1039977" s="191"/>
      <c r="XCW1039977" s="170"/>
      <c r="XCX1039977" s="170"/>
      <c r="XCY1039977" s="170"/>
      <c r="XCZ1039977" s="170"/>
      <c r="XDA1039977" s="170"/>
      <c r="XDB1039977" s="170"/>
      <c r="XDC1039977" s="170"/>
      <c r="XDD1039977" s="170"/>
      <c r="XDE1039977" s="170"/>
      <c r="XDF1039977" s="170"/>
      <c r="XDG1039977" s="170"/>
      <c r="XDH1039977" s="170"/>
      <c r="XDI1039977" s="170"/>
      <c r="XDJ1039977" s="170"/>
      <c r="XDK1039977" s="170"/>
      <c r="XDL1039977" s="170"/>
    </row>
    <row r="1039978" spans="16322:16340">
      <c r="XCT1039978" s="191"/>
      <c r="XCU1039978" s="191"/>
      <c r="XCV1039978" s="191"/>
      <c r="XCW1039978" s="170"/>
      <c r="XCX1039978" s="170"/>
      <c r="XCY1039978" s="170"/>
      <c r="XCZ1039978" s="170"/>
      <c r="XDA1039978" s="170"/>
      <c r="XDB1039978" s="170"/>
      <c r="XDC1039978" s="170"/>
      <c r="XDD1039978" s="170"/>
      <c r="XDE1039978" s="170"/>
      <c r="XDF1039978" s="170"/>
      <c r="XDG1039978" s="170"/>
      <c r="XDH1039978" s="170"/>
      <c r="XDI1039978" s="170"/>
      <c r="XDJ1039978" s="170"/>
      <c r="XDK1039978" s="170"/>
      <c r="XDL1039978" s="170"/>
    </row>
    <row r="1039979" spans="16322:16340">
      <c r="XCT1039979" s="192"/>
      <c r="XCU1039979" s="192"/>
      <c r="XCV1039979" s="192"/>
      <c r="XCW1039979" s="169"/>
      <c r="XCX1039979" s="169"/>
      <c r="XCY1039979" s="169"/>
      <c r="XCZ1039979" s="169"/>
      <c r="XDA1039979" s="169"/>
      <c r="XDB1039979" s="169"/>
      <c r="XDC1039979" s="169"/>
      <c r="XDD1039979" s="169"/>
      <c r="XDE1039979" s="169"/>
      <c r="XDF1039979" s="169"/>
      <c r="XDG1039979" s="169"/>
      <c r="XDH1039979" s="169"/>
      <c r="XDI1039979" s="169"/>
      <c r="XDJ1039979" s="169"/>
      <c r="XDK1039979" s="169"/>
      <c r="XDL1039979" s="169"/>
    </row>
    <row r="1039980" spans="16322:16340">
      <c r="XCT1039980" s="191"/>
      <c r="XCU1039980" s="191"/>
      <c r="XCV1039980" s="191"/>
      <c r="XCW1039980" s="170"/>
      <c r="XCX1039980" s="170"/>
      <c r="XCY1039980" s="170"/>
      <c r="XCZ1039980" s="170"/>
      <c r="XDA1039980" s="170"/>
      <c r="XDB1039980" s="170"/>
      <c r="XDC1039980" s="170"/>
      <c r="XDD1039980" s="170"/>
      <c r="XDE1039980" s="170"/>
      <c r="XDF1039980" s="170"/>
      <c r="XDG1039980" s="170"/>
      <c r="XDH1039980" s="170"/>
      <c r="XDI1039980" s="170"/>
      <c r="XDJ1039980" s="170"/>
      <c r="XDK1039980" s="170"/>
      <c r="XDL1039980" s="170"/>
    </row>
    <row r="1039981" spans="16322:16340">
      <c r="XCT1039981" s="191"/>
      <c r="XCU1039981" s="191"/>
      <c r="XCV1039981" s="191"/>
      <c r="XCW1039981" s="170"/>
      <c r="XCX1039981" s="170"/>
      <c r="XCY1039981" s="170"/>
      <c r="XCZ1039981" s="170"/>
      <c r="XDA1039981" s="170"/>
      <c r="XDB1039981" s="170"/>
      <c r="XDC1039981" s="170"/>
      <c r="XDD1039981" s="170"/>
      <c r="XDE1039981" s="170"/>
      <c r="XDF1039981" s="170"/>
      <c r="XDG1039981" s="170"/>
      <c r="XDH1039981" s="170"/>
      <c r="XDI1039981" s="170"/>
      <c r="XDJ1039981" s="170"/>
      <c r="XDK1039981" s="170"/>
      <c r="XDL1039981" s="170"/>
    </row>
    <row r="1039982" spans="16322:16340">
      <c r="XCT1039982" s="191"/>
      <c r="XCU1039982" s="191"/>
      <c r="XCV1039982" s="191"/>
      <c r="XCW1039982" s="170"/>
      <c r="XCX1039982" s="170"/>
      <c r="XCY1039982" s="170"/>
      <c r="XCZ1039982" s="170"/>
      <c r="XDA1039982" s="170"/>
      <c r="XDB1039982" s="170"/>
      <c r="XDC1039982" s="170"/>
      <c r="XDD1039982" s="170"/>
      <c r="XDE1039982" s="170"/>
      <c r="XDF1039982" s="170"/>
      <c r="XDG1039982" s="170"/>
      <c r="XDH1039982" s="170"/>
      <c r="XDI1039982" s="170"/>
      <c r="XDJ1039982" s="170"/>
      <c r="XDK1039982" s="170"/>
      <c r="XDL1039982" s="170"/>
    </row>
    <row r="1039983" spans="16322:16340">
      <c r="XCT1039983" s="191"/>
      <c r="XCU1039983" s="191"/>
      <c r="XCV1039983" s="191"/>
      <c r="XCW1039983" s="170"/>
      <c r="XCX1039983" s="170"/>
      <c r="XCY1039983" s="170"/>
      <c r="XCZ1039983" s="170"/>
      <c r="XDA1039983" s="170"/>
      <c r="XDB1039983" s="170"/>
      <c r="XDC1039983" s="170"/>
      <c r="XDD1039983" s="170"/>
      <c r="XDE1039983" s="170"/>
      <c r="XDF1039983" s="170"/>
      <c r="XDG1039983" s="170"/>
      <c r="XDH1039983" s="170"/>
      <c r="XDI1039983" s="170"/>
      <c r="XDJ1039983" s="170"/>
      <c r="XDK1039983" s="170"/>
      <c r="XDL1039983" s="170"/>
    </row>
    <row r="1039984" spans="16322:16340">
      <c r="XCT1039984" s="192"/>
      <c r="XCU1039984" s="192"/>
      <c r="XCV1039984" s="192"/>
      <c r="XCW1039984" s="169"/>
      <c r="XCX1039984" s="169"/>
      <c r="XCY1039984" s="169"/>
      <c r="XCZ1039984" s="169"/>
      <c r="XDA1039984" s="169"/>
      <c r="XDB1039984" s="169"/>
      <c r="XDC1039984" s="169"/>
      <c r="XDD1039984" s="169"/>
      <c r="XDE1039984" s="169"/>
      <c r="XDF1039984" s="169"/>
      <c r="XDG1039984" s="169"/>
      <c r="XDH1039984" s="169"/>
      <c r="XDI1039984" s="169"/>
      <c r="XDJ1039984" s="169"/>
      <c r="XDK1039984" s="169"/>
      <c r="XDL1039984" s="169"/>
    </row>
    <row r="1039985" spans="16322:16340">
      <c r="XCT1039985" s="191"/>
      <c r="XCU1039985" s="191"/>
      <c r="XCV1039985" s="191"/>
      <c r="XCW1039985" s="170"/>
      <c r="XCX1039985" s="170"/>
      <c r="XCY1039985" s="170"/>
      <c r="XCZ1039985" s="170"/>
      <c r="XDA1039985" s="170"/>
      <c r="XDB1039985" s="170"/>
      <c r="XDC1039985" s="170"/>
      <c r="XDD1039985" s="170"/>
      <c r="XDE1039985" s="170"/>
      <c r="XDF1039985" s="170"/>
      <c r="XDG1039985" s="170"/>
      <c r="XDH1039985" s="170"/>
      <c r="XDI1039985" s="170"/>
      <c r="XDJ1039985" s="170"/>
      <c r="XDK1039985" s="170"/>
      <c r="XDL1039985" s="170"/>
    </row>
    <row r="1039986" spans="16322:16340">
      <c r="XCT1039986" s="191"/>
      <c r="XCU1039986" s="191"/>
      <c r="XCV1039986" s="191"/>
      <c r="XCW1039986" s="170"/>
      <c r="XCX1039986" s="170"/>
      <c r="XCY1039986" s="170"/>
      <c r="XCZ1039986" s="170"/>
      <c r="XDA1039986" s="170"/>
      <c r="XDB1039986" s="170"/>
      <c r="XDC1039986" s="170"/>
      <c r="XDD1039986" s="170"/>
      <c r="XDE1039986" s="170"/>
      <c r="XDF1039986" s="170"/>
      <c r="XDG1039986" s="170"/>
      <c r="XDH1039986" s="170"/>
      <c r="XDI1039986" s="170"/>
      <c r="XDJ1039986" s="170"/>
      <c r="XDK1039986" s="170"/>
      <c r="XDL1039986" s="170"/>
    </row>
    <row r="1039987" spans="16322:16340">
      <c r="XCT1039987" s="191"/>
      <c r="XCU1039987" s="191"/>
      <c r="XCV1039987" s="191"/>
      <c r="XCW1039987" s="170"/>
      <c r="XCX1039987" s="170"/>
      <c r="XCY1039987" s="170"/>
      <c r="XCZ1039987" s="170"/>
      <c r="XDA1039987" s="170"/>
      <c r="XDB1039987" s="170"/>
      <c r="XDC1039987" s="170"/>
      <c r="XDD1039987" s="170"/>
      <c r="XDE1039987" s="170"/>
      <c r="XDF1039987" s="170"/>
      <c r="XDG1039987" s="170"/>
      <c r="XDH1039987" s="170"/>
      <c r="XDI1039987" s="170"/>
      <c r="XDJ1039987" s="170"/>
      <c r="XDK1039987" s="170"/>
      <c r="XDL1039987" s="170"/>
    </row>
    <row r="1039988" spans="16322:16340">
      <c r="XCT1039988" s="191"/>
      <c r="XCU1039988" s="191"/>
      <c r="XCV1039988" s="191"/>
      <c r="XCW1039988" s="170"/>
      <c r="XCX1039988" s="170"/>
      <c r="XCY1039988" s="170"/>
      <c r="XCZ1039988" s="170"/>
      <c r="XDA1039988" s="170"/>
      <c r="XDB1039988" s="170"/>
      <c r="XDC1039988" s="170"/>
      <c r="XDD1039988" s="170"/>
      <c r="XDE1039988" s="170"/>
      <c r="XDF1039988" s="170"/>
      <c r="XDG1039988" s="170"/>
      <c r="XDH1039988" s="170"/>
      <c r="XDI1039988" s="170"/>
      <c r="XDJ1039988" s="170"/>
      <c r="XDK1039988" s="170"/>
      <c r="XDL1039988" s="170"/>
    </row>
    <row r="1039989" spans="16322:16340">
      <c r="XCT1039989" s="191"/>
      <c r="XCU1039989" s="191"/>
      <c r="XCV1039989" s="191"/>
      <c r="XCW1039989" s="170"/>
      <c r="XCX1039989" s="170"/>
      <c r="XCY1039989" s="170"/>
      <c r="XCZ1039989" s="170"/>
      <c r="XDA1039989" s="172"/>
      <c r="XDB1039989" s="171"/>
      <c r="XDC1039989" s="170"/>
      <c r="XDD1039989" s="171"/>
      <c r="XDE1039989" s="170"/>
      <c r="XDF1039989" s="170"/>
      <c r="XDG1039989" s="170"/>
      <c r="XDH1039989" s="170"/>
      <c r="XDI1039989" s="171"/>
      <c r="XDJ1039989" s="171"/>
      <c r="XDK1039989" s="170"/>
      <c r="XDL1039989" s="171"/>
    </row>
    <row r="1039990" spans="16322:16340">
      <c r="XCT1039990" s="192"/>
      <c r="XCU1039990" s="192"/>
      <c r="XCV1039990" s="192"/>
      <c r="XCW1039990" s="169"/>
      <c r="XCX1039990" s="169"/>
      <c r="XCY1039990" s="169"/>
      <c r="XCZ1039990" s="169"/>
      <c r="XDA1039990" s="177"/>
      <c r="XDB1039990" s="176"/>
      <c r="XDC1039990" s="169"/>
      <c r="XDD1039990" s="176"/>
      <c r="XDE1039990" s="176"/>
      <c r="XDF1039990" s="176"/>
      <c r="XDG1039990" s="169"/>
      <c r="XDH1039990" s="176"/>
      <c r="XDI1039990" s="176"/>
      <c r="XDJ1039990" s="176"/>
      <c r="XDK1039990" s="169"/>
      <c r="XDL1039990" s="176"/>
    </row>
  </sheetData>
  <autoFilter ref="B3:G192">
    <sortState ref="B4:L193">
      <sortCondition ref="B3:B193"/>
    </sortState>
  </autoFilter>
  <sortState ref="I4:I192">
    <sortCondition ref="I4"/>
  </sortState>
  <mergeCells count="174">
    <mergeCell ref="XCT1039986:XCV1039986"/>
    <mergeCell ref="XCT1039987:XCV1039987"/>
    <mergeCell ref="XCT1039988:XCV1039988"/>
    <mergeCell ref="XCT1039989:XCV1039989"/>
    <mergeCell ref="XCT1039990:XCV1039990"/>
    <mergeCell ref="XCT1039980:XCV1039980"/>
    <mergeCell ref="XCT1039981:XCV1039981"/>
    <mergeCell ref="XCT1039982:XCV1039982"/>
    <mergeCell ref="XCT1039983:XCV1039983"/>
    <mergeCell ref="XCT1039984:XCV1039984"/>
    <mergeCell ref="XCT1039985:XCV1039985"/>
    <mergeCell ref="XCT1039974:XCV1039974"/>
    <mergeCell ref="XCT1039975:XCV1039975"/>
    <mergeCell ref="XCT1039976:XCV1039976"/>
    <mergeCell ref="XCT1039977:XCV1039977"/>
    <mergeCell ref="XCT1039978:XCV1039978"/>
    <mergeCell ref="XCT1039979:XCV1039979"/>
    <mergeCell ref="XCT1039968:XCV1039968"/>
    <mergeCell ref="XCT1039969:XCV1039969"/>
    <mergeCell ref="XCT1039970:XCV1039970"/>
    <mergeCell ref="XCT1039971:XCV1039971"/>
    <mergeCell ref="XCT1039972:XCV1039972"/>
    <mergeCell ref="XCT1039973:XCV1039973"/>
    <mergeCell ref="XCT1039962:XCV1039962"/>
    <mergeCell ref="XCT1039963:XCV1039963"/>
    <mergeCell ref="XCT1039964:XCV1039964"/>
    <mergeCell ref="XCT1039965:XCV1039965"/>
    <mergeCell ref="XCT1039966:XCV1039966"/>
    <mergeCell ref="XCT1039967:XCV1039967"/>
    <mergeCell ref="XCT1039956:XCV1039956"/>
    <mergeCell ref="XCT1039957:XCV1039957"/>
    <mergeCell ref="XCT1039958:XCV1039958"/>
    <mergeCell ref="XCT1039959:XCV1039959"/>
    <mergeCell ref="XCT1039960:XCV1039960"/>
    <mergeCell ref="XCT1039961:XCV1039961"/>
    <mergeCell ref="XCT1039950:XCV1039950"/>
    <mergeCell ref="XCT1039951:XCV1039951"/>
    <mergeCell ref="XCT1039952:XCV1039952"/>
    <mergeCell ref="XCT1039953:XCV1039953"/>
    <mergeCell ref="XCT1039954:XCV1039954"/>
    <mergeCell ref="XCT1039955:XCV1039955"/>
    <mergeCell ref="XCT1039944:XCV1039944"/>
    <mergeCell ref="XCT1039945:XCV1039945"/>
    <mergeCell ref="XCT1039946:XCV1039946"/>
    <mergeCell ref="XCT1039947:XCV1039947"/>
    <mergeCell ref="XCT1039948:XCV1039948"/>
    <mergeCell ref="XCT1039949:XCV1039949"/>
    <mergeCell ref="XCT1039938:XCV1039938"/>
    <mergeCell ref="XCT1039939:XCV1039939"/>
    <mergeCell ref="XCT1039940:XCV1039940"/>
    <mergeCell ref="XCT1039941:XCV1039941"/>
    <mergeCell ref="XCT1039942:XCV1039942"/>
    <mergeCell ref="XCT1039943:XCV1039943"/>
    <mergeCell ref="XCT1039932:XCV1039932"/>
    <mergeCell ref="XCT1039933:XCV1039933"/>
    <mergeCell ref="XCT1039934:XCV1039934"/>
    <mergeCell ref="XCT1039935:XCV1039935"/>
    <mergeCell ref="XCT1039936:XCV1039936"/>
    <mergeCell ref="XCT1039937:XCV1039937"/>
    <mergeCell ref="XCT1039926:XCV1039926"/>
    <mergeCell ref="XCT1039927:XCV1039927"/>
    <mergeCell ref="XCT1039928:XCV1039928"/>
    <mergeCell ref="XCT1039929:XCV1039929"/>
    <mergeCell ref="XCT1039930:XCV1039930"/>
    <mergeCell ref="XCT1039931:XCV1039931"/>
    <mergeCell ref="XCT1039920:XCV1039920"/>
    <mergeCell ref="XCT1039921:XCV1039921"/>
    <mergeCell ref="XCT1039922:XCV1039922"/>
    <mergeCell ref="XCT1039923:XCV1039923"/>
    <mergeCell ref="XCT1039924:XCV1039924"/>
    <mergeCell ref="XCT1039925:XCV1039925"/>
    <mergeCell ref="XCT1039913:XCV1039913"/>
    <mergeCell ref="XCT1039914:XCV1039914"/>
    <mergeCell ref="XCT1039915:XCV1039915"/>
    <mergeCell ref="XCT1039916:XCV1039916"/>
    <mergeCell ref="XCT1039917:XCV1039917"/>
    <mergeCell ref="XCT1039919:XCV1039919"/>
    <mergeCell ref="XCT1039907:XCV1039907"/>
    <mergeCell ref="XCT1039908:XCV1039908"/>
    <mergeCell ref="XCT1039909:XCV1039909"/>
    <mergeCell ref="XCT1039910:XCV1039910"/>
    <mergeCell ref="XCT1039911:XCV1039911"/>
    <mergeCell ref="XCT1039912:XCV1039912"/>
    <mergeCell ref="XCT1039901:XCV1039901"/>
    <mergeCell ref="XCT1039902:XCV1039902"/>
    <mergeCell ref="XCT1039903:XCV1039903"/>
    <mergeCell ref="XCT1039904:XCV1039904"/>
    <mergeCell ref="XCT1039905:XCV1039905"/>
    <mergeCell ref="XCT1039906:XCV1039906"/>
    <mergeCell ref="XCT1039895:XCV1039895"/>
    <mergeCell ref="XCT1039896:XCV1039896"/>
    <mergeCell ref="XCT1039897:XCV1039897"/>
    <mergeCell ref="XCT1039898:XCV1039898"/>
    <mergeCell ref="XCT1039899:XCV1039899"/>
    <mergeCell ref="XCT1039900:XCV1039900"/>
    <mergeCell ref="XCT1039889:XCV1039889"/>
    <mergeCell ref="XCT1039890:XCV1039890"/>
    <mergeCell ref="XCT1039891:XCV1039891"/>
    <mergeCell ref="XCT1039892:XCV1039892"/>
    <mergeCell ref="XCT1039893:XCV1039893"/>
    <mergeCell ref="XCT1039894:XCV1039894"/>
    <mergeCell ref="XCT1039883:XCV1039883"/>
    <mergeCell ref="XCT1039884:XCV1039884"/>
    <mergeCell ref="XCT1039885:XCV1039885"/>
    <mergeCell ref="XCT1039886:XCV1039886"/>
    <mergeCell ref="XCT1039887:XCV1039887"/>
    <mergeCell ref="XCT1039888:XCV1039888"/>
    <mergeCell ref="XCT1039877:XCV1039877"/>
    <mergeCell ref="XCT1039878:XCV1039878"/>
    <mergeCell ref="XCT1039879:XCV1039879"/>
    <mergeCell ref="XCT1039880:XCV1039880"/>
    <mergeCell ref="XCT1039881:XCV1039881"/>
    <mergeCell ref="XCT1039882:XCV1039882"/>
    <mergeCell ref="XCT1039871:XCV1039871"/>
    <mergeCell ref="XCT1039872:XCV1039872"/>
    <mergeCell ref="XCT1039873:XCV1039873"/>
    <mergeCell ref="XCT1039874:XCV1039874"/>
    <mergeCell ref="XCT1039875:XCV1039875"/>
    <mergeCell ref="XCT1039876:XCV1039876"/>
    <mergeCell ref="XCT1039865:XCV1039865"/>
    <mergeCell ref="XCT1039866:XCV1039866"/>
    <mergeCell ref="XCT1039867:XCV1039867"/>
    <mergeCell ref="XCT1039868:XCV1039868"/>
    <mergeCell ref="XCT1039869:XCV1039869"/>
    <mergeCell ref="XCT1039870:XCV1039870"/>
    <mergeCell ref="XCT1039859:XCV1039859"/>
    <mergeCell ref="XCT1039860:XCV1039860"/>
    <mergeCell ref="XCT1039861:XCV1039861"/>
    <mergeCell ref="XCT1039862:XCV1039862"/>
    <mergeCell ref="XCT1039863:XCV1039863"/>
    <mergeCell ref="XCT1039864:XCV1039864"/>
    <mergeCell ref="XCT1039853:XCV1039853"/>
    <mergeCell ref="XCT1039854:XCV1039854"/>
    <mergeCell ref="XCT1039855:XCV1039855"/>
    <mergeCell ref="XCT1039856:XCV1039856"/>
    <mergeCell ref="XCT1039857:XCV1039857"/>
    <mergeCell ref="XCT1039858:XCV1039858"/>
    <mergeCell ref="XCT1039847:XCV1039847"/>
    <mergeCell ref="XCT1039848:XCV1039848"/>
    <mergeCell ref="XCT1039849:XCV1039849"/>
    <mergeCell ref="XCT1039850:XCV1039850"/>
    <mergeCell ref="XCT1039851:XCV1039851"/>
    <mergeCell ref="XCT1039852:XCV1039852"/>
    <mergeCell ref="XCT1039841:XCV1039841"/>
    <mergeCell ref="XCT1039842:XCV1039842"/>
    <mergeCell ref="XCT1039843:XCV1039843"/>
    <mergeCell ref="XCT1039844:XCV1039844"/>
    <mergeCell ref="XCT1039845:XCV1039845"/>
    <mergeCell ref="XCT1039846:XCV1039846"/>
    <mergeCell ref="XCT1039835:XCV1039835"/>
    <mergeCell ref="XCT1039836:XCV1039836"/>
    <mergeCell ref="XCT1039837:XCV1039837"/>
    <mergeCell ref="XCT1039838:XCV1039838"/>
    <mergeCell ref="XCT1039839:XCV1039839"/>
    <mergeCell ref="XCT1039840:XCV1039840"/>
    <mergeCell ref="XCT1039831:XCV1039831"/>
    <mergeCell ref="XCT1039832:XCV1039832"/>
    <mergeCell ref="XCT1039833:XCV1039833"/>
    <mergeCell ref="XCT1039834:XCV1039834"/>
    <mergeCell ref="XCT1039823:XCV1039823"/>
    <mergeCell ref="XCT1039824:XCV1039824"/>
    <mergeCell ref="XCT1039825:XCV1039825"/>
    <mergeCell ref="XCT1039826:XCV1039826"/>
    <mergeCell ref="XCT1039827:XCV1039827"/>
    <mergeCell ref="XCT1039828:XCV1039828"/>
    <mergeCell ref="XCT1039821:XCV1039821"/>
    <mergeCell ref="XCW1039821:XCZ1039821"/>
    <mergeCell ref="XDA1039821:XDD1039821"/>
    <mergeCell ref="XDE1039821:XDH1039821"/>
    <mergeCell ref="XDI1039821:XDL1039821"/>
    <mergeCell ref="XCT1039822:XCV1039822"/>
    <mergeCell ref="B2:G2"/>
    <mergeCell ref="XCT1039829:XCV1039829"/>
    <mergeCell ref="XCT1039830:XCV10398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191"/>
  <sheetViews>
    <sheetView topLeftCell="A154" workbookViewId="0">
      <selection activeCell="J189" sqref="J189"/>
    </sheetView>
  </sheetViews>
  <sheetFormatPr defaultRowHeight="15"/>
  <sheetData>
    <row r="2" spans="3:4">
      <c r="C2">
        <v>1.1879999999999999</v>
      </c>
      <c r="D2">
        <f>C2*1.111</f>
        <v>1.3198679999999998</v>
      </c>
    </row>
    <row r="3" spans="3:4">
      <c r="C3">
        <v>1.9601999999999999</v>
      </c>
      <c r="D3">
        <f t="shared" ref="D3:D66" si="0">C3*1.111</f>
        <v>2.1777821999999998</v>
      </c>
    </row>
    <row r="4" spans="3:4">
      <c r="C4">
        <v>2.15</v>
      </c>
      <c r="D4">
        <f t="shared" si="0"/>
        <v>2.3886499999999997</v>
      </c>
    </row>
    <row r="5" spans="3:4">
      <c r="C5">
        <v>1.1970000000000001</v>
      </c>
      <c r="D5">
        <f t="shared" si="0"/>
        <v>1.3298670000000001</v>
      </c>
    </row>
    <row r="6" spans="3:4">
      <c r="C6">
        <v>2.6880000000000002</v>
      </c>
      <c r="D6">
        <f t="shared" si="0"/>
        <v>2.9863680000000001</v>
      </c>
    </row>
    <row r="7" spans="3:4">
      <c r="C7">
        <v>1.8143999999999998</v>
      </c>
      <c r="D7">
        <f t="shared" si="0"/>
        <v>2.0157983999999995</v>
      </c>
    </row>
    <row r="8" spans="3:4">
      <c r="C8">
        <v>1.4687999999999999</v>
      </c>
      <c r="D8">
        <f t="shared" si="0"/>
        <v>1.6318367999999999</v>
      </c>
    </row>
    <row r="9" spans="3:4">
      <c r="C9">
        <v>2.4805000000000001</v>
      </c>
      <c r="D9">
        <f t="shared" si="0"/>
        <v>2.7558355000000003</v>
      </c>
    </row>
    <row r="10" spans="3:4">
      <c r="C10">
        <v>1.3068000000000002</v>
      </c>
      <c r="D10">
        <f t="shared" si="0"/>
        <v>1.4518548000000002</v>
      </c>
    </row>
    <row r="11" spans="3:4">
      <c r="C11">
        <v>2.2847999999999997</v>
      </c>
      <c r="D11">
        <f t="shared" si="0"/>
        <v>2.5384127999999997</v>
      </c>
    </row>
    <row r="12" spans="3:4">
      <c r="C12">
        <v>1.8839999999999999</v>
      </c>
      <c r="D12">
        <f t="shared" si="0"/>
        <v>2.093124</v>
      </c>
    </row>
    <row r="13" spans="3:4">
      <c r="C13">
        <v>1.9536000000000002</v>
      </c>
      <c r="D13">
        <f t="shared" si="0"/>
        <v>2.1704496000000004</v>
      </c>
    </row>
    <row r="14" spans="3:4">
      <c r="C14">
        <v>1.3727999999999998</v>
      </c>
      <c r="D14">
        <f t="shared" si="0"/>
        <v>1.5251807999999998</v>
      </c>
    </row>
    <row r="15" spans="3:4">
      <c r="C15">
        <v>2.1504000000000003</v>
      </c>
      <c r="D15">
        <f t="shared" si="0"/>
        <v>2.3890944000000003</v>
      </c>
    </row>
    <row r="16" spans="3:4">
      <c r="C16">
        <v>1.5840000000000001</v>
      </c>
      <c r="D16">
        <f t="shared" si="0"/>
        <v>1.7598240000000001</v>
      </c>
    </row>
    <row r="17" spans="3:4">
      <c r="C17">
        <v>1.7423999999999999</v>
      </c>
      <c r="D17">
        <f t="shared" si="0"/>
        <v>1.9358063999999999</v>
      </c>
    </row>
    <row r="18" spans="3:4">
      <c r="C18">
        <v>1.5509999999999999</v>
      </c>
      <c r="D18">
        <f t="shared" si="0"/>
        <v>1.7231609999999999</v>
      </c>
    </row>
    <row r="19" spans="3:4">
      <c r="C19">
        <v>1.2177</v>
      </c>
      <c r="D19">
        <f t="shared" si="0"/>
        <v>1.3528647</v>
      </c>
    </row>
    <row r="20" spans="3:4">
      <c r="C20">
        <v>1.548</v>
      </c>
      <c r="D20">
        <f t="shared" si="0"/>
        <v>1.7198280000000001</v>
      </c>
    </row>
    <row r="21" spans="3:4">
      <c r="C21">
        <v>1.2736000000000001</v>
      </c>
      <c r="D21">
        <f t="shared" si="0"/>
        <v>1.4149696</v>
      </c>
    </row>
    <row r="22" spans="3:4">
      <c r="C22">
        <v>1.4256</v>
      </c>
      <c r="D22">
        <f t="shared" si="0"/>
        <v>1.5838416</v>
      </c>
    </row>
    <row r="23" spans="3:4">
      <c r="C23">
        <v>1.5299999999999998</v>
      </c>
      <c r="D23">
        <f t="shared" si="0"/>
        <v>1.6998299999999997</v>
      </c>
    </row>
    <row r="24" spans="3:4">
      <c r="C24">
        <v>2.2679999999999998</v>
      </c>
      <c r="D24">
        <f t="shared" si="0"/>
        <v>2.5197479999999999</v>
      </c>
    </row>
    <row r="25" spans="3:4">
      <c r="C25">
        <v>2.8440000000000003</v>
      </c>
      <c r="D25">
        <f t="shared" si="0"/>
        <v>3.1596840000000004</v>
      </c>
    </row>
    <row r="26" spans="3:4">
      <c r="C26">
        <v>2.1</v>
      </c>
      <c r="D26">
        <f t="shared" si="0"/>
        <v>2.3331</v>
      </c>
    </row>
    <row r="27" spans="3:4">
      <c r="C27">
        <v>1.83</v>
      </c>
      <c r="D27">
        <f t="shared" si="0"/>
        <v>2.0331299999999999</v>
      </c>
    </row>
    <row r="28" spans="3:4">
      <c r="C28">
        <v>1.2584</v>
      </c>
      <c r="D28">
        <f t="shared" si="0"/>
        <v>1.3980823999999998</v>
      </c>
    </row>
    <row r="29" spans="3:4">
      <c r="C29">
        <v>2.4441999999999999</v>
      </c>
      <c r="D29">
        <f t="shared" si="0"/>
        <v>2.7155062000000001</v>
      </c>
    </row>
    <row r="30" spans="3:4">
      <c r="C30">
        <v>1.7544999999999997</v>
      </c>
      <c r="D30">
        <f t="shared" si="0"/>
        <v>1.9492494999999996</v>
      </c>
    </row>
    <row r="31" spans="3:4">
      <c r="C31">
        <v>2.3869999999999996</v>
      </c>
      <c r="D31">
        <f t="shared" si="0"/>
        <v>2.6519569999999995</v>
      </c>
    </row>
    <row r="32" spans="3:4">
      <c r="C32">
        <v>2.0736000000000003</v>
      </c>
      <c r="D32">
        <f t="shared" si="0"/>
        <v>2.3037696000000003</v>
      </c>
    </row>
    <row r="33" spans="3:4">
      <c r="C33">
        <v>1.5424000000000002</v>
      </c>
      <c r="D33">
        <f t="shared" si="0"/>
        <v>1.7136064000000002</v>
      </c>
    </row>
    <row r="34" spans="3:4">
      <c r="C34">
        <v>2.0640000000000001</v>
      </c>
      <c r="D34">
        <f t="shared" si="0"/>
        <v>2.293104</v>
      </c>
    </row>
    <row r="35" spans="3:4">
      <c r="C35">
        <v>1.7352000000000001</v>
      </c>
      <c r="D35">
        <f t="shared" si="0"/>
        <v>1.9278072000000002</v>
      </c>
    </row>
    <row r="36" spans="3:4">
      <c r="C36">
        <v>1.3288</v>
      </c>
      <c r="D36">
        <f t="shared" si="0"/>
        <v>1.4762967999999999</v>
      </c>
    </row>
    <row r="37" spans="3:4">
      <c r="C37">
        <v>2.4859999999999998</v>
      </c>
      <c r="D37">
        <f t="shared" si="0"/>
        <v>2.7619459999999996</v>
      </c>
    </row>
    <row r="38" spans="3:4">
      <c r="C38">
        <v>1.488</v>
      </c>
      <c r="D38">
        <f t="shared" si="0"/>
        <v>1.653168</v>
      </c>
    </row>
    <row r="39" spans="3:4">
      <c r="C39">
        <v>2.5651999999999999</v>
      </c>
      <c r="D39">
        <f t="shared" si="0"/>
        <v>2.8499371999999998</v>
      </c>
    </row>
    <row r="40" spans="3:4">
      <c r="C40">
        <v>2.1360000000000001</v>
      </c>
      <c r="D40">
        <f t="shared" si="0"/>
        <v>2.3730960000000003</v>
      </c>
    </row>
    <row r="41" spans="3:4">
      <c r="C41">
        <v>2.1779999999999999</v>
      </c>
      <c r="D41">
        <f t="shared" si="0"/>
        <v>2.4197579999999999</v>
      </c>
    </row>
    <row r="42" spans="3:4">
      <c r="C42">
        <v>1.9440000000000004</v>
      </c>
      <c r="D42">
        <f t="shared" si="0"/>
        <v>2.1597840000000006</v>
      </c>
    </row>
    <row r="43" spans="3:4">
      <c r="C43">
        <v>2.1230000000000002</v>
      </c>
      <c r="D43">
        <f t="shared" si="0"/>
        <v>2.3586530000000003</v>
      </c>
    </row>
    <row r="44" spans="3:4">
      <c r="C44">
        <v>1.5125</v>
      </c>
      <c r="D44">
        <f t="shared" si="0"/>
        <v>1.6803874999999999</v>
      </c>
    </row>
    <row r="45" spans="3:4">
      <c r="C45">
        <v>1.7126999999999999</v>
      </c>
      <c r="D45">
        <f t="shared" si="0"/>
        <v>1.9028096999999999</v>
      </c>
    </row>
    <row r="46" spans="3:4">
      <c r="C46">
        <v>1.7099999999999997</v>
      </c>
      <c r="D46">
        <f t="shared" si="0"/>
        <v>1.8998099999999998</v>
      </c>
    </row>
    <row r="47" spans="3:4">
      <c r="C47">
        <v>2.4200000000000004</v>
      </c>
      <c r="D47">
        <f t="shared" si="0"/>
        <v>2.6886200000000002</v>
      </c>
    </row>
    <row r="48" spans="3:4">
      <c r="C48">
        <v>2.3540000000000001</v>
      </c>
      <c r="D48">
        <f t="shared" si="0"/>
        <v>2.615294</v>
      </c>
    </row>
    <row r="49" spans="3:4">
      <c r="C49">
        <v>1.4239999999999999</v>
      </c>
      <c r="D49">
        <f t="shared" si="0"/>
        <v>1.5820639999999999</v>
      </c>
    </row>
    <row r="50" spans="3:4">
      <c r="C50">
        <v>1.8612000000000002</v>
      </c>
      <c r="D50">
        <f t="shared" si="0"/>
        <v>2.0677932000000001</v>
      </c>
    </row>
    <row r="51" spans="3:4">
      <c r="C51">
        <v>1.3175999999999999</v>
      </c>
      <c r="D51">
        <f t="shared" si="0"/>
        <v>1.4638535999999998</v>
      </c>
    </row>
    <row r="52" spans="3:4">
      <c r="C52">
        <v>1.3248</v>
      </c>
      <c r="D52">
        <f t="shared" si="0"/>
        <v>1.4718528</v>
      </c>
    </row>
    <row r="53" spans="3:4">
      <c r="C53">
        <v>1.6320000000000001</v>
      </c>
      <c r="D53">
        <f t="shared" si="0"/>
        <v>1.8131520000000001</v>
      </c>
    </row>
    <row r="54" spans="3:4">
      <c r="C54">
        <v>1.3041</v>
      </c>
      <c r="D54">
        <f t="shared" si="0"/>
        <v>1.4488551000000001</v>
      </c>
    </row>
    <row r="55" spans="3:4">
      <c r="C55">
        <v>1.9910000000000001</v>
      </c>
      <c r="D55">
        <f t="shared" si="0"/>
        <v>2.2120009999999999</v>
      </c>
    </row>
    <row r="56" spans="3:4">
      <c r="C56">
        <v>1.5912000000000002</v>
      </c>
      <c r="D56">
        <f t="shared" si="0"/>
        <v>1.7678232000000003</v>
      </c>
    </row>
    <row r="57" spans="3:4">
      <c r="C57">
        <v>2.2671000000000001</v>
      </c>
      <c r="D57">
        <f t="shared" si="0"/>
        <v>2.5187481000000003</v>
      </c>
    </row>
    <row r="58" spans="3:4">
      <c r="C58">
        <v>1.0799999999999998</v>
      </c>
      <c r="D58">
        <f t="shared" si="0"/>
        <v>1.1998799999999998</v>
      </c>
    </row>
    <row r="59" spans="3:4">
      <c r="C59">
        <v>1.4184000000000001</v>
      </c>
      <c r="D59">
        <f t="shared" si="0"/>
        <v>1.5758424000000002</v>
      </c>
    </row>
    <row r="60" spans="3:4">
      <c r="C60">
        <v>1.4687999999999999</v>
      </c>
      <c r="D60">
        <f t="shared" si="0"/>
        <v>1.6318367999999999</v>
      </c>
    </row>
    <row r="61" spans="3:4">
      <c r="C61">
        <v>2.9831999999999996</v>
      </c>
      <c r="D61">
        <f t="shared" si="0"/>
        <v>3.3143351999999995</v>
      </c>
    </row>
    <row r="62" spans="3:4">
      <c r="C62">
        <v>1.2352000000000001</v>
      </c>
      <c r="D62">
        <f t="shared" si="0"/>
        <v>1.3723072000000001</v>
      </c>
    </row>
    <row r="63" spans="3:4">
      <c r="C63">
        <v>1.7280000000000002</v>
      </c>
      <c r="D63">
        <f t="shared" si="0"/>
        <v>1.9198080000000002</v>
      </c>
    </row>
    <row r="64" spans="3:4">
      <c r="C64">
        <v>2.0789999999999997</v>
      </c>
      <c r="D64">
        <f t="shared" si="0"/>
        <v>2.3097689999999997</v>
      </c>
    </row>
    <row r="65" spans="3:4">
      <c r="C65">
        <v>2.532</v>
      </c>
      <c r="D65">
        <f t="shared" si="0"/>
        <v>2.8130519999999999</v>
      </c>
    </row>
    <row r="66" spans="3:4">
      <c r="C66">
        <v>1.4607999999999999</v>
      </c>
      <c r="D66">
        <f t="shared" si="0"/>
        <v>1.6229487999999999</v>
      </c>
    </row>
    <row r="67" spans="3:4">
      <c r="C67">
        <v>0.9071999999999999</v>
      </c>
      <c r="D67">
        <f t="shared" ref="D67:D130" si="1">C67*1.111</f>
        <v>1.0078991999999998</v>
      </c>
    </row>
    <row r="68" spans="3:4">
      <c r="C68">
        <v>1.6280000000000001</v>
      </c>
      <c r="D68">
        <f t="shared" si="1"/>
        <v>1.8087080000000002</v>
      </c>
    </row>
    <row r="69" spans="3:4">
      <c r="C69">
        <v>2.7191999999999998</v>
      </c>
      <c r="D69">
        <f t="shared" si="1"/>
        <v>3.0210311999999999</v>
      </c>
    </row>
    <row r="70" spans="3:4">
      <c r="C70">
        <v>1.2689999999999999</v>
      </c>
      <c r="D70">
        <f t="shared" si="1"/>
        <v>1.409859</v>
      </c>
    </row>
    <row r="71" spans="3:4">
      <c r="C71">
        <v>1.6488</v>
      </c>
      <c r="D71">
        <f t="shared" si="1"/>
        <v>1.8318168000000001</v>
      </c>
    </row>
    <row r="72" spans="3:4">
      <c r="C72">
        <v>2.0249999999999999</v>
      </c>
      <c r="D72">
        <f t="shared" si="1"/>
        <v>2.2497750000000001</v>
      </c>
    </row>
    <row r="73" spans="3:4">
      <c r="C73">
        <v>1.044</v>
      </c>
      <c r="D73">
        <f t="shared" si="1"/>
        <v>1.1598840000000001</v>
      </c>
    </row>
    <row r="74" spans="3:4">
      <c r="C74">
        <v>2.8379999999999996</v>
      </c>
      <c r="D74">
        <f t="shared" si="1"/>
        <v>3.1530179999999994</v>
      </c>
    </row>
    <row r="75" spans="3:4">
      <c r="C75">
        <v>3.2831999999999995</v>
      </c>
      <c r="D75">
        <f t="shared" si="1"/>
        <v>3.6476351999999994</v>
      </c>
    </row>
    <row r="76" spans="3:4">
      <c r="C76">
        <v>1.016</v>
      </c>
      <c r="D76">
        <f t="shared" si="1"/>
        <v>1.128776</v>
      </c>
    </row>
    <row r="77" spans="3:4">
      <c r="C77">
        <v>1.4328000000000001</v>
      </c>
      <c r="D77">
        <f t="shared" si="1"/>
        <v>1.5918408000000002</v>
      </c>
    </row>
    <row r="78" spans="3:4">
      <c r="C78">
        <v>2.052</v>
      </c>
      <c r="D78">
        <f t="shared" si="1"/>
        <v>2.2797719999999999</v>
      </c>
    </row>
    <row r="79" spans="3:4">
      <c r="C79">
        <v>1.7247999999999997</v>
      </c>
      <c r="D79">
        <f t="shared" si="1"/>
        <v>1.9162527999999996</v>
      </c>
    </row>
    <row r="80" spans="3:4">
      <c r="C80">
        <v>1.5552000000000001</v>
      </c>
      <c r="D80">
        <f t="shared" si="1"/>
        <v>1.7278272000000001</v>
      </c>
    </row>
    <row r="81" spans="3:4">
      <c r="C81">
        <v>1.4175</v>
      </c>
      <c r="D81">
        <f t="shared" si="1"/>
        <v>1.5748424999999999</v>
      </c>
    </row>
    <row r="82" spans="3:4">
      <c r="C82">
        <v>1.2608000000000001</v>
      </c>
      <c r="D82">
        <f t="shared" si="1"/>
        <v>1.4007488000000001</v>
      </c>
    </row>
    <row r="83" spans="3:4">
      <c r="C83">
        <v>1.2231000000000001</v>
      </c>
      <c r="D83">
        <f t="shared" si="1"/>
        <v>1.3588641000000001</v>
      </c>
    </row>
    <row r="84" spans="3:4">
      <c r="C84">
        <v>1.9710000000000001</v>
      </c>
      <c r="D84">
        <f t="shared" si="1"/>
        <v>2.189781</v>
      </c>
    </row>
    <row r="85" spans="3:4">
      <c r="C85">
        <v>0.8448</v>
      </c>
      <c r="D85">
        <f t="shared" si="1"/>
        <v>0.93857279999999998</v>
      </c>
    </row>
    <row r="86" spans="3:4">
      <c r="C86">
        <v>0.97199999999999986</v>
      </c>
      <c r="D86">
        <f t="shared" si="1"/>
        <v>1.0798919999999999</v>
      </c>
    </row>
    <row r="87" spans="3:4">
      <c r="C87">
        <v>1.9360000000000004</v>
      </c>
      <c r="D87">
        <f t="shared" si="1"/>
        <v>2.1508960000000004</v>
      </c>
    </row>
    <row r="88" spans="3:4">
      <c r="C88">
        <v>2.8944000000000001</v>
      </c>
      <c r="D88">
        <f t="shared" si="1"/>
        <v>3.2156784000000003</v>
      </c>
    </row>
    <row r="89" spans="3:4">
      <c r="C89">
        <v>2.4947999999999997</v>
      </c>
      <c r="D89">
        <f t="shared" si="1"/>
        <v>2.7717227999999996</v>
      </c>
    </row>
    <row r="90" spans="3:4">
      <c r="C90">
        <v>1.2815999999999999</v>
      </c>
      <c r="D90">
        <f t="shared" si="1"/>
        <v>1.4238575999999998</v>
      </c>
    </row>
    <row r="91" spans="3:4">
      <c r="C91">
        <v>2.19</v>
      </c>
      <c r="D91">
        <f t="shared" si="1"/>
        <v>2.43309</v>
      </c>
    </row>
    <row r="92" spans="3:4">
      <c r="C92">
        <v>2.2079999999999997</v>
      </c>
      <c r="D92">
        <f t="shared" si="1"/>
        <v>2.4530879999999997</v>
      </c>
    </row>
    <row r="93" spans="3:4">
      <c r="C93">
        <v>1.7512000000000001</v>
      </c>
      <c r="D93">
        <f t="shared" si="1"/>
        <v>1.9455832000000002</v>
      </c>
    </row>
    <row r="94" spans="3:4">
      <c r="C94">
        <v>1.746</v>
      </c>
      <c r="D94">
        <f t="shared" si="1"/>
        <v>1.9398059999999999</v>
      </c>
    </row>
    <row r="95" spans="3:4">
      <c r="C95">
        <v>2.2752000000000003</v>
      </c>
      <c r="D95">
        <f t="shared" si="1"/>
        <v>2.5277472000000003</v>
      </c>
    </row>
    <row r="96" spans="3:4">
      <c r="C96">
        <v>1.9099999999999997</v>
      </c>
      <c r="D96">
        <f t="shared" si="1"/>
        <v>2.1220099999999995</v>
      </c>
    </row>
    <row r="97" spans="3:4">
      <c r="C97">
        <v>2.31</v>
      </c>
      <c r="D97">
        <f t="shared" si="1"/>
        <v>2.5664099999999999</v>
      </c>
    </row>
    <row r="98" spans="3:4">
      <c r="C98">
        <v>1.48</v>
      </c>
      <c r="D98">
        <f t="shared" si="1"/>
        <v>1.64428</v>
      </c>
    </row>
    <row r="99" spans="3:4">
      <c r="C99">
        <v>1.5984</v>
      </c>
      <c r="D99">
        <f t="shared" si="1"/>
        <v>1.7758224</v>
      </c>
    </row>
    <row r="100" spans="3:4">
      <c r="C100">
        <v>2.1059999999999999</v>
      </c>
      <c r="D100">
        <f t="shared" si="1"/>
        <v>2.339766</v>
      </c>
    </row>
    <row r="101" spans="3:4">
      <c r="C101">
        <v>1.3176000000000001</v>
      </c>
      <c r="D101">
        <f t="shared" si="1"/>
        <v>1.4638536000000002</v>
      </c>
    </row>
    <row r="102" spans="3:4">
      <c r="C102">
        <v>1.3320000000000003</v>
      </c>
      <c r="D102">
        <f t="shared" si="1"/>
        <v>1.4798520000000004</v>
      </c>
    </row>
    <row r="103" spans="3:4">
      <c r="C103">
        <v>0.99629999999999996</v>
      </c>
      <c r="D103">
        <f t="shared" si="1"/>
        <v>1.1068893</v>
      </c>
    </row>
    <row r="104" spans="3:4">
      <c r="C104">
        <v>2.4839999999999995</v>
      </c>
      <c r="D104">
        <f t="shared" si="1"/>
        <v>2.7597239999999994</v>
      </c>
    </row>
    <row r="105" spans="3:4">
      <c r="C105">
        <v>1.9200000000000004</v>
      </c>
      <c r="D105">
        <f t="shared" si="1"/>
        <v>2.1331200000000003</v>
      </c>
    </row>
    <row r="106" spans="3:4">
      <c r="C106">
        <v>1.4319999999999999</v>
      </c>
      <c r="D106">
        <f t="shared" si="1"/>
        <v>1.5909519999999999</v>
      </c>
    </row>
    <row r="107" spans="3:4">
      <c r="C107">
        <v>1.3248</v>
      </c>
      <c r="D107">
        <f t="shared" si="1"/>
        <v>1.4718528</v>
      </c>
    </row>
    <row r="108" spans="3:4">
      <c r="C108">
        <v>1.0871999999999999</v>
      </c>
      <c r="D108">
        <f t="shared" si="1"/>
        <v>1.2078791999999998</v>
      </c>
    </row>
    <row r="109" spans="3:4">
      <c r="C109">
        <v>1.5543</v>
      </c>
      <c r="D109">
        <f t="shared" si="1"/>
        <v>1.7268273000000001</v>
      </c>
    </row>
    <row r="110" spans="3:4">
      <c r="C110">
        <v>2.2572000000000001</v>
      </c>
      <c r="D110">
        <f t="shared" si="1"/>
        <v>2.5077492000000001</v>
      </c>
    </row>
    <row r="111" spans="3:4">
      <c r="C111">
        <v>1.0943999999999998</v>
      </c>
      <c r="D111">
        <f t="shared" si="1"/>
        <v>1.2158783999999998</v>
      </c>
    </row>
    <row r="112" spans="3:4">
      <c r="C112">
        <v>1.8018000000000001</v>
      </c>
      <c r="D112">
        <f t="shared" si="1"/>
        <v>2.0017998000000001</v>
      </c>
    </row>
    <row r="113" spans="3:4">
      <c r="C113">
        <v>1.0151999999999999</v>
      </c>
      <c r="D113">
        <f t="shared" si="1"/>
        <v>1.1278871999999998</v>
      </c>
    </row>
    <row r="114" spans="3:4">
      <c r="C114">
        <v>2.3980000000000001</v>
      </c>
      <c r="D114">
        <f t="shared" si="1"/>
        <v>2.6641780000000002</v>
      </c>
    </row>
    <row r="115" spans="3:4">
      <c r="C115">
        <v>1.5768</v>
      </c>
      <c r="D115">
        <f t="shared" si="1"/>
        <v>1.7518247999999998</v>
      </c>
    </row>
    <row r="116" spans="3:4">
      <c r="C116">
        <v>2.4516</v>
      </c>
      <c r="D116">
        <f t="shared" si="1"/>
        <v>2.7237276000000001</v>
      </c>
    </row>
    <row r="117" spans="3:4">
      <c r="C117">
        <v>1.58</v>
      </c>
      <c r="D117">
        <f t="shared" si="1"/>
        <v>1.7553800000000002</v>
      </c>
    </row>
    <row r="118" spans="3:4">
      <c r="C118">
        <v>2.3209999999999997</v>
      </c>
      <c r="D118">
        <f t="shared" si="1"/>
        <v>2.5786309999999997</v>
      </c>
    </row>
    <row r="119" spans="3:4">
      <c r="C119">
        <v>1.1664000000000001</v>
      </c>
      <c r="D119">
        <f t="shared" si="1"/>
        <v>1.2958704000000001</v>
      </c>
    </row>
    <row r="120" spans="3:4">
      <c r="C120">
        <v>1.4111999999999998</v>
      </c>
      <c r="D120">
        <f t="shared" si="1"/>
        <v>1.5678431999999998</v>
      </c>
    </row>
    <row r="121" spans="3:4">
      <c r="C121">
        <v>2.36</v>
      </c>
      <c r="D121">
        <f t="shared" si="1"/>
        <v>2.6219599999999996</v>
      </c>
    </row>
    <row r="122" spans="3:4">
      <c r="C122">
        <v>1.256</v>
      </c>
      <c r="D122">
        <f t="shared" si="1"/>
        <v>1.395416</v>
      </c>
    </row>
    <row r="123" spans="3:4">
      <c r="C123">
        <v>1.4040000000000001</v>
      </c>
      <c r="D123">
        <f t="shared" si="1"/>
        <v>1.5598440000000002</v>
      </c>
    </row>
    <row r="124" spans="3:4">
      <c r="C124">
        <v>2.3004000000000002</v>
      </c>
      <c r="D124">
        <f t="shared" si="1"/>
        <v>2.5557444</v>
      </c>
    </row>
    <row r="125" spans="3:4">
      <c r="C125">
        <v>2.4816000000000003</v>
      </c>
      <c r="D125">
        <f t="shared" si="1"/>
        <v>2.7570576000000004</v>
      </c>
    </row>
    <row r="126" spans="3:4">
      <c r="C126">
        <v>1.72</v>
      </c>
      <c r="D126">
        <f t="shared" si="1"/>
        <v>1.91092</v>
      </c>
    </row>
    <row r="127" spans="3:4">
      <c r="C127">
        <v>2.3165999999999998</v>
      </c>
      <c r="D127">
        <f t="shared" si="1"/>
        <v>2.5737425999999997</v>
      </c>
    </row>
    <row r="128" spans="3:4">
      <c r="C128">
        <v>1.6919999999999997</v>
      </c>
      <c r="D128">
        <f t="shared" si="1"/>
        <v>1.8798119999999996</v>
      </c>
    </row>
    <row r="129" spans="3:4">
      <c r="C129">
        <v>2.0196000000000005</v>
      </c>
      <c r="D129">
        <f t="shared" si="1"/>
        <v>2.2437756000000006</v>
      </c>
    </row>
    <row r="130" spans="3:4">
      <c r="C130">
        <v>1.0728</v>
      </c>
      <c r="D130">
        <f t="shared" si="1"/>
        <v>1.1918807999999999</v>
      </c>
    </row>
    <row r="131" spans="3:4">
      <c r="C131">
        <v>1.3680000000000001</v>
      </c>
      <c r="D131">
        <f t="shared" ref="D131:D191" si="2">C131*1.111</f>
        <v>1.5198480000000001</v>
      </c>
    </row>
    <row r="132" spans="3:4">
      <c r="C132">
        <v>0.87680000000000002</v>
      </c>
      <c r="D132">
        <f t="shared" si="2"/>
        <v>0.97412480000000001</v>
      </c>
    </row>
    <row r="133" spans="3:4">
      <c r="C133">
        <v>1.3824000000000001</v>
      </c>
      <c r="D133">
        <f t="shared" si="2"/>
        <v>1.5358464000000001</v>
      </c>
    </row>
    <row r="134" spans="3:4">
      <c r="C134">
        <v>1.81</v>
      </c>
      <c r="D134">
        <f t="shared" si="2"/>
        <v>2.01091</v>
      </c>
    </row>
    <row r="135" spans="3:4">
      <c r="C135">
        <v>1.0448999999999999</v>
      </c>
      <c r="D135">
        <f t="shared" si="2"/>
        <v>1.1608839</v>
      </c>
    </row>
    <row r="136" spans="3:4">
      <c r="C136">
        <v>1.472</v>
      </c>
      <c r="D136">
        <f t="shared" si="2"/>
        <v>1.635392</v>
      </c>
    </row>
    <row r="137" spans="3:4">
      <c r="C137">
        <v>2.1707999999999998</v>
      </c>
      <c r="D137">
        <f t="shared" si="2"/>
        <v>2.4117587999999999</v>
      </c>
    </row>
    <row r="138" spans="3:4">
      <c r="C138">
        <v>1.7664000000000002</v>
      </c>
      <c r="D138">
        <f t="shared" si="2"/>
        <v>1.9624704000000002</v>
      </c>
    </row>
    <row r="139" spans="3:4">
      <c r="C139">
        <v>1.208</v>
      </c>
      <c r="D139">
        <f t="shared" si="2"/>
        <v>1.3420879999999999</v>
      </c>
    </row>
    <row r="140" spans="3:4">
      <c r="C140">
        <v>0.99629999999999996</v>
      </c>
      <c r="D140">
        <f t="shared" si="2"/>
        <v>1.1068893</v>
      </c>
    </row>
    <row r="141" spans="3:4">
      <c r="C141">
        <v>1.4495999999999998</v>
      </c>
      <c r="D141">
        <f t="shared" si="2"/>
        <v>1.6105055999999998</v>
      </c>
    </row>
    <row r="142" spans="3:4">
      <c r="C142">
        <v>2.1960000000000002</v>
      </c>
      <c r="D142">
        <f t="shared" si="2"/>
        <v>2.439756</v>
      </c>
    </row>
    <row r="143" spans="3:4">
      <c r="C143">
        <v>1.7399999999999998</v>
      </c>
      <c r="D143">
        <f t="shared" si="2"/>
        <v>1.9331399999999996</v>
      </c>
    </row>
    <row r="144" spans="3:4">
      <c r="C144">
        <v>2.6640000000000001</v>
      </c>
      <c r="D144">
        <f t="shared" si="2"/>
        <v>2.9597040000000003</v>
      </c>
    </row>
    <row r="145" spans="3:4">
      <c r="C145">
        <v>3.0095999999999998</v>
      </c>
      <c r="D145">
        <f t="shared" si="2"/>
        <v>3.3436655999999996</v>
      </c>
    </row>
    <row r="146" spans="3:4">
      <c r="C146">
        <v>1.3167000000000002</v>
      </c>
      <c r="D146">
        <f t="shared" si="2"/>
        <v>1.4628537000000001</v>
      </c>
    </row>
    <row r="147" spans="3:4">
      <c r="C147">
        <v>1.6019999999999999</v>
      </c>
      <c r="D147">
        <f t="shared" si="2"/>
        <v>1.7798219999999998</v>
      </c>
    </row>
    <row r="148" spans="3:4">
      <c r="C148">
        <v>1.7324999999999999</v>
      </c>
      <c r="D148">
        <f t="shared" si="2"/>
        <v>1.9248075</v>
      </c>
    </row>
    <row r="149" spans="3:4">
      <c r="C149">
        <v>1.8567999999999998</v>
      </c>
      <c r="D149">
        <f t="shared" si="2"/>
        <v>2.0629047999999996</v>
      </c>
    </row>
    <row r="150" spans="3:4">
      <c r="C150">
        <v>1.1119999999999999</v>
      </c>
      <c r="D150">
        <f t="shared" si="2"/>
        <v>1.2354319999999999</v>
      </c>
    </row>
    <row r="151" spans="3:4">
      <c r="C151">
        <v>0.93599999999999994</v>
      </c>
      <c r="D151">
        <f t="shared" si="2"/>
        <v>1.0398959999999999</v>
      </c>
    </row>
    <row r="152" spans="3:4">
      <c r="C152">
        <v>2.5872000000000002</v>
      </c>
      <c r="D152">
        <f t="shared" si="2"/>
        <v>2.8743792000000004</v>
      </c>
    </row>
    <row r="153" spans="3:4">
      <c r="C153">
        <v>2.6664000000000003</v>
      </c>
      <c r="D153">
        <f t="shared" si="2"/>
        <v>2.9623704000000002</v>
      </c>
    </row>
    <row r="154" spans="3:4">
      <c r="C154">
        <v>1.9712000000000001</v>
      </c>
      <c r="D154">
        <f t="shared" si="2"/>
        <v>2.1900032</v>
      </c>
    </row>
    <row r="155" spans="3:4">
      <c r="C155">
        <v>1.1744999999999999</v>
      </c>
      <c r="D155">
        <f t="shared" si="2"/>
        <v>1.3048694999999999</v>
      </c>
    </row>
    <row r="156" spans="3:4">
      <c r="C156">
        <v>1.6214</v>
      </c>
      <c r="D156">
        <f t="shared" si="2"/>
        <v>1.8013754</v>
      </c>
    </row>
    <row r="157" spans="3:4">
      <c r="C157">
        <v>1.5147000000000002</v>
      </c>
      <c r="D157">
        <f t="shared" si="2"/>
        <v>1.6828317000000002</v>
      </c>
    </row>
    <row r="158" spans="3:4">
      <c r="C158">
        <v>1.752</v>
      </c>
      <c r="D158">
        <f t="shared" si="2"/>
        <v>1.946472</v>
      </c>
    </row>
    <row r="159" spans="3:4">
      <c r="C159">
        <v>1.6740000000000002</v>
      </c>
      <c r="D159">
        <f t="shared" si="2"/>
        <v>1.8598140000000001</v>
      </c>
    </row>
    <row r="160" spans="3:4">
      <c r="C160">
        <v>1.1519999999999999</v>
      </c>
      <c r="D160">
        <f t="shared" si="2"/>
        <v>1.2798719999999999</v>
      </c>
    </row>
    <row r="161" spans="3:4">
      <c r="C161">
        <v>1.2671999999999999</v>
      </c>
      <c r="D161">
        <f t="shared" si="2"/>
        <v>1.4078591999999999</v>
      </c>
    </row>
    <row r="162" spans="3:4">
      <c r="C162">
        <v>1.768</v>
      </c>
      <c r="D162">
        <f t="shared" si="2"/>
        <v>1.964248</v>
      </c>
    </row>
    <row r="163" spans="3:4">
      <c r="C163">
        <v>2.4083999999999994</v>
      </c>
      <c r="D163">
        <f t="shared" si="2"/>
        <v>2.6757323999999993</v>
      </c>
    </row>
    <row r="164" spans="3:4">
      <c r="C164">
        <v>1.6271999999999998</v>
      </c>
      <c r="D164">
        <f t="shared" si="2"/>
        <v>1.8078191999999997</v>
      </c>
    </row>
    <row r="165" spans="3:4">
      <c r="C165">
        <v>1.8259999999999998</v>
      </c>
      <c r="D165">
        <f t="shared" si="2"/>
        <v>2.028686</v>
      </c>
    </row>
    <row r="166" spans="3:4">
      <c r="C166">
        <v>1.1456</v>
      </c>
      <c r="D166">
        <f t="shared" si="2"/>
        <v>1.2727615999999999</v>
      </c>
    </row>
    <row r="167" spans="3:4">
      <c r="C167">
        <v>1.4720000000000002</v>
      </c>
      <c r="D167">
        <f t="shared" si="2"/>
        <v>1.6353920000000002</v>
      </c>
    </row>
    <row r="168" spans="3:4">
      <c r="C168">
        <v>1.4720000000000002</v>
      </c>
      <c r="D168">
        <f t="shared" si="2"/>
        <v>1.6353920000000002</v>
      </c>
    </row>
    <row r="169" spans="3:4">
      <c r="C169">
        <v>3.1284000000000001</v>
      </c>
      <c r="D169">
        <f t="shared" si="2"/>
        <v>3.4756524</v>
      </c>
    </row>
    <row r="170" spans="3:4">
      <c r="C170">
        <v>1.7334000000000003</v>
      </c>
      <c r="D170">
        <f t="shared" si="2"/>
        <v>1.9258074000000003</v>
      </c>
    </row>
    <row r="171" spans="3:4">
      <c r="C171">
        <v>1.232</v>
      </c>
      <c r="D171">
        <f t="shared" si="2"/>
        <v>1.368752</v>
      </c>
    </row>
    <row r="172" spans="3:4">
      <c r="C172">
        <v>1.5227999999999997</v>
      </c>
      <c r="D172">
        <f t="shared" si="2"/>
        <v>1.6918307999999997</v>
      </c>
    </row>
    <row r="173" spans="3:4">
      <c r="C173">
        <v>1.323</v>
      </c>
      <c r="D173">
        <f t="shared" si="2"/>
        <v>1.4698529999999999</v>
      </c>
    </row>
    <row r="174" spans="3:4">
      <c r="C174">
        <v>1.4975999999999998</v>
      </c>
      <c r="D174">
        <f t="shared" si="2"/>
        <v>1.6638335999999998</v>
      </c>
    </row>
    <row r="175" spans="3:4">
      <c r="C175">
        <v>3.4272</v>
      </c>
      <c r="D175">
        <f t="shared" si="2"/>
        <v>3.8076192</v>
      </c>
    </row>
    <row r="176" spans="3:4">
      <c r="C176">
        <v>2.4969999999999999</v>
      </c>
      <c r="D176">
        <f t="shared" si="2"/>
        <v>2.7741669999999998</v>
      </c>
    </row>
    <row r="177" spans="3:4">
      <c r="C177">
        <v>1.2023999999999999</v>
      </c>
      <c r="D177">
        <f t="shared" si="2"/>
        <v>1.3358663999999998</v>
      </c>
    </row>
    <row r="178" spans="3:4">
      <c r="C178">
        <v>1.716</v>
      </c>
      <c r="D178">
        <f t="shared" si="2"/>
        <v>1.9064759999999998</v>
      </c>
    </row>
    <row r="179" spans="3:4">
      <c r="C179">
        <v>1.6224000000000001</v>
      </c>
      <c r="D179">
        <f t="shared" si="2"/>
        <v>1.8024864</v>
      </c>
    </row>
    <row r="180" spans="3:4">
      <c r="C180">
        <v>1.3359999999999999</v>
      </c>
      <c r="D180">
        <f t="shared" si="2"/>
        <v>1.4842959999999998</v>
      </c>
    </row>
    <row r="181" spans="3:4">
      <c r="C181">
        <v>1.1712</v>
      </c>
      <c r="D181">
        <f t="shared" si="2"/>
        <v>1.3012032</v>
      </c>
    </row>
    <row r="182" spans="3:4">
      <c r="C182">
        <v>1.3640000000000001</v>
      </c>
      <c r="D182">
        <f t="shared" si="2"/>
        <v>1.5154040000000002</v>
      </c>
    </row>
    <row r="183" spans="3:4">
      <c r="C183">
        <v>2.6928000000000005</v>
      </c>
      <c r="D183">
        <f t="shared" si="2"/>
        <v>2.9917008000000007</v>
      </c>
    </row>
    <row r="184" spans="3:4">
      <c r="C184">
        <v>1.0431999999999999</v>
      </c>
      <c r="D184">
        <f t="shared" si="2"/>
        <v>1.1589951999999999</v>
      </c>
    </row>
    <row r="185" spans="3:4">
      <c r="C185">
        <v>1.024</v>
      </c>
      <c r="D185">
        <f t="shared" si="2"/>
        <v>1.137664</v>
      </c>
    </row>
    <row r="186" spans="3:4">
      <c r="C186">
        <v>1.1439999999999999</v>
      </c>
      <c r="D186">
        <f t="shared" si="2"/>
        <v>1.2709839999999999</v>
      </c>
    </row>
    <row r="187" spans="3:4">
      <c r="C187">
        <v>1.37</v>
      </c>
      <c r="D187">
        <f t="shared" si="2"/>
        <v>1.52207</v>
      </c>
    </row>
    <row r="188" spans="3:4">
      <c r="C188">
        <v>1.9583999999999999</v>
      </c>
      <c r="D188">
        <f t="shared" si="2"/>
        <v>2.1757823999999997</v>
      </c>
    </row>
    <row r="189" spans="3:4">
      <c r="C189">
        <v>1.3024</v>
      </c>
      <c r="D189">
        <f t="shared" si="2"/>
        <v>1.4469664</v>
      </c>
    </row>
    <row r="190" spans="3:4">
      <c r="C190">
        <v>2.7647999999999997</v>
      </c>
      <c r="D190">
        <f t="shared" si="2"/>
        <v>3.0716927999999997</v>
      </c>
    </row>
    <row r="191" spans="3:4">
      <c r="C191">
        <v>2.1455999999999995</v>
      </c>
      <c r="D191">
        <f t="shared" si="2"/>
        <v>2.3837615999999993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D194"/>
  <sheetViews>
    <sheetView topLeftCell="A5" workbookViewId="0">
      <selection activeCell="J189" sqref="J189"/>
    </sheetView>
  </sheetViews>
  <sheetFormatPr defaultRowHeight="15"/>
  <sheetData>
    <row r="6" spans="3:4">
      <c r="C6" s="128">
        <v>2544.0800000000004</v>
      </c>
      <c r="D6">
        <f>C6*0.99+1</f>
        <v>2519.6392000000005</v>
      </c>
    </row>
    <row r="7" spans="3:4">
      <c r="C7" s="129">
        <v>122115.84000000003</v>
      </c>
      <c r="D7">
        <f t="shared" ref="D7:D70" si="0">C7*0.99+1</f>
        <v>120895.68160000003</v>
      </c>
    </row>
    <row r="8" spans="3:4">
      <c r="C8" s="128">
        <v>111125.41440000004</v>
      </c>
      <c r="D8">
        <f t="shared" si="0"/>
        <v>110015.16025600003</v>
      </c>
    </row>
    <row r="9" spans="3:4">
      <c r="C9" s="129">
        <v>103346.63539200004</v>
      </c>
      <c r="D9">
        <f t="shared" si="0"/>
        <v>102314.16903808004</v>
      </c>
    </row>
    <row r="10" spans="3:4">
      <c r="C10" s="128">
        <v>98179.303622400039</v>
      </c>
      <c r="D10">
        <f t="shared" si="0"/>
        <v>97198.510586176038</v>
      </c>
    </row>
    <row r="11" spans="3:4">
      <c r="C11" s="129">
        <v>90324.959332608036</v>
      </c>
      <c r="D11">
        <f t="shared" si="0"/>
        <v>89422.709739281956</v>
      </c>
    </row>
    <row r="12" spans="3:4">
      <c r="C12" s="128">
        <v>1752.304211052596</v>
      </c>
      <c r="D12">
        <f t="shared" si="0"/>
        <v>1735.7811689420701</v>
      </c>
    </row>
    <row r="13" spans="3:4">
      <c r="C13" s="129">
        <v>80605.99370841941</v>
      </c>
      <c r="D13">
        <f t="shared" si="0"/>
        <v>79800.933771335214</v>
      </c>
    </row>
    <row r="14" spans="3:4">
      <c r="C14" s="128">
        <v>73351.454274661664</v>
      </c>
      <c r="D14">
        <f t="shared" si="0"/>
        <v>72618.939731915045</v>
      </c>
    </row>
    <row r="15" spans="3:4">
      <c r="C15" s="129">
        <v>1364.3370495087072</v>
      </c>
      <c r="D15">
        <f t="shared" si="0"/>
        <v>1351.6936790136201</v>
      </c>
    </row>
    <row r="16" spans="3:4">
      <c r="C16" s="128">
        <v>62077.335752646177</v>
      </c>
      <c r="D16">
        <f t="shared" si="0"/>
        <v>61457.562395119712</v>
      </c>
    </row>
    <row r="17" spans="3:4">
      <c r="C17" s="129">
        <v>1154.638444999219</v>
      </c>
      <c r="D17">
        <f t="shared" si="0"/>
        <v>1144.0920605492267</v>
      </c>
    </row>
    <row r="18" spans="3:4">
      <c r="C18" s="128">
        <v>1039.174600499297</v>
      </c>
      <c r="D18">
        <f t="shared" si="0"/>
        <v>1029.782854494304</v>
      </c>
    </row>
    <row r="19" spans="3:4">
      <c r="C19" s="129">
        <v>48321.618923217313</v>
      </c>
      <c r="D19">
        <f t="shared" si="0"/>
        <v>47839.402733985138</v>
      </c>
    </row>
    <row r="20" spans="3:4">
      <c r="C20" s="128">
        <v>927.77508332577247</v>
      </c>
      <c r="D20">
        <f t="shared" si="0"/>
        <v>919.49733249251472</v>
      </c>
    </row>
    <row r="21" spans="3:4">
      <c r="C21" s="130">
        <v>44533.203999637073</v>
      </c>
      <c r="D21">
        <f t="shared" si="0"/>
        <v>44088.871959640703</v>
      </c>
    </row>
    <row r="22" spans="3:4">
      <c r="C22" s="132">
        <v>801.59767199346743</v>
      </c>
      <c r="D22">
        <f t="shared" si="0"/>
        <v>794.58169527353277</v>
      </c>
    </row>
    <row r="23" spans="3:4">
      <c r="C23" s="129">
        <v>38476.688255686437</v>
      </c>
      <c r="D23">
        <f t="shared" si="0"/>
        <v>38092.921373129575</v>
      </c>
    </row>
    <row r="24" spans="3:4">
      <c r="C24" s="128">
        <v>36168.086960345252</v>
      </c>
      <c r="D24">
        <f t="shared" si="0"/>
        <v>35807.406090741802</v>
      </c>
    </row>
    <row r="25" spans="3:4">
      <c r="C25" s="129">
        <v>35083.044351534896</v>
      </c>
      <c r="D25">
        <f t="shared" si="0"/>
        <v>34733.213908019548</v>
      </c>
    </row>
    <row r="26" spans="3:4">
      <c r="C26" s="128">
        <v>34030.553020988846</v>
      </c>
      <c r="D26">
        <f t="shared" si="0"/>
        <v>33691.247490778958</v>
      </c>
    </row>
    <row r="27" spans="3:4">
      <c r="C27" s="130">
        <v>30627.497718889961</v>
      </c>
      <c r="D27">
        <f t="shared" si="0"/>
        <v>30322.222741701062</v>
      </c>
    </row>
    <row r="28" spans="3:4">
      <c r="C28" s="132">
        <v>28789.847855756561</v>
      </c>
      <c r="D28">
        <f t="shared" si="0"/>
        <v>28502.949377198995</v>
      </c>
    </row>
    <row r="29" spans="3:4">
      <c r="C29" s="129">
        <v>529.73320054592068</v>
      </c>
      <c r="D29">
        <f t="shared" si="0"/>
        <v>525.43586854046146</v>
      </c>
    </row>
    <row r="30" spans="3:4">
      <c r="C30" s="128">
        <v>25427.193626204193</v>
      </c>
      <c r="D30">
        <f t="shared" si="0"/>
        <v>25173.921689942152</v>
      </c>
    </row>
    <row r="31" spans="3:4">
      <c r="C31" s="129">
        <v>467.86036272215716</v>
      </c>
      <c r="D31">
        <f t="shared" si="0"/>
        <v>464.18175909493561</v>
      </c>
    </row>
    <row r="32" spans="3:4">
      <c r="C32" s="128">
        <v>22223.367229302465</v>
      </c>
      <c r="D32">
        <f t="shared" si="0"/>
        <v>22002.133557009442</v>
      </c>
    </row>
    <row r="33" spans="3:4">
      <c r="C33" s="129">
        <v>20667.731523251292</v>
      </c>
      <c r="D33">
        <f t="shared" si="0"/>
        <v>20462.054208018781</v>
      </c>
    </row>
    <row r="34" spans="3:4">
      <c r="C34" s="128">
        <v>400.95399155107509</v>
      </c>
      <c r="D34">
        <f t="shared" si="0"/>
        <v>397.94445163556435</v>
      </c>
    </row>
    <row r="35" spans="3:4">
      <c r="C35" s="129">
        <v>364.86813231147835</v>
      </c>
      <c r="D35">
        <f t="shared" si="0"/>
        <v>362.21945098836358</v>
      </c>
    </row>
    <row r="36" spans="3:4">
      <c r="C36" s="128">
        <v>17696.104417106701</v>
      </c>
      <c r="D36">
        <f t="shared" si="0"/>
        <v>17520.143372935632</v>
      </c>
    </row>
    <row r="37" spans="3:4">
      <c r="C37" s="129">
        <v>16103.455019567096</v>
      </c>
      <c r="D37">
        <f t="shared" si="0"/>
        <v>15943.420469371425</v>
      </c>
    </row>
    <row r="38" spans="3:4">
      <c r="C38" s="128">
        <v>299.52426336394802</v>
      </c>
      <c r="D38">
        <f t="shared" si="0"/>
        <v>297.52902073030856</v>
      </c>
    </row>
    <row r="39" spans="3:4">
      <c r="C39" s="129">
        <v>281.55280756211113</v>
      </c>
      <c r="D39">
        <f t="shared" si="0"/>
        <v>279.73727948649002</v>
      </c>
    </row>
    <row r="40" spans="3:4">
      <c r="C40" s="128">
        <v>264.65963910838445</v>
      </c>
      <c r="D40">
        <f t="shared" si="0"/>
        <v>263.01304271730061</v>
      </c>
    </row>
    <row r="41" spans="3:4">
      <c r="C41" s="129">
        <v>12439.00303809407</v>
      </c>
      <c r="D41">
        <f t="shared" si="0"/>
        <v>12315.613007713129</v>
      </c>
    </row>
    <row r="42" spans="3:4">
      <c r="C42" s="128">
        <v>241.31665893902493</v>
      </c>
      <c r="D42">
        <f t="shared" si="0"/>
        <v>239.90349234963469</v>
      </c>
    </row>
    <row r="43" spans="3:4">
      <c r="C43" s="130">
        <v>10979.907981725633</v>
      </c>
      <c r="D43">
        <f t="shared" si="0"/>
        <v>10871.108901908377</v>
      </c>
    </row>
    <row r="44" spans="3:4">
      <c r="C44" s="128">
        <v>10650.510742273864</v>
      </c>
      <c r="D44">
        <f t="shared" si="0"/>
        <v>10545.005634851124</v>
      </c>
    </row>
    <row r="45" spans="3:4">
      <c r="C45" s="129">
        <v>10224.490312582908</v>
      </c>
      <c r="D45">
        <f t="shared" si="0"/>
        <v>10123.245409457078</v>
      </c>
    </row>
    <row r="46" spans="3:4">
      <c r="C46" s="128">
        <v>186.08572368900892</v>
      </c>
      <c r="D46">
        <f t="shared" si="0"/>
        <v>185.22486645211882</v>
      </c>
    </row>
    <row r="47" spans="3:4">
      <c r="C47" s="130">
        <v>180.50315197833865</v>
      </c>
      <c r="D47">
        <f t="shared" si="0"/>
        <v>179.69812045855525</v>
      </c>
    </row>
    <row r="48" spans="3:4">
      <c r="C48" s="128">
        <v>173.28302589920509</v>
      </c>
      <c r="D48">
        <f t="shared" si="0"/>
        <v>172.55019564021305</v>
      </c>
    </row>
    <row r="49" spans="3:4">
      <c r="C49" s="129">
        <v>8230.9437302122424</v>
      </c>
      <c r="D49">
        <f t="shared" si="0"/>
        <v>8149.6342929101202</v>
      </c>
    </row>
    <row r="50" spans="3:4">
      <c r="C50" s="133">
        <v>7654.7776690973851</v>
      </c>
      <c r="D50">
        <f t="shared" si="0"/>
        <v>7579.2298924064116</v>
      </c>
    </row>
    <row r="51" spans="3:4">
      <c r="C51" s="129">
        <v>145.44077571285032</v>
      </c>
      <c r="D51">
        <f t="shared" si="0"/>
        <v>144.98636795572182</v>
      </c>
    </row>
    <row r="52" spans="3:4">
      <c r="C52" s="128">
        <v>6690.2756827911144</v>
      </c>
      <c r="D52">
        <f t="shared" si="0"/>
        <v>6624.3729259632028</v>
      </c>
    </row>
    <row r="53" spans="3:4">
      <c r="C53" s="129">
        <v>121.76301742679829</v>
      </c>
      <c r="D53">
        <f t="shared" si="0"/>
        <v>121.5453872525303</v>
      </c>
    </row>
    <row r="54" spans="3:4">
      <c r="C54" s="128">
        <v>109.58671568411845</v>
      </c>
      <c r="D54">
        <f t="shared" si="0"/>
        <v>109.49084852727727</v>
      </c>
    </row>
    <row r="55" spans="3:4">
      <c r="C55" s="129">
        <v>103.01151274307135</v>
      </c>
      <c r="D55">
        <f t="shared" si="0"/>
        <v>102.98139761564063</v>
      </c>
    </row>
    <row r="56" spans="3:4">
      <c r="C56" s="128">
        <v>4687.0238298097465</v>
      </c>
      <c r="D56">
        <f t="shared" si="0"/>
        <v>4641.1535915116492</v>
      </c>
    </row>
    <row r="57" spans="3:4">
      <c r="C57" s="129">
        <v>89.053452766385178</v>
      </c>
      <c r="D57">
        <f t="shared" si="0"/>
        <v>89.162918238721332</v>
      </c>
    </row>
    <row r="58" spans="3:4">
      <c r="C58" s="132">
        <v>83.710245600402061</v>
      </c>
      <c r="D58">
        <f t="shared" si="0"/>
        <v>83.873143144398043</v>
      </c>
    </row>
    <row r="59" spans="3:4">
      <c r="C59" s="129">
        <v>78.687630864377951</v>
      </c>
      <c r="D59">
        <f t="shared" si="0"/>
        <v>78.900754555734167</v>
      </c>
    </row>
    <row r="60" spans="3:4">
      <c r="C60" s="128">
        <v>3580.2872043291968</v>
      </c>
      <c r="D60">
        <f t="shared" si="0"/>
        <v>3545.4843322859047</v>
      </c>
    </row>
    <row r="61" spans="3:4">
      <c r="C61" s="129">
        <v>66.593342000523066</v>
      </c>
      <c r="D61">
        <f t="shared" si="0"/>
        <v>66.927408580517834</v>
      </c>
    </row>
    <row r="62" spans="3:4">
      <c r="C62" s="128">
        <v>3196.4804160251074</v>
      </c>
      <c r="D62">
        <f t="shared" si="0"/>
        <v>3165.5156118648565</v>
      </c>
    </row>
    <row r="63" spans="3:4">
      <c r="C63" s="129">
        <v>2876.8323744225968</v>
      </c>
      <c r="D63">
        <f t="shared" si="0"/>
        <v>2849.0640506783707</v>
      </c>
    </row>
    <row r="64" spans="3:4">
      <c r="C64" s="132">
        <v>2790.5274031899189</v>
      </c>
      <c r="D64">
        <f t="shared" si="0"/>
        <v>2763.6221291580196</v>
      </c>
    </row>
    <row r="65" spans="3:4">
      <c r="C65" s="129">
        <v>2539.3799369028261</v>
      </c>
      <c r="D65">
        <f t="shared" si="0"/>
        <v>2514.9861375337978</v>
      </c>
    </row>
    <row r="66" spans="3:4">
      <c r="C66" s="132">
        <v>2387.0171406886566</v>
      </c>
      <c r="D66">
        <f t="shared" si="0"/>
        <v>2364.14696928177</v>
      </c>
    </row>
    <row r="67" spans="3:4">
      <c r="C67" s="129">
        <v>2172.1855980266778</v>
      </c>
      <c r="D67">
        <f t="shared" si="0"/>
        <v>2151.463742046411</v>
      </c>
    </row>
    <row r="68" spans="3:4">
      <c r="C68" s="128">
        <v>2063.5763181253437</v>
      </c>
      <c r="D68">
        <f t="shared" si="0"/>
        <v>2043.9405549440903</v>
      </c>
    </row>
    <row r="69" spans="3:4">
      <c r="C69" s="129">
        <v>37.144373726256184</v>
      </c>
      <c r="D69">
        <f t="shared" si="0"/>
        <v>37.772929988993624</v>
      </c>
    </row>
    <row r="70" spans="3:4">
      <c r="C70" s="128">
        <v>35.658598777205938</v>
      </c>
      <c r="D70">
        <f t="shared" si="0"/>
        <v>36.302012789433881</v>
      </c>
    </row>
    <row r="71" spans="3:4">
      <c r="C71" s="129">
        <v>1711.612741305885</v>
      </c>
      <c r="D71">
        <f t="shared" ref="D71:D134" si="1">C71*0.99+1</f>
        <v>1695.4966138928262</v>
      </c>
    </row>
    <row r="72" spans="3:4">
      <c r="C72" s="133">
        <v>1557.5675945883552</v>
      </c>
      <c r="D72">
        <f t="shared" si="1"/>
        <v>1542.9919186424715</v>
      </c>
    </row>
    <row r="73" spans="3:4">
      <c r="C73" s="129">
        <v>1401.8108351295198</v>
      </c>
      <c r="D73">
        <f t="shared" si="1"/>
        <v>1388.7927267782245</v>
      </c>
    </row>
    <row r="74" spans="3:4">
      <c r="C74" s="128">
        <v>26.354043700434971</v>
      </c>
      <c r="D74">
        <f t="shared" si="1"/>
        <v>27.09050326343062</v>
      </c>
    </row>
    <row r="75" spans="3:4">
      <c r="C75" s="129">
        <v>1278.1711194710961</v>
      </c>
      <c r="D75">
        <f t="shared" si="1"/>
        <v>1266.389408276385</v>
      </c>
    </row>
    <row r="76" spans="3:4">
      <c r="C76" s="128">
        <v>24.796519717739265</v>
      </c>
      <c r="D76">
        <f t="shared" si="1"/>
        <v>25.548554520561872</v>
      </c>
    </row>
    <row r="77" spans="3:4">
      <c r="C77" s="129">
        <v>1165.4364267337455</v>
      </c>
      <c r="D77">
        <f t="shared" si="1"/>
        <v>1154.782062466408</v>
      </c>
    </row>
    <row r="78" spans="3:4">
      <c r="C78" s="128">
        <v>1072.2015125950459</v>
      </c>
      <c r="D78">
        <f t="shared" si="1"/>
        <v>1062.4794974690953</v>
      </c>
    </row>
    <row r="79" spans="3:4">
      <c r="C79" s="129">
        <v>19.299627226710825</v>
      </c>
      <c r="D79">
        <f t="shared" si="1"/>
        <v>20.106630954443716</v>
      </c>
    </row>
    <row r="80" spans="3:4">
      <c r="C80" s="128">
        <v>887.78285242869811</v>
      </c>
      <c r="D80">
        <f t="shared" si="1"/>
        <v>879.90502390441111</v>
      </c>
    </row>
    <row r="81" spans="3:4">
      <c r="C81" s="129">
        <v>825.63805275868935</v>
      </c>
      <c r="D81">
        <f t="shared" si="1"/>
        <v>818.38167223110247</v>
      </c>
    </row>
    <row r="82" spans="3:4">
      <c r="C82" s="128">
        <v>800.8689111759287</v>
      </c>
      <c r="D82">
        <f t="shared" si="1"/>
        <v>793.86022206416942</v>
      </c>
    </row>
    <row r="83" spans="3:4">
      <c r="C83" s="129">
        <v>15.056335530107461</v>
      </c>
      <c r="D83">
        <f t="shared" si="1"/>
        <v>15.905772174806387</v>
      </c>
    </row>
    <row r="84" spans="3:4">
      <c r="C84" s="128">
        <v>730.23227321021182</v>
      </c>
      <c r="D84">
        <f t="shared" si="1"/>
        <v>723.92995047810973</v>
      </c>
    </row>
    <row r="85" spans="3:4">
      <c r="C85" s="129">
        <v>679.116014085497</v>
      </c>
      <c r="D85">
        <f t="shared" si="1"/>
        <v>673.32485394464197</v>
      </c>
    </row>
    <row r="86" spans="3:4">
      <c r="C86" s="128">
        <v>12.903204267624442</v>
      </c>
      <c r="D86">
        <f t="shared" si="1"/>
        <v>13.774172224948197</v>
      </c>
    </row>
    <row r="87" spans="3:4">
      <c r="C87" s="129">
        <v>599.9989984445366</v>
      </c>
      <c r="D87">
        <f t="shared" si="1"/>
        <v>594.9990084600912</v>
      </c>
    </row>
    <row r="88" spans="3:4">
      <c r="C88" s="128">
        <v>11.279981170757287</v>
      </c>
      <c r="D88">
        <f t="shared" si="1"/>
        <v>12.167181359049714</v>
      </c>
    </row>
    <row r="89" spans="3:4">
      <c r="C89" s="130">
        <v>507.59915268407792</v>
      </c>
      <c r="D89">
        <f t="shared" si="1"/>
        <v>503.52316115723715</v>
      </c>
    </row>
    <row r="90" spans="3:4">
      <c r="C90" s="128">
        <v>9.4413442399238505</v>
      </c>
      <c r="D90">
        <f t="shared" si="1"/>
        <v>10.346930797524612</v>
      </c>
    </row>
    <row r="91" spans="3:4">
      <c r="C91" s="129">
        <v>9.1581039127261352</v>
      </c>
      <c r="D91">
        <f t="shared" si="1"/>
        <v>10.066522873598874</v>
      </c>
    </row>
    <row r="92" spans="3:4">
      <c r="C92" s="128">
        <v>8.6086176779625685</v>
      </c>
      <c r="D92">
        <f t="shared" si="1"/>
        <v>9.522531501182943</v>
      </c>
    </row>
    <row r="93" spans="3:4">
      <c r="C93" s="129">
        <v>8.0921006172848138</v>
      </c>
      <c r="D93">
        <f t="shared" si="1"/>
        <v>9.0111796111119649</v>
      </c>
    </row>
    <row r="94" spans="3:4">
      <c r="C94" s="128">
        <v>7.3638115617291797</v>
      </c>
      <c r="D94">
        <f t="shared" si="1"/>
        <v>8.2901734461118881</v>
      </c>
    </row>
    <row r="95" spans="3:4">
      <c r="C95" s="129">
        <v>338.73533183954225</v>
      </c>
      <c r="D95">
        <f t="shared" si="1"/>
        <v>336.34797852114684</v>
      </c>
    </row>
    <row r="96" spans="3:4">
      <c r="C96" s="128">
        <v>318.41121192916972</v>
      </c>
      <c r="D96">
        <f t="shared" si="1"/>
        <v>316.22709980987804</v>
      </c>
    </row>
    <row r="97" spans="3:4">
      <c r="C97" s="131">
        <v>286.57009073625272</v>
      </c>
      <c r="D97">
        <f t="shared" si="1"/>
        <v>284.70438982889021</v>
      </c>
    </row>
    <row r="98" spans="3:4">
      <c r="C98" s="128">
        <v>5.5594597602833025</v>
      </c>
      <c r="D98">
        <f t="shared" si="1"/>
        <v>6.5038651626804693</v>
      </c>
    </row>
    <row r="99" spans="3:4">
      <c r="C99" s="129">
        <v>5.0591083818578051</v>
      </c>
      <c r="D99">
        <f t="shared" si="1"/>
        <v>6.0085172980392274</v>
      </c>
    </row>
    <row r="100" spans="3:4">
      <c r="C100" s="128">
        <v>4.5531975436720247</v>
      </c>
      <c r="D100">
        <f t="shared" si="1"/>
        <v>5.5076655682353044</v>
      </c>
    </row>
    <row r="101" spans="3:4">
      <c r="C101" s="129">
        <v>214.00028455258516</v>
      </c>
      <c r="D101">
        <f t="shared" si="1"/>
        <v>212.8602817070593</v>
      </c>
    </row>
    <row r="102" spans="3:4">
      <c r="C102" s="128">
        <v>3.852005121946533</v>
      </c>
      <c r="D102">
        <f t="shared" si="1"/>
        <v>4.8134850707270678</v>
      </c>
    </row>
    <row r="103" spans="3:4">
      <c r="C103" s="129">
        <v>3.6594048658492069</v>
      </c>
      <c r="D103">
        <f t="shared" si="1"/>
        <v>4.6228108171907145</v>
      </c>
    </row>
    <row r="104" spans="3:4">
      <c r="C104" s="128">
        <v>177.48113599368651</v>
      </c>
      <c r="D104">
        <f t="shared" si="1"/>
        <v>176.70632463374963</v>
      </c>
    </row>
    <row r="105" spans="3:4">
      <c r="C105" s="129">
        <v>3.3366453566813061</v>
      </c>
      <c r="D105">
        <f t="shared" si="1"/>
        <v>4.3032789031144931</v>
      </c>
    </row>
    <row r="106" spans="3:4">
      <c r="C106" s="128">
        <v>3.1698130888472411</v>
      </c>
      <c r="D106">
        <f t="shared" si="1"/>
        <v>4.1381149579587682</v>
      </c>
    </row>
    <row r="107" spans="3:4">
      <c r="C107" s="129">
        <v>3.011322434404879</v>
      </c>
      <c r="D107">
        <f t="shared" si="1"/>
        <v>3.9812092100608303</v>
      </c>
    </row>
    <row r="108" spans="3:4">
      <c r="C108" s="133">
        <v>2.8306430883405862</v>
      </c>
      <c r="D108">
        <f t="shared" si="1"/>
        <v>3.8023366574571802</v>
      </c>
    </row>
    <row r="109" spans="3:4">
      <c r="C109" s="129">
        <v>137.28618978451846</v>
      </c>
      <c r="D109">
        <f t="shared" si="1"/>
        <v>136.91332788667327</v>
      </c>
    </row>
    <row r="110" spans="3:4">
      <c r="C110" s="128">
        <v>129.04901839744736</v>
      </c>
      <c r="D110">
        <f t="shared" si="1"/>
        <v>128.75852821347289</v>
      </c>
    </row>
    <row r="111" spans="3:4">
      <c r="C111" s="129">
        <v>2.3745019385130313</v>
      </c>
      <c r="D111">
        <f t="shared" si="1"/>
        <v>3.350756919127901</v>
      </c>
    </row>
    <row r="112" spans="3:4">
      <c r="C112" s="128">
        <v>2.1370517446617279</v>
      </c>
      <c r="D112">
        <f t="shared" si="1"/>
        <v>3.1156812272151106</v>
      </c>
    </row>
    <row r="113" spans="3:4">
      <c r="C113" s="129">
        <v>2.0088286399820241</v>
      </c>
      <c r="D113">
        <f t="shared" si="1"/>
        <v>2.9887403535822039</v>
      </c>
    </row>
    <row r="114" spans="3:4">
      <c r="C114" s="128">
        <v>1.9083872079829232</v>
      </c>
      <c r="D114">
        <f t="shared" si="1"/>
        <v>2.8893033359030937</v>
      </c>
    </row>
    <row r="115" spans="3:4">
      <c r="C115" s="129">
        <v>86.831617963222996</v>
      </c>
      <c r="D115">
        <f t="shared" si="1"/>
        <v>86.963301783590765</v>
      </c>
    </row>
    <row r="116" spans="3:4">
      <c r="C116" s="133">
        <v>79.885088526165148</v>
      </c>
      <c r="D116">
        <f t="shared" si="1"/>
        <v>80.086237640903491</v>
      </c>
    </row>
    <row r="117" spans="3:4">
      <c r="C117" s="131">
        <v>1.5337936997023709</v>
      </c>
      <c r="D117">
        <f t="shared" si="1"/>
        <v>2.5184557627053472</v>
      </c>
    </row>
    <row r="118" spans="3:4">
      <c r="C118" s="133">
        <v>73.622097585713803</v>
      </c>
      <c r="D118">
        <f t="shared" si="1"/>
        <v>73.885876609856666</v>
      </c>
    </row>
    <row r="119" spans="3:4">
      <c r="C119" s="129">
        <v>69.204771730570968</v>
      </c>
      <c r="D119">
        <f t="shared" si="1"/>
        <v>69.512724013265256</v>
      </c>
    </row>
    <row r="120" spans="3:4">
      <c r="C120" s="128">
        <v>67.128628578653846</v>
      </c>
      <c r="D120">
        <f t="shared" si="1"/>
        <v>67.45734229286731</v>
      </c>
    </row>
    <row r="121" spans="3:4">
      <c r="C121" s="130">
        <v>1.3022953944258848</v>
      </c>
      <c r="D121">
        <f t="shared" si="1"/>
        <v>2.2892724404816258</v>
      </c>
    </row>
    <row r="122" spans="3:4">
      <c r="C122" s="133">
        <v>1.1850888089275551</v>
      </c>
      <c r="D122">
        <f t="shared" si="1"/>
        <v>2.1732379208382797</v>
      </c>
    </row>
    <row r="123" spans="3:4">
      <c r="C123" s="131">
        <v>55.699174019595091</v>
      </c>
      <c r="D123">
        <f t="shared" si="1"/>
        <v>56.142182279399137</v>
      </c>
    </row>
    <row r="124" spans="3:4">
      <c r="C124" s="128">
        <v>54.028198799007242</v>
      </c>
      <c r="D124">
        <f t="shared" si="1"/>
        <v>54.487916811017172</v>
      </c>
    </row>
    <row r="125" spans="3:4">
      <c r="C125" s="129">
        <v>0.97250757838213031</v>
      </c>
      <c r="D125">
        <f t="shared" si="1"/>
        <v>1.962782502598309</v>
      </c>
    </row>
    <row r="126" spans="3:4">
      <c r="C126" s="133">
        <v>0.87525682054391718</v>
      </c>
      <c r="D126">
        <f t="shared" si="1"/>
        <v>1.8665042523384781</v>
      </c>
    </row>
    <row r="127" spans="3:4">
      <c r="C127" s="129">
        <v>0.80523627490040384</v>
      </c>
      <c r="D127">
        <f t="shared" si="1"/>
        <v>1.7971839121513997</v>
      </c>
    </row>
    <row r="128" spans="3:4">
      <c r="C128" s="128">
        <v>36.638250507968372</v>
      </c>
      <c r="D128">
        <f t="shared" si="1"/>
        <v>37.271868002888688</v>
      </c>
    </row>
    <row r="129" spans="3:4">
      <c r="C129" s="131">
        <v>0.70345440975299278</v>
      </c>
      <c r="D129">
        <f t="shared" si="1"/>
        <v>1.696419865655463</v>
      </c>
    </row>
    <row r="130" spans="3:4">
      <c r="C130" s="128">
        <v>33.062357258390662</v>
      </c>
      <c r="D130">
        <f t="shared" si="1"/>
        <v>33.731733685806752</v>
      </c>
    </row>
    <row r="131" spans="3:4">
      <c r="C131" s="129">
        <v>31.078615822887222</v>
      </c>
      <c r="D131">
        <f t="shared" si="1"/>
        <v>31.76782966465835</v>
      </c>
    </row>
    <row r="132" spans="3:4">
      <c r="C132" s="133">
        <v>27.970754240598499</v>
      </c>
      <c r="D132">
        <f t="shared" si="1"/>
        <v>28.691046698192512</v>
      </c>
    </row>
    <row r="133" spans="3:4">
      <c r="C133" s="129">
        <v>0.520256028875132</v>
      </c>
      <c r="D133">
        <f t="shared" si="1"/>
        <v>1.5150534685863808</v>
      </c>
    </row>
    <row r="134" spans="3:4">
      <c r="C134" s="132">
        <v>0.47863554656512142</v>
      </c>
      <c r="D134">
        <f t="shared" si="1"/>
        <v>1.4738491910994702</v>
      </c>
    </row>
    <row r="135" spans="3:4">
      <c r="C135" s="129">
        <v>21.538599595430465</v>
      </c>
      <c r="D135">
        <f t="shared" ref="D135:D194" si="2">C135*0.99+1</f>
        <v>22.323213599476162</v>
      </c>
    </row>
    <row r="136" spans="3:4">
      <c r="C136" s="128">
        <v>0.40492567239409277</v>
      </c>
      <c r="D136">
        <f t="shared" si="2"/>
        <v>1.4008764156701519</v>
      </c>
    </row>
    <row r="137" spans="3:4">
      <c r="C137" s="131">
        <v>19.233969438719406</v>
      </c>
      <c r="D137">
        <f t="shared" si="2"/>
        <v>20.041629744332212</v>
      </c>
    </row>
    <row r="138" spans="3:4">
      <c r="C138" s="133">
        <v>0.35775183156018092</v>
      </c>
      <c r="D138">
        <f t="shared" si="2"/>
        <v>1.3541743132445792</v>
      </c>
    </row>
    <row r="139" spans="3:4">
      <c r="C139" s="131">
        <v>16.456584251768323</v>
      </c>
      <c r="D139">
        <f t="shared" si="2"/>
        <v>17.292018409250641</v>
      </c>
    </row>
    <row r="140" spans="3:4">
      <c r="C140" s="128">
        <v>15.798320881697592</v>
      </c>
      <c r="D140">
        <f t="shared" si="2"/>
        <v>16.640337672880616</v>
      </c>
    </row>
    <row r="141" spans="3:4">
      <c r="C141" s="131">
        <v>0.30648742510493332</v>
      </c>
      <c r="D141">
        <f t="shared" si="2"/>
        <v>1.3034225508538839</v>
      </c>
    </row>
    <row r="142" spans="3:4">
      <c r="C142" s="128">
        <v>14.558152692484333</v>
      </c>
      <c r="D142">
        <f t="shared" si="2"/>
        <v>15.412571165559489</v>
      </c>
    </row>
    <row r="143" spans="3:4">
      <c r="C143" s="129">
        <v>13.53908200401043</v>
      </c>
      <c r="D143">
        <f t="shared" si="2"/>
        <v>14.403691183970325</v>
      </c>
    </row>
    <row r="144" spans="3:4">
      <c r="C144" s="133">
        <v>0.24911910887379191</v>
      </c>
      <c r="D144">
        <f t="shared" si="2"/>
        <v>1.2466279177850539</v>
      </c>
    </row>
    <row r="145" spans="3:4">
      <c r="C145" s="129">
        <v>0.23417196234136436</v>
      </c>
      <c r="D145">
        <f t="shared" si="2"/>
        <v>1.2318302427179506</v>
      </c>
    </row>
    <row r="146" spans="3:4">
      <c r="C146" s="128">
        <v>0.22714680347112345</v>
      </c>
      <c r="D146">
        <f t="shared" si="2"/>
        <v>1.2248753354364121</v>
      </c>
    </row>
    <row r="147" spans="3:4">
      <c r="C147" s="129">
        <v>10.562326361407241</v>
      </c>
      <c r="D147">
        <f t="shared" si="2"/>
        <v>11.456703097793168</v>
      </c>
    </row>
    <row r="148" spans="3:4">
      <c r="C148" s="128">
        <v>10.034210043336879</v>
      </c>
      <c r="D148">
        <f t="shared" si="2"/>
        <v>10.933867942903509</v>
      </c>
    </row>
    <row r="149" spans="3:4">
      <c r="C149" s="129">
        <v>9.2314732398699295</v>
      </c>
      <c r="D149">
        <f t="shared" si="2"/>
        <v>10.13915850747123</v>
      </c>
    </row>
    <row r="150" spans="3:4">
      <c r="C150" s="128">
        <v>8.4929553806803355</v>
      </c>
      <c r="D150">
        <f t="shared" si="2"/>
        <v>9.4080258268735317</v>
      </c>
    </row>
    <row r="151" spans="3:4">
      <c r="C151" s="129">
        <v>0.16476333438519852</v>
      </c>
      <c r="D151">
        <f t="shared" si="2"/>
        <v>1.1631157010413467</v>
      </c>
    </row>
    <row r="152" spans="3:4">
      <c r="C152" s="128">
        <v>7.5791133817191314</v>
      </c>
      <c r="D152">
        <f t="shared" si="2"/>
        <v>8.5033222479019397</v>
      </c>
    </row>
    <row r="153" spans="3:4">
      <c r="C153" s="129">
        <v>0.13642404087094437</v>
      </c>
      <c r="D153">
        <f t="shared" si="2"/>
        <v>1.135059800462235</v>
      </c>
    </row>
    <row r="154" spans="3:4">
      <c r="C154" s="128">
        <v>0.13233131964481604</v>
      </c>
      <c r="D154">
        <f t="shared" si="2"/>
        <v>1.1310080064483679</v>
      </c>
    </row>
    <row r="155" spans="3:4">
      <c r="C155" s="129">
        <v>0.12306812726967892</v>
      </c>
      <c r="D155">
        <f t="shared" si="2"/>
        <v>1.1218374459969822</v>
      </c>
    </row>
    <row r="156" spans="3:4">
      <c r="C156" s="128">
        <v>0.11076131454271101</v>
      </c>
      <c r="D156">
        <f t="shared" si="2"/>
        <v>1.1096537013972838</v>
      </c>
    </row>
    <row r="157" spans="3:4">
      <c r="C157" s="129">
        <v>5.1504011262360621</v>
      </c>
      <c r="D157">
        <f t="shared" si="2"/>
        <v>6.0988971149737017</v>
      </c>
    </row>
    <row r="158" spans="3:4">
      <c r="C158" s="128">
        <v>4.841377058661898</v>
      </c>
      <c r="D158">
        <f t="shared" si="2"/>
        <v>5.7929632880752786</v>
      </c>
    </row>
    <row r="159" spans="3:4">
      <c r="C159" s="129">
        <v>4.6477219763154221</v>
      </c>
      <c r="D159">
        <f t="shared" si="2"/>
        <v>5.6012447565522674</v>
      </c>
    </row>
    <row r="160" spans="3:4">
      <c r="C160" s="128">
        <v>4.2759042182101883</v>
      </c>
      <c r="D160">
        <f t="shared" si="2"/>
        <v>5.2331451760280867</v>
      </c>
    </row>
    <row r="161" spans="3:4">
      <c r="C161" s="129">
        <v>8.0386999302351547E-2</v>
      </c>
      <c r="D161">
        <f t="shared" si="2"/>
        <v>1.0795831293093281</v>
      </c>
    </row>
    <row r="162" spans="3:4">
      <c r="C162" s="128">
        <v>3.8183824668616984</v>
      </c>
      <c r="D162">
        <f t="shared" si="2"/>
        <v>4.7801986421930813</v>
      </c>
    </row>
    <row r="163" spans="3:4">
      <c r="C163" s="129">
        <v>3.6656471681872302</v>
      </c>
      <c r="D163">
        <f t="shared" si="2"/>
        <v>4.6289906965053582</v>
      </c>
    </row>
    <row r="164" spans="3:4">
      <c r="C164" s="128">
        <v>6.5981649027370151E-2</v>
      </c>
      <c r="D164">
        <f t="shared" si="2"/>
        <v>1.0653218325370966</v>
      </c>
    </row>
    <row r="165" spans="3:4">
      <c r="C165" s="129">
        <v>6.2022750085727933E-2</v>
      </c>
      <c r="D165">
        <f t="shared" si="2"/>
        <v>1.0614025225848707</v>
      </c>
    </row>
    <row r="166" spans="3:4">
      <c r="C166" s="128">
        <v>5.7060930078869691E-2</v>
      </c>
      <c r="D166">
        <f t="shared" si="2"/>
        <v>1.0564903207780809</v>
      </c>
    </row>
    <row r="167" spans="3:4">
      <c r="C167" s="129">
        <v>5.3637274274137503E-2</v>
      </c>
      <c r="D167">
        <f t="shared" si="2"/>
        <v>1.0531009015313961</v>
      </c>
    </row>
    <row r="168" spans="3:4">
      <c r="C168" s="128">
        <v>2.5209518908844628</v>
      </c>
      <c r="D168">
        <f t="shared" si="2"/>
        <v>3.4957423719756182</v>
      </c>
    </row>
    <row r="169" spans="3:4">
      <c r="C169" s="129">
        <v>2.3949042963402398</v>
      </c>
      <c r="D169">
        <f t="shared" si="2"/>
        <v>3.3709552533768372</v>
      </c>
    </row>
    <row r="170" spans="3:4">
      <c r="C170" s="128">
        <v>4.3587258193392361E-2</v>
      </c>
      <c r="D170">
        <f t="shared" si="2"/>
        <v>1.0431513856114585</v>
      </c>
    </row>
    <row r="171" spans="3:4">
      <c r="C171" s="129">
        <v>4.0536150119854897E-2</v>
      </c>
      <c r="D171">
        <f t="shared" si="2"/>
        <v>1.0401307886186564</v>
      </c>
    </row>
    <row r="172" spans="3:4">
      <c r="C172" s="128">
        <v>1.8646629055133253</v>
      </c>
      <c r="D172">
        <f t="shared" si="2"/>
        <v>2.846016276458192</v>
      </c>
    </row>
    <row r="173" spans="3:4">
      <c r="C173" s="129">
        <v>3.5801527785855838E-2</v>
      </c>
      <c r="D173">
        <f t="shared" si="2"/>
        <v>1.0354435125079973</v>
      </c>
    </row>
    <row r="174" spans="3:4">
      <c r="C174" s="128">
        <v>3.4727481952280162E-2</v>
      </c>
      <c r="D174">
        <f t="shared" si="2"/>
        <v>1.0343802071327572</v>
      </c>
    </row>
    <row r="175" spans="3:4">
      <c r="C175" s="129">
        <v>1.5627366878526072</v>
      </c>
      <c r="D175">
        <f t="shared" si="2"/>
        <v>2.5471093209740809</v>
      </c>
    </row>
    <row r="176" spans="3:4">
      <c r="C176" s="128">
        <v>1.4533451197029248</v>
      </c>
      <c r="D176">
        <f t="shared" si="2"/>
        <v>2.4388116685058954</v>
      </c>
    </row>
    <row r="177" spans="3:4">
      <c r="C177" s="129">
        <v>1.3806778637177786</v>
      </c>
      <c r="D177">
        <f t="shared" si="2"/>
        <v>2.366871085080601</v>
      </c>
    </row>
    <row r="178" spans="3:4">
      <c r="C178" s="128">
        <v>1.3254507491690675</v>
      </c>
      <c r="D178">
        <f t="shared" si="2"/>
        <v>2.3121962416773769</v>
      </c>
    </row>
    <row r="179" spans="3:4">
      <c r="C179" s="129">
        <v>1.2061601817438514</v>
      </c>
      <c r="D179">
        <f t="shared" si="2"/>
        <v>2.194098579926413</v>
      </c>
    </row>
    <row r="180" spans="3:4">
      <c r="C180" s="128">
        <v>2.2193347344086865E-2</v>
      </c>
      <c r="D180">
        <f t="shared" si="2"/>
        <v>1.0219714138706459</v>
      </c>
    </row>
    <row r="181" spans="3:4">
      <c r="C181" s="131">
        <v>1.0319906515000392</v>
      </c>
      <c r="D181">
        <f t="shared" si="2"/>
        <v>2.0216707449850388</v>
      </c>
    </row>
    <row r="182" spans="3:4">
      <c r="C182" s="128">
        <v>1.8575831727000707E-2</v>
      </c>
      <c r="D182">
        <f t="shared" si="2"/>
        <v>1.0183900734097306</v>
      </c>
    </row>
    <row r="183" spans="3:4">
      <c r="C183" s="131">
        <v>1.7275523506110658E-2</v>
      </c>
      <c r="D183">
        <f t="shared" si="2"/>
        <v>1.0171027682710496</v>
      </c>
    </row>
    <row r="184" spans="3:4">
      <c r="C184" s="128">
        <v>0.81194960478720091</v>
      </c>
      <c r="D184">
        <f t="shared" si="2"/>
        <v>1.8038301087393289</v>
      </c>
    </row>
    <row r="185" spans="3:4">
      <c r="C185" s="129">
        <v>1.5589432411914256E-2</v>
      </c>
      <c r="D185">
        <f t="shared" si="2"/>
        <v>1.015433538087795</v>
      </c>
    </row>
    <row r="186" spans="3:4">
      <c r="C186" s="128">
        <v>1.4342277818961115E-2</v>
      </c>
      <c r="D186">
        <f t="shared" si="2"/>
        <v>1.0141988550407715</v>
      </c>
    </row>
    <row r="187" spans="3:4">
      <c r="C187" s="131">
        <v>0.65257364076273072</v>
      </c>
      <c r="D187">
        <f t="shared" si="2"/>
        <v>1.6460479043551035</v>
      </c>
    </row>
    <row r="188" spans="3:4">
      <c r="C188" s="128">
        <v>1.1876840261881698E-2</v>
      </c>
      <c r="D188">
        <f t="shared" si="2"/>
        <v>1.0117580718592629</v>
      </c>
    </row>
    <row r="189" spans="3:4">
      <c r="C189" s="131">
        <v>0.57008833257032154</v>
      </c>
      <c r="D189">
        <f t="shared" si="2"/>
        <v>1.5643874492446184</v>
      </c>
    </row>
    <row r="190" spans="3:4">
      <c r="C190" s="133">
        <v>1.0489625319293917E-2</v>
      </c>
      <c r="D190">
        <f t="shared" si="2"/>
        <v>1.010384729066101</v>
      </c>
    </row>
    <row r="191" spans="3:4">
      <c r="C191" s="131">
        <v>0.48776757734716708</v>
      </c>
      <c r="D191">
        <f t="shared" si="2"/>
        <v>1.4828899015736954</v>
      </c>
    </row>
    <row r="192" spans="3:4">
      <c r="C192" s="128">
        <v>9.4626910005350413E-3</v>
      </c>
      <c r="D192">
        <f t="shared" si="2"/>
        <v>1.0093680640905296</v>
      </c>
    </row>
    <row r="193" spans="3:4">
      <c r="C193" s="129">
        <v>9.1788102705189899E-3</v>
      </c>
      <c r="D193">
        <f t="shared" si="2"/>
        <v>1.0090870221678139</v>
      </c>
    </row>
    <row r="194" spans="3:4">
      <c r="C194" s="135">
        <v>0.43599348784965203</v>
      </c>
      <c r="D194">
        <f t="shared" si="2"/>
        <v>1.4316335529711555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Импорт_Натур</vt:lpstr>
      <vt:lpstr>Импорт_Цены</vt:lpstr>
      <vt:lpstr>Я не сдал тест))</vt:lpstr>
      <vt:lpstr>Я не сдал тест)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2022-05-18T08:27:01Z</dcterms:created>
  <dcterms:modified xsi:type="dcterms:W3CDTF">2026-03-12T09:00:21Z</dcterms:modified>
</cp:coreProperties>
</file>