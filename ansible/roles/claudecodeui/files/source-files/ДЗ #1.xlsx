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Storage\Работа\тренинг эксель\"/>
    </mc:Choice>
  </mc:AlternateContent>
  <xr:revisionPtr revIDLastSave="0" documentId="13_ncr:1_{495D2EEB-33D9-4C69-9B26-F7E2253AC12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Задание" sheetId="6" r:id="rId1"/>
    <sheet name="Фин.результат" sheetId="13" r:id="rId2"/>
    <sheet name="Исходные данные→" sheetId="8" r:id="rId3"/>
    <sheet name="продажи натураль." sheetId="9" r:id="rId4"/>
    <sheet name="цены 1 полуг" sheetId="10" r:id="rId5"/>
    <sheet name="цены 2 полуг" sheetId="11" r:id="rId6"/>
    <sheet name="Расходы" sheetId="12" r:id="rId7"/>
  </sheets>
  <externalReferences>
    <externalReference r:id="rId8"/>
  </externalReferences>
  <definedNames>
    <definedName name="_xlnm._FilterDatabase" localSheetId="0" hidden="1">Задание!$G$21:$H$21</definedName>
    <definedName name="Myqty" hidden="1">[1]Chartsv!$HD$2:$HD$24</definedName>
    <definedName name="Myup" hidden="1">[1]Chartsv!$HC$2:$HC$24</definedName>
    <definedName name="Myvalue" hidden="1">[1]Chartsv!$HF$2:$HF$24</definedName>
    <definedName name="Myweeks" hidden="1">[1]Chartsv!$HB$2:$HB$24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3" l="1"/>
  <c r="E5" i="13"/>
  <c r="F5" i="13"/>
  <c r="G5" i="13"/>
  <c r="H5" i="13"/>
  <c r="I5" i="13"/>
  <c r="J5" i="13"/>
  <c r="K5" i="13"/>
  <c r="L5" i="13"/>
  <c r="M5" i="13"/>
  <c r="N5" i="13"/>
  <c r="O5" i="13"/>
  <c r="K678" i="13"/>
  <c r="M673" i="13"/>
  <c r="O637" i="13"/>
  <c r="N637" i="13"/>
  <c r="K607" i="13"/>
  <c r="O605" i="13"/>
  <c r="J599" i="13"/>
  <c r="N597" i="13"/>
  <c r="J588" i="13"/>
  <c r="J578" i="13"/>
  <c r="J541" i="13"/>
  <c r="J523" i="13"/>
  <c r="N518" i="13"/>
  <c r="N516" i="13"/>
  <c r="K515" i="13"/>
  <c r="K513" i="13"/>
  <c r="N500" i="13"/>
  <c r="N490" i="13"/>
  <c r="L490" i="13"/>
  <c r="N489" i="13"/>
  <c r="L488" i="13"/>
  <c r="O487" i="13"/>
  <c r="N487" i="13"/>
  <c r="J486" i="13"/>
  <c r="N484" i="13"/>
  <c r="M484" i="13"/>
  <c r="M680" i="13" s="1"/>
  <c r="L484" i="13"/>
  <c r="K484" i="13"/>
  <c r="O483" i="13"/>
  <c r="N483" i="13"/>
  <c r="K482" i="13"/>
  <c r="J482" i="13"/>
  <c r="M479" i="13"/>
  <c r="O478" i="13"/>
  <c r="N478" i="13"/>
  <c r="L478" i="13"/>
  <c r="O477" i="13"/>
  <c r="N477" i="13"/>
  <c r="M477" i="13"/>
  <c r="N475" i="13"/>
  <c r="N671" i="13" s="1"/>
  <c r="M475" i="13"/>
  <c r="M671" i="13" s="1"/>
  <c r="K475" i="13"/>
  <c r="K671" i="13" s="1"/>
  <c r="J475" i="13"/>
  <c r="O474" i="13"/>
  <c r="O670" i="13" s="1"/>
  <c r="N473" i="13"/>
  <c r="M473" i="13"/>
  <c r="K473" i="13"/>
  <c r="O472" i="13"/>
  <c r="N471" i="13"/>
  <c r="K471" i="13"/>
  <c r="J471" i="13"/>
  <c r="N468" i="13"/>
  <c r="K467" i="13"/>
  <c r="O466" i="13"/>
  <c r="N466" i="13"/>
  <c r="K465" i="13"/>
  <c r="J465" i="13"/>
  <c r="J661" i="13" s="1"/>
  <c r="O464" i="13"/>
  <c r="N464" i="13"/>
  <c r="J463" i="13"/>
  <c r="O462" i="13"/>
  <c r="N462" i="13"/>
  <c r="M462" i="13"/>
  <c r="K461" i="13"/>
  <c r="N460" i="13"/>
  <c r="N459" i="13"/>
  <c r="K459" i="13"/>
  <c r="J459" i="13"/>
  <c r="J457" i="13"/>
  <c r="O456" i="13"/>
  <c r="N456" i="13"/>
  <c r="M456" i="13"/>
  <c r="K456" i="13"/>
  <c r="O455" i="13"/>
  <c r="N455" i="13"/>
  <c r="M455" i="13"/>
  <c r="M651" i="13" s="1"/>
  <c r="N454" i="13"/>
  <c r="K454" i="13"/>
  <c r="K650" i="13" s="1"/>
  <c r="J453" i="13"/>
  <c r="N452" i="13"/>
  <c r="M452" i="13"/>
  <c r="M648" i="13" s="1"/>
  <c r="K452" i="13"/>
  <c r="J451" i="13"/>
  <c r="M450" i="13"/>
  <c r="L450" i="13"/>
  <c r="J450" i="13"/>
  <c r="O449" i="13"/>
  <c r="J449" i="13"/>
  <c r="N448" i="13"/>
  <c r="M443" i="13"/>
  <c r="L443" i="13"/>
  <c r="J443" i="13"/>
  <c r="J639" i="13" s="1"/>
  <c r="O442" i="13"/>
  <c r="K442" i="13"/>
  <c r="M441" i="13"/>
  <c r="M637" i="13" s="1"/>
  <c r="L441" i="13"/>
  <c r="L637" i="13" s="1"/>
  <c r="K441" i="13"/>
  <c r="O440" i="13"/>
  <c r="M440" i="13"/>
  <c r="K440" i="13"/>
  <c r="O439" i="13"/>
  <c r="O635" i="13" s="1"/>
  <c r="M439" i="13"/>
  <c r="M635" i="13" s="1"/>
  <c r="L439" i="13"/>
  <c r="K439" i="13"/>
  <c r="K635" i="13" s="1"/>
  <c r="K438" i="13"/>
  <c r="K634" i="13" s="1"/>
  <c r="J438" i="13"/>
  <c r="O437" i="13"/>
  <c r="M437" i="13"/>
  <c r="L437" i="13"/>
  <c r="K437" i="13"/>
  <c r="J437" i="13"/>
  <c r="O436" i="13"/>
  <c r="M435" i="13"/>
  <c r="L435" i="13"/>
  <c r="L533" i="13" s="1"/>
  <c r="K435" i="13"/>
  <c r="K631" i="13" s="1"/>
  <c r="O434" i="13"/>
  <c r="K434" i="13"/>
  <c r="K532" i="13" s="1"/>
  <c r="J434" i="13"/>
  <c r="M432" i="13"/>
  <c r="J432" i="13"/>
  <c r="O431" i="13"/>
  <c r="N431" i="13"/>
  <c r="M431" i="13"/>
  <c r="L431" i="13"/>
  <c r="J431" i="13"/>
  <c r="O429" i="13"/>
  <c r="N429" i="13"/>
  <c r="N625" i="13" s="1"/>
  <c r="M429" i="13"/>
  <c r="M625" i="13" s="1"/>
  <c r="L429" i="13"/>
  <c r="L625" i="13" s="1"/>
  <c r="J429" i="13"/>
  <c r="L427" i="13"/>
  <c r="K427" i="13"/>
  <c r="J427" i="13"/>
  <c r="O426" i="13"/>
  <c r="O622" i="13" s="1"/>
  <c r="N426" i="13"/>
  <c r="N622" i="13" s="1"/>
  <c r="M426" i="13"/>
  <c r="M622" i="13" s="1"/>
  <c r="K426" i="13"/>
  <c r="K622" i="13" s="1"/>
  <c r="J426" i="13"/>
  <c r="L425" i="13"/>
  <c r="L621" i="13" s="1"/>
  <c r="J425" i="13"/>
  <c r="M424" i="13"/>
  <c r="J424" i="13"/>
  <c r="O423" i="13"/>
  <c r="N423" i="13"/>
  <c r="L423" i="13"/>
  <c r="K423" i="13"/>
  <c r="O420" i="13"/>
  <c r="O616" i="13" s="1"/>
  <c r="M420" i="13"/>
  <c r="K420" i="13"/>
  <c r="L419" i="13"/>
  <c r="J419" i="13"/>
  <c r="J615" i="13" s="1"/>
  <c r="O418" i="13"/>
  <c r="O614" i="13" s="1"/>
  <c r="M418" i="13"/>
  <c r="M614" i="13" s="1"/>
  <c r="J418" i="13"/>
  <c r="O417" i="13"/>
  <c r="M417" i="13"/>
  <c r="K417" i="13"/>
  <c r="N416" i="13"/>
  <c r="M416" i="13"/>
  <c r="J416" i="13"/>
  <c r="N415" i="13"/>
  <c r="N611" i="13" s="1"/>
  <c r="M415" i="13"/>
  <c r="M611" i="13" s="1"/>
  <c r="L415" i="13"/>
  <c r="K415" i="13"/>
  <c r="K611" i="13" s="1"/>
  <c r="J415" i="13"/>
  <c r="N414" i="13"/>
  <c r="J414" i="13"/>
  <c r="K413" i="13"/>
  <c r="K609" i="13" s="1"/>
  <c r="J413" i="13"/>
  <c r="O412" i="13"/>
  <c r="O608" i="13" s="1"/>
  <c r="M412" i="13"/>
  <c r="K412" i="13"/>
  <c r="J412" i="13"/>
  <c r="O411" i="13"/>
  <c r="K411" i="13"/>
  <c r="J411" i="13"/>
  <c r="O409" i="13"/>
  <c r="N409" i="13"/>
  <c r="L409" i="13"/>
  <c r="K409" i="13"/>
  <c r="J409" i="13"/>
  <c r="N408" i="13"/>
  <c r="N604" i="13" s="1"/>
  <c r="O407" i="13"/>
  <c r="N407" i="13"/>
  <c r="L407" i="13"/>
  <c r="K407" i="13"/>
  <c r="J407" i="13"/>
  <c r="J603" i="13" s="1"/>
  <c r="N406" i="13"/>
  <c r="N602" i="13" s="1"/>
  <c r="N405" i="13"/>
  <c r="L405" i="13"/>
  <c r="K405" i="13"/>
  <c r="J405" i="13"/>
  <c r="N404" i="13"/>
  <c r="K404" i="13"/>
  <c r="N403" i="13"/>
  <c r="K403" i="13"/>
  <c r="J403" i="13"/>
  <c r="N402" i="13"/>
  <c r="N598" i="13" s="1"/>
  <c r="M402" i="13"/>
  <c r="M598" i="13" s="1"/>
  <c r="K402" i="13"/>
  <c r="K598" i="13" s="1"/>
  <c r="O401" i="13"/>
  <c r="O597" i="13" s="1"/>
  <c r="L401" i="13"/>
  <c r="K401" i="13"/>
  <c r="J401" i="13"/>
  <c r="N400" i="13"/>
  <c r="O393" i="13"/>
  <c r="N393" i="13"/>
  <c r="N589" i="13" s="1"/>
  <c r="M393" i="13"/>
  <c r="L393" i="13"/>
  <c r="K393" i="13"/>
  <c r="J393" i="13"/>
  <c r="O392" i="13"/>
  <c r="N392" i="13"/>
  <c r="M392" i="13"/>
  <c r="L392" i="13"/>
  <c r="K392" i="13"/>
  <c r="J392" i="13"/>
  <c r="O391" i="13"/>
  <c r="N391" i="13"/>
  <c r="N587" i="13" s="1"/>
  <c r="M391" i="13"/>
  <c r="L391" i="13"/>
  <c r="K391" i="13"/>
  <c r="J391" i="13"/>
  <c r="O390" i="13"/>
  <c r="N390" i="13"/>
  <c r="M390" i="13"/>
  <c r="L390" i="13"/>
  <c r="K390" i="13"/>
  <c r="J390" i="13"/>
  <c r="J586" i="13" s="1"/>
  <c r="O389" i="13"/>
  <c r="O585" i="13" s="1"/>
  <c r="N389" i="13"/>
  <c r="N585" i="13" s="1"/>
  <c r="M389" i="13"/>
  <c r="L389" i="13"/>
  <c r="K389" i="13"/>
  <c r="J389" i="13"/>
  <c r="O388" i="13"/>
  <c r="N388" i="13"/>
  <c r="M388" i="13"/>
  <c r="L388" i="13"/>
  <c r="K388" i="13"/>
  <c r="J388" i="13"/>
  <c r="J584" i="13" s="1"/>
  <c r="O387" i="13"/>
  <c r="O681" i="13" s="1"/>
  <c r="N387" i="13"/>
  <c r="N583" i="13" s="1"/>
  <c r="M387" i="13"/>
  <c r="L387" i="13"/>
  <c r="K387" i="13"/>
  <c r="J387" i="13"/>
  <c r="O386" i="13"/>
  <c r="N386" i="13"/>
  <c r="M386" i="13"/>
  <c r="L386" i="13"/>
  <c r="K386" i="13"/>
  <c r="J386" i="13"/>
  <c r="J582" i="13" s="1"/>
  <c r="O385" i="13"/>
  <c r="N385" i="13"/>
  <c r="N581" i="13" s="1"/>
  <c r="M385" i="13"/>
  <c r="M581" i="13" s="1"/>
  <c r="L385" i="13"/>
  <c r="K385" i="13"/>
  <c r="J385" i="13"/>
  <c r="O384" i="13"/>
  <c r="O383" i="13" s="1"/>
  <c r="O187" i="13" s="1"/>
  <c r="N384" i="13"/>
  <c r="N383" i="13" s="1"/>
  <c r="N187" i="13" s="1"/>
  <c r="M384" i="13"/>
  <c r="L384" i="13"/>
  <c r="K384" i="13"/>
  <c r="J384" i="13"/>
  <c r="M383" i="13"/>
  <c r="M187" i="13" s="1"/>
  <c r="O382" i="13"/>
  <c r="N382" i="13"/>
  <c r="M382" i="13"/>
  <c r="L382" i="13"/>
  <c r="K382" i="13"/>
  <c r="J382" i="13"/>
  <c r="O381" i="13"/>
  <c r="N381" i="13"/>
  <c r="M381" i="13"/>
  <c r="M577" i="13" s="1"/>
  <c r="L381" i="13"/>
  <c r="K381" i="13"/>
  <c r="J381" i="13"/>
  <c r="O380" i="13"/>
  <c r="O674" i="13" s="1"/>
  <c r="N380" i="13"/>
  <c r="M380" i="13"/>
  <c r="L380" i="13"/>
  <c r="K380" i="13"/>
  <c r="J380" i="13"/>
  <c r="O379" i="13"/>
  <c r="N379" i="13"/>
  <c r="M379" i="13"/>
  <c r="L379" i="13"/>
  <c r="K379" i="13"/>
  <c r="J379" i="13"/>
  <c r="O378" i="13"/>
  <c r="O672" i="13" s="1"/>
  <c r="N378" i="13"/>
  <c r="M378" i="13"/>
  <c r="L378" i="13"/>
  <c r="K378" i="13"/>
  <c r="J378" i="13"/>
  <c r="O377" i="13"/>
  <c r="N377" i="13"/>
  <c r="M377" i="13"/>
  <c r="L377" i="13"/>
  <c r="K377" i="13"/>
  <c r="J377" i="13"/>
  <c r="O376" i="13"/>
  <c r="O572" i="13" s="1"/>
  <c r="N376" i="13"/>
  <c r="M376" i="13"/>
  <c r="L376" i="13"/>
  <c r="K376" i="13"/>
  <c r="J376" i="13"/>
  <c r="O375" i="13"/>
  <c r="N375" i="13"/>
  <c r="N571" i="13" s="1"/>
  <c r="M375" i="13"/>
  <c r="M571" i="13" s="1"/>
  <c r="L375" i="13"/>
  <c r="K375" i="13"/>
  <c r="J375" i="13"/>
  <c r="O374" i="13"/>
  <c r="N374" i="13"/>
  <c r="M374" i="13"/>
  <c r="L374" i="13"/>
  <c r="K374" i="13"/>
  <c r="J374" i="13"/>
  <c r="O373" i="13"/>
  <c r="N373" i="13"/>
  <c r="M373" i="13"/>
  <c r="L373" i="13"/>
  <c r="K373" i="13"/>
  <c r="J373" i="13"/>
  <c r="O370" i="13"/>
  <c r="O664" i="13" s="1"/>
  <c r="N370" i="13"/>
  <c r="N566" i="13" s="1"/>
  <c r="M370" i="13"/>
  <c r="L370" i="13"/>
  <c r="K370" i="13"/>
  <c r="J370" i="13"/>
  <c r="O369" i="13"/>
  <c r="N369" i="13"/>
  <c r="M369" i="13"/>
  <c r="L369" i="13"/>
  <c r="K369" i="13"/>
  <c r="J369" i="13"/>
  <c r="J663" i="13" s="1"/>
  <c r="O368" i="13"/>
  <c r="N368" i="13"/>
  <c r="M368" i="13"/>
  <c r="L368" i="13"/>
  <c r="K368" i="13"/>
  <c r="J368" i="13"/>
  <c r="O367" i="13"/>
  <c r="N367" i="13"/>
  <c r="M367" i="13"/>
  <c r="L367" i="13"/>
  <c r="K367" i="13"/>
  <c r="K563" i="13" s="1"/>
  <c r="J367" i="13"/>
  <c r="O366" i="13"/>
  <c r="N366" i="13"/>
  <c r="M366" i="13"/>
  <c r="L366" i="13"/>
  <c r="K366" i="13"/>
  <c r="J366" i="13"/>
  <c r="O365" i="13"/>
  <c r="N365" i="13"/>
  <c r="M365" i="13"/>
  <c r="L365" i="13"/>
  <c r="K365" i="13"/>
  <c r="J365" i="13"/>
  <c r="O364" i="13"/>
  <c r="N364" i="13"/>
  <c r="M364" i="13"/>
  <c r="L364" i="13"/>
  <c r="K364" i="13"/>
  <c r="J364" i="13"/>
  <c r="O363" i="13"/>
  <c r="N363" i="13"/>
  <c r="M363" i="13"/>
  <c r="L363" i="13"/>
  <c r="K363" i="13"/>
  <c r="J363" i="13"/>
  <c r="J559" i="13" s="1"/>
  <c r="O362" i="13"/>
  <c r="O558" i="13" s="1"/>
  <c r="N362" i="13"/>
  <c r="N558" i="13" s="1"/>
  <c r="M362" i="13"/>
  <c r="L362" i="13"/>
  <c r="K362" i="13"/>
  <c r="J362" i="13"/>
  <c r="O361" i="13"/>
  <c r="N361" i="13"/>
  <c r="M361" i="13"/>
  <c r="L361" i="13"/>
  <c r="K361" i="13"/>
  <c r="J361" i="13"/>
  <c r="O360" i="13"/>
  <c r="O164" i="13" s="1"/>
  <c r="O359" i="13"/>
  <c r="N359" i="13"/>
  <c r="M359" i="13"/>
  <c r="L359" i="13"/>
  <c r="K359" i="13"/>
  <c r="J359" i="13"/>
  <c r="J555" i="13" s="1"/>
  <c r="O358" i="13"/>
  <c r="N358" i="13"/>
  <c r="N554" i="13" s="1"/>
  <c r="M358" i="13"/>
  <c r="L358" i="13"/>
  <c r="K358" i="13"/>
  <c r="J358" i="13"/>
  <c r="O357" i="13"/>
  <c r="N357" i="13"/>
  <c r="M357" i="13"/>
  <c r="L357" i="13"/>
  <c r="K357" i="13"/>
  <c r="J357" i="13"/>
  <c r="O356" i="13"/>
  <c r="N356" i="13"/>
  <c r="N552" i="13" s="1"/>
  <c r="M356" i="13"/>
  <c r="L356" i="13"/>
  <c r="K356" i="13"/>
  <c r="J356" i="13"/>
  <c r="O355" i="13"/>
  <c r="N355" i="13"/>
  <c r="M355" i="13"/>
  <c r="L355" i="13"/>
  <c r="K355" i="13"/>
  <c r="J355" i="13"/>
  <c r="J551" i="13" s="1"/>
  <c r="O354" i="13"/>
  <c r="N354" i="13"/>
  <c r="M354" i="13"/>
  <c r="L354" i="13"/>
  <c r="L550" i="13" s="1"/>
  <c r="K354" i="13"/>
  <c r="K550" i="13" s="1"/>
  <c r="J354" i="13"/>
  <c r="J648" i="13" s="1"/>
  <c r="O353" i="13"/>
  <c r="O349" i="13" s="1"/>
  <c r="O153" i="13" s="1"/>
  <c r="N353" i="13"/>
  <c r="M353" i="13"/>
  <c r="L353" i="13"/>
  <c r="K353" i="13"/>
  <c r="J353" i="13"/>
  <c r="O352" i="13"/>
  <c r="N352" i="13"/>
  <c r="M352" i="13"/>
  <c r="L352" i="13"/>
  <c r="K352" i="13"/>
  <c r="J352" i="13"/>
  <c r="O351" i="13"/>
  <c r="N351" i="13"/>
  <c r="M351" i="13"/>
  <c r="L351" i="13"/>
  <c r="K351" i="13"/>
  <c r="J351" i="13"/>
  <c r="O350" i="13"/>
  <c r="N350" i="13"/>
  <c r="M350" i="13"/>
  <c r="M349" i="13" s="1"/>
  <c r="M153" i="13" s="1"/>
  <c r="L350" i="13"/>
  <c r="L644" i="13" s="1"/>
  <c r="K350" i="13"/>
  <c r="J350" i="13"/>
  <c r="L349" i="13"/>
  <c r="L153" i="13" s="1"/>
  <c r="O345" i="13"/>
  <c r="N345" i="13"/>
  <c r="M345" i="13"/>
  <c r="M541" i="13" s="1"/>
  <c r="L345" i="13"/>
  <c r="K345" i="13"/>
  <c r="J345" i="13"/>
  <c r="O344" i="13"/>
  <c r="O540" i="13" s="1"/>
  <c r="N344" i="13"/>
  <c r="M344" i="13"/>
  <c r="M638" i="13" s="1"/>
  <c r="L344" i="13"/>
  <c r="K344" i="13"/>
  <c r="K540" i="13" s="1"/>
  <c r="J344" i="13"/>
  <c r="J540" i="13" s="1"/>
  <c r="O343" i="13"/>
  <c r="N343" i="13"/>
  <c r="M343" i="13"/>
  <c r="L343" i="13"/>
  <c r="K343" i="13"/>
  <c r="J343" i="13"/>
  <c r="O342" i="13"/>
  <c r="N342" i="13"/>
  <c r="M342" i="13"/>
  <c r="M538" i="13" s="1"/>
  <c r="L342" i="13"/>
  <c r="K342" i="13"/>
  <c r="J342" i="13"/>
  <c r="J636" i="13" s="1"/>
  <c r="O341" i="13"/>
  <c r="N341" i="13"/>
  <c r="M341" i="13"/>
  <c r="L341" i="13"/>
  <c r="K341" i="13"/>
  <c r="K537" i="13" s="1"/>
  <c r="J341" i="13"/>
  <c r="O340" i="13"/>
  <c r="N340" i="13"/>
  <c r="M340" i="13"/>
  <c r="M536" i="13" s="1"/>
  <c r="L340" i="13"/>
  <c r="K340" i="13"/>
  <c r="J340" i="13"/>
  <c r="O339" i="13"/>
  <c r="N339" i="13"/>
  <c r="M339" i="13"/>
  <c r="L339" i="13"/>
  <c r="K339" i="13"/>
  <c r="J339" i="13"/>
  <c r="O338" i="13"/>
  <c r="N338" i="13"/>
  <c r="M338" i="13"/>
  <c r="M534" i="13" s="1"/>
  <c r="L338" i="13"/>
  <c r="K338" i="13"/>
  <c r="J338" i="13"/>
  <c r="O337" i="13"/>
  <c r="N337" i="13"/>
  <c r="M337" i="13"/>
  <c r="L337" i="13"/>
  <c r="L631" i="13" s="1"/>
  <c r="K337" i="13"/>
  <c r="J337" i="13"/>
  <c r="O336" i="13"/>
  <c r="N336" i="13"/>
  <c r="N335" i="13" s="1"/>
  <c r="N139" i="13" s="1"/>
  <c r="M336" i="13"/>
  <c r="L336" i="13"/>
  <c r="K336" i="13"/>
  <c r="J336" i="13"/>
  <c r="J335" i="13" s="1"/>
  <c r="J139" i="13" s="1"/>
  <c r="O334" i="13"/>
  <c r="N334" i="13"/>
  <c r="M334" i="13"/>
  <c r="L334" i="13"/>
  <c r="K334" i="13"/>
  <c r="J334" i="13"/>
  <c r="O333" i="13"/>
  <c r="N333" i="13"/>
  <c r="N627" i="13" s="1"/>
  <c r="M333" i="13"/>
  <c r="L333" i="13"/>
  <c r="K333" i="13"/>
  <c r="J333" i="13"/>
  <c r="J529" i="13" s="1"/>
  <c r="O332" i="13"/>
  <c r="N332" i="13"/>
  <c r="M332" i="13"/>
  <c r="L332" i="13"/>
  <c r="K332" i="13"/>
  <c r="J332" i="13"/>
  <c r="O331" i="13"/>
  <c r="N331" i="13"/>
  <c r="M331" i="13"/>
  <c r="L331" i="13"/>
  <c r="L527" i="13" s="1"/>
  <c r="K331" i="13"/>
  <c r="J331" i="13"/>
  <c r="O330" i="13"/>
  <c r="N330" i="13"/>
  <c r="M330" i="13"/>
  <c r="L330" i="13"/>
  <c r="K330" i="13"/>
  <c r="J330" i="13"/>
  <c r="O329" i="13"/>
  <c r="N329" i="13"/>
  <c r="M329" i="13"/>
  <c r="M525" i="13" s="1"/>
  <c r="L329" i="13"/>
  <c r="K329" i="13"/>
  <c r="J329" i="13"/>
  <c r="O328" i="13"/>
  <c r="N328" i="13"/>
  <c r="M328" i="13"/>
  <c r="L328" i="13"/>
  <c r="K328" i="13"/>
  <c r="J328" i="13"/>
  <c r="J524" i="13" s="1"/>
  <c r="O327" i="13"/>
  <c r="N327" i="13"/>
  <c r="M327" i="13"/>
  <c r="L327" i="13"/>
  <c r="L523" i="13" s="1"/>
  <c r="K327" i="13"/>
  <c r="J327" i="13"/>
  <c r="O326" i="13"/>
  <c r="N326" i="13"/>
  <c r="M326" i="13"/>
  <c r="L326" i="13"/>
  <c r="K326" i="13"/>
  <c r="J326" i="13"/>
  <c r="J522" i="13" s="1"/>
  <c r="O325" i="13"/>
  <c r="O324" i="13" s="1"/>
  <c r="O128" i="13" s="1"/>
  <c r="N325" i="13"/>
  <c r="M325" i="13"/>
  <c r="L325" i="13"/>
  <c r="K325" i="13"/>
  <c r="J325" i="13"/>
  <c r="O322" i="13"/>
  <c r="N322" i="13"/>
  <c r="M322" i="13"/>
  <c r="L322" i="13"/>
  <c r="K322" i="13"/>
  <c r="J322" i="13"/>
  <c r="O321" i="13"/>
  <c r="N321" i="13"/>
  <c r="M321" i="13"/>
  <c r="L321" i="13"/>
  <c r="K321" i="13"/>
  <c r="J321" i="13"/>
  <c r="O320" i="13"/>
  <c r="N320" i="13"/>
  <c r="M320" i="13"/>
  <c r="L320" i="13"/>
  <c r="K320" i="13"/>
  <c r="J320" i="13"/>
  <c r="O319" i="13"/>
  <c r="O515" i="13" s="1"/>
  <c r="N319" i="13"/>
  <c r="M319" i="13"/>
  <c r="M515" i="13" s="1"/>
  <c r="L319" i="13"/>
  <c r="K319" i="13"/>
  <c r="J319" i="13"/>
  <c r="J515" i="13" s="1"/>
  <c r="O318" i="13"/>
  <c r="N318" i="13"/>
  <c r="M318" i="13"/>
  <c r="L318" i="13"/>
  <c r="K318" i="13"/>
  <c r="J318" i="13"/>
  <c r="O317" i="13"/>
  <c r="N317" i="13"/>
  <c r="M317" i="13"/>
  <c r="L317" i="13"/>
  <c r="K317" i="13"/>
  <c r="J317" i="13"/>
  <c r="J513" i="13" s="1"/>
  <c r="O316" i="13"/>
  <c r="N316" i="13"/>
  <c r="M316" i="13"/>
  <c r="L316" i="13"/>
  <c r="K316" i="13"/>
  <c r="J316" i="13"/>
  <c r="O315" i="13"/>
  <c r="N315" i="13"/>
  <c r="M315" i="13"/>
  <c r="M511" i="13" s="1"/>
  <c r="L315" i="13"/>
  <c r="K315" i="13"/>
  <c r="J315" i="13"/>
  <c r="J511" i="13" s="1"/>
  <c r="O314" i="13"/>
  <c r="N314" i="13"/>
  <c r="M314" i="13"/>
  <c r="L314" i="13"/>
  <c r="L312" i="13" s="1"/>
  <c r="L116" i="13" s="1"/>
  <c r="K314" i="13"/>
  <c r="K312" i="13" s="1"/>
  <c r="K116" i="13" s="1"/>
  <c r="J314" i="13"/>
  <c r="O313" i="13"/>
  <c r="N313" i="13"/>
  <c r="N312" i="13" s="1"/>
  <c r="N116" i="13" s="1"/>
  <c r="M313" i="13"/>
  <c r="M312" i="13" s="1"/>
  <c r="M116" i="13" s="1"/>
  <c r="L313" i="13"/>
  <c r="K313" i="13"/>
  <c r="K509" i="13" s="1"/>
  <c r="J313" i="13"/>
  <c r="O311" i="13"/>
  <c r="N311" i="13"/>
  <c r="M311" i="13"/>
  <c r="L311" i="13"/>
  <c r="K311" i="13"/>
  <c r="J311" i="13"/>
  <c r="O310" i="13"/>
  <c r="N310" i="13"/>
  <c r="N506" i="13" s="1"/>
  <c r="M310" i="13"/>
  <c r="M506" i="13" s="1"/>
  <c r="L310" i="13"/>
  <c r="K310" i="13"/>
  <c r="J310" i="13"/>
  <c r="O309" i="13"/>
  <c r="N309" i="13"/>
  <c r="M309" i="13"/>
  <c r="L309" i="13"/>
  <c r="K309" i="13"/>
  <c r="J309" i="13"/>
  <c r="O308" i="13"/>
  <c r="N308" i="13"/>
  <c r="M308" i="13"/>
  <c r="M504" i="13" s="1"/>
  <c r="L308" i="13"/>
  <c r="K308" i="13"/>
  <c r="J308" i="13"/>
  <c r="J504" i="13" s="1"/>
  <c r="O307" i="13"/>
  <c r="N307" i="13"/>
  <c r="M307" i="13"/>
  <c r="L307" i="13"/>
  <c r="K307" i="13"/>
  <c r="J307" i="13"/>
  <c r="O306" i="13"/>
  <c r="N306" i="13"/>
  <c r="M306" i="13"/>
  <c r="M502" i="13" s="1"/>
  <c r="L306" i="13"/>
  <c r="K306" i="13"/>
  <c r="J306" i="13"/>
  <c r="O305" i="13"/>
  <c r="N305" i="13"/>
  <c r="M305" i="13"/>
  <c r="L305" i="13"/>
  <c r="K305" i="13"/>
  <c r="J305" i="13"/>
  <c r="O304" i="13"/>
  <c r="N304" i="13"/>
  <c r="M304" i="13"/>
  <c r="L304" i="13"/>
  <c r="K304" i="13"/>
  <c r="K500" i="13" s="1"/>
  <c r="J304" i="13"/>
  <c r="O303" i="13"/>
  <c r="N303" i="13"/>
  <c r="M303" i="13"/>
  <c r="L303" i="13"/>
  <c r="K303" i="13"/>
  <c r="J303" i="13"/>
  <c r="O302" i="13"/>
  <c r="N302" i="13"/>
  <c r="M302" i="13"/>
  <c r="L302" i="13"/>
  <c r="K302" i="13"/>
  <c r="J302" i="13"/>
  <c r="J301" i="13"/>
  <c r="O295" i="13"/>
  <c r="O491" i="13" s="1"/>
  <c r="N295" i="13"/>
  <c r="N491" i="13" s="1"/>
  <c r="M295" i="13"/>
  <c r="M491" i="13" s="1"/>
  <c r="L295" i="13"/>
  <c r="L491" i="13" s="1"/>
  <c r="K295" i="13"/>
  <c r="K491" i="13" s="1"/>
  <c r="J295" i="13"/>
  <c r="J491" i="13" s="1"/>
  <c r="O294" i="13"/>
  <c r="O490" i="13" s="1"/>
  <c r="N294" i="13"/>
  <c r="M294" i="13"/>
  <c r="M490" i="13" s="1"/>
  <c r="M686" i="13" s="1"/>
  <c r="L294" i="13"/>
  <c r="K294" i="13"/>
  <c r="K490" i="13" s="1"/>
  <c r="J294" i="13"/>
  <c r="J490" i="13" s="1"/>
  <c r="J686" i="13" s="1"/>
  <c r="O293" i="13"/>
  <c r="O489" i="13" s="1"/>
  <c r="O685" i="13" s="1"/>
  <c r="N293" i="13"/>
  <c r="M293" i="13"/>
  <c r="M489" i="13" s="1"/>
  <c r="L293" i="13"/>
  <c r="L489" i="13" s="1"/>
  <c r="K293" i="13"/>
  <c r="K489" i="13" s="1"/>
  <c r="J293" i="13"/>
  <c r="J489" i="13" s="1"/>
  <c r="O292" i="13"/>
  <c r="O488" i="13" s="1"/>
  <c r="N292" i="13"/>
  <c r="N488" i="13" s="1"/>
  <c r="M292" i="13"/>
  <c r="M488" i="13" s="1"/>
  <c r="M684" i="13" s="1"/>
  <c r="L292" i="13"/>
  <c r="K292" i="13"/>
  <c r="K488" i="13" s="1"/>
  <c r="J292" i="13"/>
  <c r="J488" i="13" s="1"/>
  <c r="O291" i="13"/>
  <c r="N291" i="13"/>
  <c r="M291" i="13"/>
  <c r="M487" i="13" s="1"/>
  <c r="L291" i="13"/>
  <c r="L487" i="13" s="1"/>
  <c r="K291" i="13"/>
  <c r="K487" i="13" s="1"/>
  <c r="J291" i="13"/>
  <c r="J487" i="13" s="1"/>
  <c r="O290" i="13"/>
  <c r="O486" i="13" s="1"/>
  <c r="N290" i="13"/>
  <c r="N486" i="13" s="1"/>
  <c r="M290" i="13"/>
  <c r="M486" i="13" s="1"/>
  <c r="L290" i="13"/>
  <c r="L486" i="13" s="1"/>
  <c r="L682" i="13" s="1"/>
  <c r="K290" i="13"/>
  <c r="K486" i="13" s="1"/>
  <c r="J290" i="13"/>
  <c r="O289" i="13"/>
  <c r="O485" i="13" s="1"/>
  <c r="N289" i="13"/>
  <c r="N485" i="13" s="1"/>
  <c r="M289" i="13"/>
  <c r="M485" i="13" s="1"/>
  <c r="L289" i="13"/>
  <c r="L485" i="13" s="1"/>
  <c r="K289" i="13"/>
  <c r="K485" i="13" s="1"/>
  <c r="J289" i="13"/>
  <c r="J485" i="13" s="1"/>
  <c r="O288" i="13"/>
  <c r="O484" i="13" s="1"/>
  <c r="N288" i="13"/>
  <c r="M288" i="13"/>
  <c r="L288" i="13"/>
  <c r="K288" i="13"/>
  <c r="J288" i="13"/>
  <c r="J484" i="13" s="1"/>
  <c r="J680" i="13" s="1"/>
  <c r="O287" i="13"/>
  <c r="N287" i="13"/>
  <c r="M287" i="13"/>
  <c r="M483" i="13" s="1"/>
  <c r="L287" i="13"/>
  <c r="L483" i="13" s="1"/>
  <c r="K287" i="13"/>
  <c r="K483" i="13" s="1"/>
  <c r="J287" i="13"/>
  <c r="J483" i="13" s="1"/>
  <c r="O286" i="13"/>
  <c r="O482" i="13" s="1"/>
  <c r="N286" i="13"/>
  <c r="N482" i="13" s="1"/>
  <c r="M286" i="13"/>
  <c r="M482" i="13" s="1"/>
  <c r="M678" i="13" s="1"/>
  <c r="L286" i="13"/>
  <c r="L482" i="13" s="1"/>
  <c r="L678" i="13" s="1"/>
  <c r="K286" i="13"/>
  <c r="J286" i="13"/>
  <c r="O284" i="13"/>
  <c r="O480" i="13" s="1"/>
  <c r="N284" i="13"/>
  <c r="N480" i="13" s="1"/>
  <c r="N676" i="13" s="1"/>
  <c r="M284" i="13"/>
  <c r="M480" i="13" s="1"/>
  <c r="L284" i="13"/>
  <c r="L480" i="13" s="1"/>
  <c r="K284" i="13"/>
  <c r="K480" i="13" s="1"/>
  <c r="K676" i="13" s="1"/>
  <c r="J284" i="13"/>
  <c r="J480" i="13" s="1"/>
  <c r="J676" i="13" s="1"/>
  <c r="O283" i="13"/>
  <c r="O479" i="13" s="1"/>
  <c r="N283" i="13"/>
  <c r="N479" i="13" s="1"/>
  <c r="M283" i="13"/>
  <c r="L283" i="13"/>
  <c r="L479" i="13" s="1"/>
  <c r="K283" i="13"/>
  <c r="K479" i="13" s="1"/>
  <c r="K675" i="13" s="1"/>
  <c r="J283" i="13"/>
  <c r="J479" i="13" s="1"/>
  <c r="J675" i="13" s="1"/>
  <c r="O282" i="13"/>
  <c r="N282" i="13"/>
  <c r="M282" i="13"/>
  <c r="M478" i="13" s="1"/>
  <c r="L282" i="13"/>
  <c r="K282" i="13"/>
  <c r="K478" i="13" s="1"/>
  <c r="J282" i="13"/>
  <c r="J478" i="13" s="1"/>
  <c r="O281" i="13"/>
  <c r="N281" i="13"/>
  <c r="M281" i="13"/>
  <c r="L281" i="13"/>
  <c r="L477" i="13" s="1"/>
  <c r="L673" i="13" s="1"/>
  <c r="K281" i="13"/>
  <c r="K477" i="13" s="1"/>
  <c r="K575" i="13" s="1"/>
  <c r="J281" i="13"/>
  <c r="J477" i="13" s="1"/>
  <c r="J673" i="13" s="1"/>
  <c r="O280" i="13"/>
  <c r="O476" i="13" s="1"/>
  <c r="O574" i="13" s="1"/>
  <c r="N280" i="13"/>
  <c r="N476" i="13" s="1"/>
  <c r="N672" i="13" s="1"/>
  <c r="M280" i="13"/>
  <c r="M476" i="13" s="1"/>
  <c r="L280" i="13"/>
  <c r="L476" i="13" s="1"/>
  <c r="K280" i="13"/>
  <c r="K476" i="13" s="1"/>
  <c r="K672" i="13" s="1"/>
  <c r="J280" i="13"/>
  <c r="J476" i="13" s="1"/>
  <c r="J672" i="13" s="1"/>
  <c r="O279" i="13"/>
  <c r="O475" i="13" s="1"/>
  <c r="N279" i="13"/>
  <c r="M279" i="13"/>
  <c r="L279" i="13"/>
  <c r="L475" i="13" s="1"/>
  <c r="K279" i="13"/>
  <c r="J279" i="13"/>
  <c r="O278" i="13"/>
  <c r="N278" i="13"/>
  <c r="N474" i="13" s="1"/>
  <c r="N670" i="13" s="1"/>
  <c r="M278" i="13"/>
  <c r="M474" i="13" s="1"/>
  <c r="L278" i="13"/>
  <c r="L474" i="13" s="1"/>
  <c r="K278" i="13"/>
  <c r="K474" i="13" s="1"/>
  <c r="K670" i="13" s="1"/>
  <c r="J278" i="13"/>
  <c r="J474" i="13" s="1"/>
  <c r="J670" i="13" s="1"/>
  <c r="O277" i="13"/>
  <c r="O473" i="13" s="1"/>
  <c r="N277" i="13"/>
  <c r="M277" i="13"/>
  <c r="L277" i="13"/>
  <c r="L473" i="13" s="1"/>
  <c r="L669" i="13" s="1"/>
  <c r="K277" i="13"/>
  <c r="J277" i="13"/>
  <c r="J473" i="13" s="1"/>
  <c r="J571" i="13" s="1"/>
  <c r="O276" i="13"/>
  <c r="N276" i="13"/>
  <c r="N472" i="13" s="1"/>
  <c r="N668" i="13" s="1"/>
  <c r="M276" i="13"/>
  <c r="M472" i="13" s="1"/>
  <c r="L276" i="13"/>
  <c r="L472" i="13" s="1"/>
  <c r="K276" i="13"/>
  <c r="K472" i="13" s="1"/>
  <c r="K668" i="13" s="1"/>
  <c r="J276" i="13"/>
  <c r="J472" i="13" s="1"/>
  <c r="J668" i="13" s="1"/>
  <c r="O275" i="13"/>
  <c r="O471" i="13" s="1"/>
  <c r="N275" i="13"/>
  <c r="M275" i="13"/>
  <c r="M471" i="13" s="1"/>
  <c r="L275" i="13"/>
  <c r="L471" i="13" s="1"/>
  <c r="K275" i="13"/>
  <c r="J275" i="13"/>
  <c r="O272" i="13"/>
  <c r="O468" i="13" s="1"/>
  <c r="N272" i="13"/>
  <c r="M272" i="13"/>
  <c r="M468" i="13" s="1"/>
  <c r="L272" i="13"/>
  <c r="L468" i="13" s="1"/>
  <c r="K272" i="13"/>
  <c r="K468" i="13" s="1"/>
  <c r="J272" i="13"/>
  <c r="J468" i="13" s="1"/>
  <c r="O271" i="13"/>
  <c r="O467" i="13" s="1"/>
  <c r="O663" i="13" s="1"/>
  <c r="N271" i="13"/>
  <c r="N467" i="13" s="1"/>
  <c r="N663" i="13" s="1"/>
  <c r="M271" i="13"/>
  <c r="M467" i="13" s="1"/>
  <c r="L271" i="13"/>
  <c r="L467" i="13" s="1"/>
  <c r="L663" i="13" s="1"/>
  <c r="K271" i="13"/>
  <c r="J271" i="13"/>
  <c r="J467" i="13" s="1"/>
  <c r="O270" i="13"/>
  <c r="N270" i="13"/>
  <c r="M270" i="13"/>
  <c r="M466" i="13" s="1"/>
  <c r="L270" i="13"/>
  <c r="L466" i="13" s="1"/>
  <c r="L564" i="13" s="1"/>
  <c r="K270" i="13"/>
  <c r="K466" i="13" s="1"/>
  <c r="K662" i="13" s="1"/>
  <c r="J270" i="13"/>
  <c r="J466" i="13" s="1"/>
  <c r="O269" i="13"/>
  <c r="O465" i="13" s="1"/>
  <c r="O661" i="13" s="1"/>
  <c r="N269" i="13"/>
  <c r="N465" i="13" s="1"/>
  <c r="N661" i="13" s="1"/>
  <c r="M269" i="13"/>
  <c r="M465" i="13" s="1"/>
  <c r="L269" i="13"/>
  <c r="L465" i="13" s="1"/>
  <c r="L661" i="13" s="1"/>
  <c r="K269" i="13"/>
  <c r="J269" i="13"/>
  <c r="O268" i="13"/>
  <c r="N268" i="13"/>
  <c r="M268" i="13"/>
  <c r="M464" i="13" s="1"/>
  <c r="L268" i="13"/>
  <c r="L464" i="13" s="1"/>
  <c r="K268" i="13"/>
  <c r="K464" i="13" s="1"/>
  <c r="K660" i="13" s="1"/>
  <c r="J268" i="13"/>
  <c r="J464" i="13" s="1"/>
  <c r="O267" i="13"/>
  <c r="O463" i="13" s="1"/>
  <c r="O659" i="13" s="1"/>
  <c r="N267" i="13"/>
  <c r="N463" i="13" s="1"/>
  <c r="N659" i="13" s="1"/>
  <c r="M267" i="13"/>
  <c r="M463" i="13" s="1"/>
  <c r="L267" i="13"/>
  <c r="L463" i="13" s="1"/>
  <c r="L659" i="13" s="1"/>
  <c r="K267" i="13"/>
  <c r="K463" i="13" s="1"/>
  <c r="J267" i="13"/>
  <c r="O266" i="13"/>
  <c r="N266" i="13"/>
  <c r="M266" i="13"/>
  <c r="L266" i="13"/>
  <c r="L462" i="13" s="1"/>
  <c r="K266" i="13"/>
  <c r="K462" i="13" s="1"/>
  <c r="K658" i="13" s="1"/>
  <c r="J266" i="13"/>
  <c r="J462" i="13" s="1"/>
  <c r="O265" i="13"/>
  <c r="O461" i="13" s="1"/>
  <c r="O657" i="13" s="1"/>
  <c r="N265" i="13"/>
  <c r="N461" i="13" s="1"/>
  <c r="N657" i="13" s="1"/>
  <c r="M265" i="13"/>
  <c r="M461" i="13" s="1"/>
  <c r="L265" i="13"/>
  <c r="L461" i="13" s="1"/>
  <c r="L657" i="13" s="1"/>
  <c r="K265" i="13"/>
  <c r="J265" i="13"/>
  <c r="J461" i="13" s="1"/>
  <c r="J657" i="13" s="1"/>
  <c r="O264" i="13"/>
  <c r="O460" i="13" s="1"/>
  <c r="O656" i="13" s="1"/>
  <c r="N264" i="13"/>
  <c r="M264" i="13"/>
  <c r="M460" i="13" s="1"/>
  <c r="L264" i="13"/>
  <c r="L460" i="13" s="1"/>
  <c r="K264" i="13"/>
  <c r="K460" i="13" s="1"/>
  <c r="K656" i="13" s="1"/>
  <c r="J264" i="13"/>
  <c r="J460" i="13" s="1"/>
  <c r="O263" i="13"/>
  <c r="O459" i="13" s="1"/>
  <c r="N263" i="13"/>
  <c r="M263" i="13"/>
  <c r="M459" i="13" s="1"/>
  <c r="L263" i="13"/>
  <c r="L459" i="13" s="1"/>
  <c r="K263" i="13"/>
  <c r="J263" i="13"/>
  <c r="O261" i="13"/>
  <c r="O457" i="13" s="1"/>
  <c r="O653" i="13" s="1"/>
  <c r="N261" i="13"/>
  <c r="N457" i="13" s="1"/>
  <c r="M261" i="13"/>
  <c r="M457" i="13" s="1"/>
  <c r="M653" i="13" s="1"/>
  <c r="L261" i="13"/>
  <c r="L457" i="13" s="1"/>
  <c r="L653" i="13" s="1"/>
  <c r="K261" i="13"/>
  <c r="K457" i="13" s="1"/>
  <c r="J261" i="13"/>
  <c r="O260" i="13"/>
  <c r="N260" i="13"/>
  <c r="M260" i="13"/>
  <c r="L260" i="13"/>
  <c r="L456" i="13" s="1"/>
  <c r="K260" i="13"/>
  <c r="J260" i="13"/>
  <c r="J456" i="13" s="1"/>
  <c r="J652" i="13" s="1"/>
  <c r="O259" i="13"/>
  <c r="N259" i="13"/>
  <c r="M259" i="13"/>
  <c r="L259" i="13"/>
  <c r="L455" i="13" s="1"/>
  <c r="L651" i="13" s="1"/>
  <c r="K259" i="13"/>
  <c r="K455" i="13" s="1"/>
  <c r="J259" i="13"/>
  <c r="J455" i="13" s="1"/>
  <c r="O258" i="13"/>
  <c r="O454" i="13" s="1"/>
  <c r="N258" i="13"/>
  <c r="M258" i="13"/>
  <c r="M454" i="13" s="1"/>
  <c r="M650" i="13" s="1"/>
  <c r="L258" i="13"/>
  <c r="L454" i="13" s="1"/>
  <c r="K258" i="13"/>
  <c r="J258" i="13"/>
  <c r="J454" i="13" s="1"/>
  <c r="O257" i="13"/>
  <c r="O453" i="13" s="1"/>
  <c r="O551" i="13" s="1"/>
  <c r="N257" i="13"/>
  <c r="N453" i="13" s="1"/>
  <c r="N649" i="13" s="1"/>
  <c r="M257" i="13"/>
  <c r="M453" i="13" s="1"/>
  <c r="M649" i="13" s="1"/>
  <c r="L257" i="13"/>
  <c r="L453" i="13" s="1"/>
  <c r="K257" i="13"/>
  <c r="K453" i="13" s="1"/>
  <c r="J257" i="13"/>
  <c r="O256" i="13"/>
  <c r="O452" i="13" s="1"/>
  <c r="O648" i="13" s="1"/>
  <c r="N256" i="13"/>
  <c r="M256" i="13"/>
  <c r="L256" i="13"/>
  <c r="L452" i="13" s="1"/>
  <c r="L648" i="13" s="1"/>
  <c r="K256" i="13"/>
  <c r="J256" i="13"/>
  <c r="J452" i="13" s="1"/>
  <c r="O255" i="13"/>
  <c r="O451" i="13" s="1"/>
  <c r="O647" i="13" s="1"/>
  <c r="N255" i="13"/>
  <c r="N451" i="13" s="1"/>
  <c r="N647" i="13" s="1"/>
  <c r="M255" i="13"/>
  <c r="M451" i="13" s="1"/>
  <c r="M647" i="13" s="1"/>
  <c r="L255" i="13"/>
  <c r="L451" i="13" s="1"/>
  <c r="L647" i="13" s="1"/>
  <c r="K255" i="13"/>
  <c r="K451" i="13" s="1"/>
  <c r="K647" i="13" s="1"/>
  <c r="J255" i="13"/>
  <c r="O254" i="13"/>
  <c r="O450" i="13" s="1"/>
  <c r="O646" i="13" s="1"/>
  <c r="N254" i="13"/>
  <c r="N450" i="13" s="1"/>
  <c r="M254" i="13"/>
  <c r="L254" i="13"/>
  <c r="K254" i="13"/>
  <c r="K450" i="13" s="1"/>
  <c r="J254" i="13"/>
  <c r="O253" i="13"/>
  <c r="N253" i="13"/>
  <c r="N449" i="13" s="1"/>
  <c r="M253" i="13"/>
  <c r="M449" i="13" s="1"/>
  <c r="L253" i="13"/>
  <c r="L449" i="13" s="1"/>
  <c r="L645" i="13" s="1"/>
  <c r="K253" i="13"/>
  <c r="K449" i="13" s="1"/>
  <c r="J253" i="13"/>
  <c r="O252" i="13"/>
  <c r="O448" i="13" s="1"/>
  <c r="N252" i="13"/>
  <c r="M252" i="13"/>
  <c r="M448" i="13" s="1"/>
  <c r="M644" i="13" s="1"/>
  <c r="L252" i="13"/>
  <c r="L448" i="13" s="1"/>
  <c r="K252" i="13"/>
  <c r="K448" i="13" s="1"/>
  <c r="J252" i="13"/>
  <c r="J448" i="13" s="1"/>
  <c r="J644" i="13" s="1"/>
  <c r="O247" i="13"/>
  <c r="O443" i="13" s="1"/>
  <c r="O639" i="13" s="1"/>
  <c r="N247" i="13"/>
  <c r="N443" i="13" s="1"/>
  <c r="N639" i="13" s="1"/>
  <c r="M247" i="13"/>
  <c r="L247" i="13"/>
  <c r="K247" i="13"/>
  <c r="K443" i="13" s="1"/>
  <c r="J247" i="13"/>
  <c r="O246" i="13"/>
  <c r="N246" i="13"/>
  <c r="N442" i="13" s="1"/>
  <c r="M246" i="13"/>
  <c r="M442" i="13" s="1"/>
  <c r="L246" i="13"/>
  <c r="L442" i="13" s="1"/>
  <c r="K246" i="13"/>
  <c r="J246" i="13"/>
  <c r="J442" i="13" s="1"/>
  <c r="O245" i="13"/>
  <c r="O441" i="13" s="1"/>
  <c r="N245" i="13"/>
  <c r="N441" i="13" s="1"/>
  <c r="M245" i="13"/>
  <c r="L245" i="13"/>
  <c r="K245" i="13"/>
  <c r="J245" i="13"/>
  <c r="J441" i="13" s="1"/>
  <c r="O244" i="13"/>
  <c r="N244" i="13"/>
  <c r="N440" i="13" s="1"/>
  <c r="M244" i="13"/>
  <c r="L244" i="13"/>
  <c r="L440" i="13" s="1"/>
  <c r="K244" i="13"/>
  <c r="J244" i="13"/>
  <c r="J440" i="13" s="1"/>
  <c r="O243" i="13"/>
  <c r="N243" i="13"/>
  <c r="N439" i="13" s="1"/>
  <c r="M243" i="13"/>
  <c r="L243" i="13"/>
  <c r="K243" i="13"/>
  <c r="J243" i="13"/>
  <c r="J439" i="13" s="1"/>
  <c r="O242" i="13"/>
  <c r="O438" i="13" s="1"/>
  <c r="N242" i="13"/>
  <c r="N438" i="13" s="1"/>
  <c r="M242" i="13"/>
  <c r="M438" i="13" s="1"/>
  <c r="L242" i="13"/>
  <c r="L438" i="13" s="1"/>
  <c r="K242" i="13"/>
  <c r="J242" i="13"/>
  <c r="O241" i="13"/>
  <c r="N241" i="13"/>
  <c r="N437" i="13" s="1"/>
  <c r="N633" i="13" s="1"/>
  <c r="M241" i="13"/>
  <c r="L241" i="13"/>
  <c r="K241" i="13"/>
  <c r="J241" i="13"/>
  <c r="O240" i="13"/>
  <c r="N240" i="13"/>
  <c r="N436" i="13" s="1"/>
  <c r="M240" i="13"/>
  <c r="M436" i="13" s="1"/>
  <c r="L240" i="13"/>
  <c r="L436" i="13" s="1"/>
  <c r="K240" i="13"/>
  <c r="K436" i="13" s="1"/>
  <c r="K632" i="13" s="1"/>
  <c r="J240" i="13"/>
  <c r="J436" i="13" s="1"/>
  <c r="J632" i="13" s="1"/>
  <c r="O239" i="13"/>
  <c r="O435" i="13" s="1"/>
  <c r="O631" i="13" s="1"/>
  <c r="N239" i="13"/>
  <c r="N435" i="13" s="1"/>
  <c r="N631" i="13" s="1"/>
  <c r="M239" i="13"/>
  <c r="L239" i="13"/>
  <c r="K239" i="13"/>
  <c r="J239" i="13"/>
  <c r="J435" i="13" s="1"/>
  <c r="O238" i="13"/>
  <c r="N238" i="13"/>
  <c r="N434" i="13" s="1"/>
  <c r="M238" i="13"/>
  <c r="M434" i="13" s="1"/>
  <c r="L238" i="13"/>
  <c r="L434" i="13" s="1"/>
  <c r="K238" i="13"/>
  <c r="J238" i="13"/>
  <c r="O236" i="13"/>
  <c r="O432" i="13" s="1"/>
  <c r="O628" i="13" s="1"/>
  <c r="N236" i="13"/>
  <c r="N432" i="13" s="1"/>
  <c r="N628" i="13" s="1"/>
  <c r="M236" i="13"/>
  <c r="L236" i="13"/>
  <c r="L432" i="13" s="1"/>
  <c r="K236" i="13"/>
  <c r="K432" i="13" s="1"/>
  <c r="J236" i="13"/>
  <c r="O235" i="13"/>
  <c r="N235" i="13"/>
  <c r="M235" i="13"/>
  <c r="L235" i="13"/>
  <c r="K235" i="13"/>
  <c r="K431" i="13" s="1"/>
  <c r="J235" i="13"/>
  <c r="O234" i="13"/>
  <c r="O430" i="13" s="1"/>
  <c r="O626" i="13" s="1"/>
  <c r="N234" i="13"/>
  <c r="N430" i="13" s="1"/>
  <c r="N626" i="13" s="1"/>
  <c r="M234" i="13"/>
  <c r="M430" i="13" s="1"/>
  <c r="M626" i="13" s="1"/>
  <c r="L234" i="13"/>
  <c r="L430" i="13" s="1"/>
  <c r="K234" i="13"/>
  <c r="K430" i="13" s="1"/>
  <c r="J234" i="13"/>
  <c r="J430" i="13" s="1"/>
  <c r="O233" i="13"/>
  <c r="N233" i="13"/>
  <c r="M233" i="13"/>
  <c r="L233" i="13"/>
  <c r="K233" i="13"/>
  <c r="K429" i="13" s="1"/>
  <c r="J233" i="13"/>
  <c r="O232" i="13"/>
  <c r="O428" i="13" s="1"/>
  <c r="N232" i="13"/>
  <c r="N428" i="13" s="1"/>
  <c r="N624" i="13" s="1"/>
  <c r="M232" i="13"/>
  <c r="M428" i="13" s="1"/>
  <c r="L232" i="13"/>
  <c r="L428" i="13" s="1"/>
  <c r="L624" i="13" s="1"/>
  <c r="K232" i="13"/>
  <c r="K428" i="13" s="1"/>
  <c r="J232" i="13"/>
  <c r="J428" i="13" s="1"/>
  <c r="O231" i="13"/>
  <c r="O427" i="13" s="1"/>
  <c r="N231" i="13"/>
  <c r="N427" i="13" s="1"/>
  <c r="M231" i="13"/>
  <c r="M427" i="13" s="1"/>
  <c r="L231" i="13"/>
  <c r="K231" i="13"/>
  <c r="J231" i="13"/>
  <c r="O230" i="13"/>
  <c r="N230" i="13"/>
  <c r="M230" i="13"/>
  <c r="L230" i="13"/>
  <c r="L426" i="13" s="1"/>
  <c r="L622" i="13" s="1"/>
  <c r="K230" i="13"/>
  <c r="J230" i="13"/>
  <c r="O229" i="13"/>
  <c r="O425" i="13" s="1"/>
  <c r="N229" i="13"/>
  <c r="N425" i="13" s="1"/>
  <c r="M229" i="13"/>
  <c r="M425" i="13" s="1"/>
  <c r="L229" i="13"/>
  <c r="K229" i="13"/>
  <c r="K425" i="13" s="1"/>
  <c r="K621" i="13" s="1"/>
  <c r="J229" i="13"/>
  <c r="O228" i="13"/>
  <c r="O424" i="13" s="1"/>
  <c r="O620" i="13" s="1"/>
  <c r="N228" i="13"/>
  <c r="N424" i="13" s="1"/>
  <c r="M228" i="13"/>
  <c r="L228" i="13"/>
  <c r="L424" i="13" s="1"/>
  <c r="L620" i="13" s="1"/>
  <c r="K228" i="13"/>
  <c r="K424" i="13" s="1"/>
  <c r="J228" i="13"/>
  <c r="O227" i="13"/>
  <c r="N227" i="13"/>
  <c r="M227" i="13"/>
  <c r="M423" i="13" s="1"/>
  <c r="L227" i="13"/>
  <c r="K227" i="13"/>
  <c r="J227" i="13"/>
  <c r="J423" i="13" s="1"/>
  <c r="J619" i="13" s="1"/>
  <c r="O224" i="13"/>
  <c r="N224" i="13"/>
  <c r="N420" i="13" s="1"/>
  <c r="N616" i="13" s="1"/>
  <c r="M224" i="13"/>
  <c r="L224" i="13"/>
  <c r="L420" i="13" s="1"/>
  <c r="K224" i="13"/>
  <c r="J224" i="13"/>
  <c r="J420" i="13" s="1"/>
  <c r="O223" i="13"/>
  <c r="O419" i="13" s="1"/>
  <c r="N223" i="13"/>
  <c r="N419" i="13" s="1"/>
  <c r="M223" i="13"/>
  <c r="M419" i="13" s="1"/>
  <c r="L223" i="13"/>
  <c r="K223" i="13"/>
  <c r="K419" i="13" s="1"/>
  <c r="J223" i="13"/>
  <c r="O222" i="13"/>
  <c r="N222" i="13"/>
  <c r="N418" i="13" s="1"/>
  <c r="N614" i="13" s="1"/>
  <c r="M222" i="13"/>
  <c r="L222" i="13"/>
  <c r="L418" i="13" s="1"/>
  <c r="K222" i="13"/>
  <c r="K418" i="13" s="1"/>
  <c r="J222" i="13"/>
  <c r="O221" i="13"/>
  <c r="N221" i="13"/>
  <c r="N417" i="13" s="1"/>
  <c r="M221" i="13"/>
  <c r="L221" i="13"/>
  <c r="L417" i="13" s="1"/>
  <c r="K221" i="13"/>
  <c r="J221" i="13"/>
  <c r="J417" i="13" s="1"/>
  <c r="O220" i="13"/>
  <c r="O416" i="13" s="1"/>
  <c r="N220" i="13"/>
  <c r="M220" i="13"/>
  <c r="L220" i="13"/>
  <c r="L416" i="13" s="1"/>
  <c r="K220" i="13"/>
  <c r="K416" i="13" s="1"/>
  <c r="J220" i="13"/>
  <c r="O219" i="13"/>
  <c r="O415" i="13" s="1"/>
  <c r="N219" i="13"/>
  <c r="M219" i="13"/>
  <c r="L219" i="13"/>
  <c r="K219" i="13"/>
  <c r="J219" i="13"/>
  <c r="O218" i="13"/>
  <c r="O414" i="13" s="1"/>
  <c r="O610" i="13" s="1"/>
  <c r="N218" i="13"/>
  <c r="M218" i="13"/>
  <c r="M414" i="13" s="1"/>
  <c r="L218" i="13"/>
  <c r="L414" i="13" s="1"/>
  <c r="K218" i="13"/>
  <c r="K414" i="13" s="1"/>
  <c r="J218" i="13"/>
  <c r="O217" i="13"/>
  <c r="O413" i="13" s="1"/>
  <c r="N217" i="13"/>
  <c r="N413" i="13" s="1"/>
  <c r="M217" i="13"/>
  <c r="M413" i="13" s="1"/>
  <c r="L217" i="13"/>
  <c r="L413" i="13" s="1"/>
  <c r="K217" i="13"/>
  <c r="J217" i="13"/>
  <c r="O216" i="13"/>
  <c r="N216" i="13"/>
  <c r="N412" i="13" s="1"/>
  <c r="M216" i="13"/>
  <c r="L216" i="13"/>
  <c r="L412" i="13" s="1"/>
  <c r="L608" i="13" s="1"/>
  <c r="K216" i="13"/>
  <c r="J216" i="13"/>
  <c r="O215" i="13"/>
  <c r="N215" i="13"/>
  <c r="N411" i="13" s="1"/>
  <c r="M215" i="13"/>
  <c r="M411" i="13" s="1"/>
  <c r="L215" i="13"/>
  <c r="L411" i="13" s="1"/>
  <c r="K215" i="13"/>
  <c r="J215" i="13"/>
  <c r="O213" i="13"/>
  <c r="N213" i="13"/>
  <c r="M213" i="13"/>
  <c r="M409" i="13" s="1"/>
  <c r="L213" i="13"/>
  <c r="K213" i="13"/>
  <c r="J213" i="13"/>
  <c r="O212" i="13"/>
  <c r="O408" i="13" s="1"/>
  <c r="O604" i="13" s="1"/>
  <c r="N212" i="13"/>
  <c r="M212" i="13"/>
  <c r="M408" i="13" s="1"/>
  <c r="L212" i="13"/>
  <c r="L408" i="13" s="1"/>
  <c r="L604" i="13" s="1"/>
  <c r="K212" i="13"/>
  <c r="K408" i="13" s="1"/>
  <c r="K604" i="13" s="1"/>
  <c r="J212" i="13"/>
  <c r="J408" i="13" s="1"/>
  <c r="O211" i="13"/>
  <c r="N211" i="13"/>
  <c r="M211" i="13"/>
  <c r="M407" i="13" s="1"/>
  <c r="L211" i="13"/>
  <c r="K211" i="13"/>
  <c r="J211" i="13"/>
  <c r="O210" i="13"/>
  <c r="O406" i="13" s="1"/>
  <c r="O602" i="13" s="1"/>
  <c r="N210" i="13"/>
  <c r="M210" i="13"/>
  <c r="M406" i="13" s="1"/>
  <c r="L210" i="13"/>
  <c r="L406" i="13" s="1"/>
  <c r="L602" i="13" s="1"/>
  <c r="K210" i="13"/>
  <c r="K406" i="13" s="1"/>
  <c r="K602" i="13" s="1"/>
  <c r="J210" i="13"/>
  <c r="J406" i="13" s="1"/>
  <c r="J602" i="13" s="1"/>
  <c r="O209" i="13"/>
  <c r="O405" i="13" s="1"/>
  <c r="O601" i="13" s="1"/>
  <c r="N209" i="13"/>
  <c r="M209" i="13"/>
  <c r="M405" i="13" s="1"/>
  <c r="L209" i="13"/>
  <c r="K209" i="13"/>
  <c r="J209" i="13"/>
  <c r="O208" i="13"/>
  <c r="O404" i="13" s="1"/>
  <c r="O600" i="13" s="1"/>
  <c r="N208" i="13"/>
  <c r="M208" i="13"/>
  <c r="M404" i="13" s="1"/>
  <c r="L208" i="13"/>
  <c r="L404" i="13" s="1"/>
  <c r="L600" i="13" s="1"/>
  <c r="K208" i="13"/>
  <c r="J208" i="13"/>
  <c r="J404" i="13" s="1"/>
  <c r="O207" i="13"/>
  <c r="O403" i="13" s="1"/>
  <c r="N207" i="13"/>
  <c r="M207" i="13"/>
  <c r="M403" i="13" s="1"/>
  <c r="L207" i="13"/>
  <c r="L403" i="13" s="1"/>
  <c r="K207" i="13"/>
  <c r="J207" i="13"/>
  <c r="O206" i="13"/>
  <c r="O402" i="13" s="1"/>
  <c r="O598" i="13" s="1"/>
  <c r="N206" i="13"/>
  <c r="M206" i="13"/>
  <c r="L206" i="13"/>
  <c r="L402" i="13" s="1"/>
  <c r="L598" i="13" s="1"/>
  <c r="K206" i="13"/>
  <c r="J206" i="13"/>
  <c r="J402" i="13" s="1"/>
  <c r="J598" i="13" s="1"/>
  <c r="O205" i="13"/>
  <c r="N205" i="13"/>
  <c r="N401" i="13" s="1"/>
  <c r="M205" i="13"/>
  <c r="M401" i="13" s="1"/>
  <c r="L205" i="13"/>
  <c r="K205" i="13"/>
  <c r="J205" i="13"/>
  <c r="O204" i="13"/>
  <c r="O400" i="13" s="1"/>
  <c r="N204" i="13"/>
  <c r="M204" i="13"/>
  <c r="M400" i="13" s="1"/>
  <c r="L204" i="13"/>
  <c r="L400" i="13" s="1"/>
  <c r="K204" i="13"/>
  <c r="K400" i="13" s="1"/>
  <c r="K498" i="13" s="1"/>
  <c r="J204" i="13"/>
  <c r="J400" i="13" s="1"/>
  <c r="J596" i="13" s="1"/>
  <c r="O99" i="13"/>
  <c r="N99" i="13"/>
  <c r="M99" i="13"/>
  <c r="L99" i="13"/>
  <c r="K99" i="13"/>
  <c r="J99" i="13"/>
  <c r="O98" i="13"/>
  <c r="N98" i="13"/>
  <c r="M98" i="13"/>
  <c r="L98" i="13"/>
  <c r="K98" i="13"/>
  <c r="J98" i="13"/>
  <c r="O97" i="13"/>
  <c r="N97" i="13"/>
  <c r="M97" i="13"/>
  <c r="L97" i="13"/>
  <c r="K97" i="13"/>
  <c r="J97" i="13"/>
  <c r="O96" i="13"/>
  <c r="N96" i="13"/>
  <c r="M96" i="13"/>
  <c r="L96" i="13"/>
  <c r="K96" i="13"/>
  <c r="J96" i="13"/>
  <c r="O95" i="13"/>
  <c r="N95" i="13"/>
  <c r="M95" i="13"/>
  <c r="L95" i="13"/>
  <c r="K95" i="13"/>
  <c r="J95" i="13"/>
  <c r="O94" i="13"/>
  <c r="N94" i="13"/>
  <c r="M94" i="13"/>
  <c r="L94" i="13"/>
  <c r="K94" i="13"/>
  <c r="J94" i="13"/>
  <c r="O93" i="13"/>
  <c r="N93" i="13"/>
  <c r="M93" i="13"/>
  <c r="L93" i="13"/>
  <c r="K93" i="13"/>
  <c r="J93" i="13"/>
  <c r="O92" i="13"/>
  <c r="N92" i="13"/>
  <c r="M92" i="13"/>
  <c r="L92" i="13"/>
  <c r="K92" i="13"/>
  <c r="J92" i="13"/>
  <c r="O91" i="13"/>
  <c r="N91" i="13"/>
  <c r="M91" i="13"/>
  <c r="L91" i="13"/>
  <c r="K91" i="13"/>
  <c r="J91" i="13"/>
  <c r="O90" i="13"/>
  <c r="O89" i="13" s="1"/>
  <c r="N90" i="13"/>
  <c r="N89" i="13" s="1"/>
  <c r="M90" i="13"/>
  <c r="M89" i="13" s="1"/>
  <c r="L90" i="13"/>
  <c r="L89" i="13" s="1"/>
  <c r="K90" i="13"/>
  <c r="K89" i="13" s="1"/>
  <c r="J90" i="13"/>
  <c r="J89" i="13" s="1"/>
  <c r="O88" i="13"/>
  <c r="N88" i="13"/>
  <c r="M88" i="13"/>
  <c r="L88" i="13"/>
  <c r="K88" i="13"/>
  <c r="J88" i="13"/>
  <c r="O87" i="13"/>
  <c r="N87" i="13"/>
  <c r="M87" i="13"/>
  <c r="L87" i="13"/>
  <c r="K87" i="13"/>
  <c r="J87" i="13"/>
  <c r="O86" i="13"/>
  <c r="N86" i="13"/>
  <c r="M86" i="13"/>
  <c r="L86" i="13"/>
  <c r="K86" i="13"/>
  <c r="J86" i="13"/>
  <c r="O85" i="13"/>
  <c r="N85" i="13"/>
  <c r="M85" i="13"/>
  <c r="L85" i="13"/>
  <c r="K85" i="13"/>
  <c r="J85" i="13"/>
  <c r="O84" i="13"/>
  <c r="N84" i="13"/>
  <c r="M84" i="13"/>
  <c r="L84" i="13"/>
  <c r="K84" i="13"/>
  <c r="J84" i="13"/>
  <c r="O83" i="13"/>
  <c r="N83" i="13"/>
  <c r="M83" i="13"/>
  <c r="L83" i="13"/>
  <c r="K83" i="13"/>
  <c r="J83" i="13"/>
  <c r="O82" i="13"/>
  <c r="N82" i="13"/>
  <c r="M82" i="13"/>
  <c r="L82" i="13"/>
  <c r="K82" i="13"/>
  <c r="J82" i="13"/>
  <c r="O81" i="13"/>
  <c r="N81" i="13"/>
  <c r="M81" i="13"/>
  <c r="L81" i="13"/>
  <c r="K81" i="13"/>
  <c r="J81" i="13"/>
  <c r="O80" i="13"/>
  <c r="N80" i="13"/>
  <c r="M80" i="13"/>
  <c r="L80" i="13"/>
  <c r="K80" i="13"/>
  <c r="J80" i="13"/>
  <c r="O79" i="13"/>
  <c r="N79" i="13"/>
  <c r="M79" i="13"/>
  <c r="L79" i="13"/>
  <c r="K79" i="13"/>
  <c r="J79" i="13"/>
  <c r="O78" i="13"/>
  <c r="O77" i="13" s="1"/>
  <c r="N78" i="13"/>
  <c r="M78" i="13"/>
  <c r="L78" i="13"/>
  <c r="K78" i="13"/>
  <c r="J78" i="13"/>
  <c r="O76" i="13"/>
  <c r="N76" i="13"/>
  <c r="M76" i="13"/>
  <c r="L76" i="13"/>
  <c r="K76" i="13"/>
  <c r="J76" i="13"/>
  <c r="O75" i="13"/>
  <c r="N75" i="13"/>
  <c r="M75" i="13"/>
  <c r="L75" i="13"/>
  <c r="K75" i="13"/>
  <c r="J75" i="13"/>
  <c r="O74" i="13"/>
  <c r="N74" i="13"/>
  <c r="M74" i="13"/>
  <c r="L74" i="13"/>
  <c r="K74" i="13"/>
  <c r="J74" i="13"/>
  <c r="O73" i="13"/>
  <c r="N73" i="13"/>
  <c r="M73" i="13"/>
  <c r="L73" i="13"/>
  <c r="K73" i="13"/>
  <c r="J73" i="13"/>
  <c r="O72" i="13"/>
  <c r="N72" i="13"/>
  <c r="M72" i="13"/>
  <c r="L72" i="13"/>
  <c r="K72" i="13"/>
  <c r="J72" i="13"/>
  <c r="O71" i="13"/>
  <c r="N71" i="13"/>
  <c r="M71" i="13"/>
  <c r="L71" i="13"/>
  <c r="K71" i="13"/>
  <c r="J71" i="13"/>
  <c r="O70" i="13"/>
  <c r="N70" i="13"/>
  <c r="M70" i="13"/>
  <c r="L70" i="13"/>
  <c r="K70" i="13"/>
  <c r="J70" i="13"/>
  <c r="O69" i="13"/>
  <c r="N69" i="13"/>
  <c r="M69" i="13"/>
  <c r="L69" i="13"/>
  <c r="K69" i="13"/>
  <c r="J69" i="13"/>
  <c r="O68" i="13"/>
  <c r="O66" i="13" s="1"/>
  <c r="N68" i="13"/>
  <c r="M68" i="13"/>
  <c r="M66" i="13" s="1"/>
  <c r="L68" i="13"/>
  <c r="K68" i="13"/>
  <c r="J68" i="13"/>
  <c r="O67" i="13"/>
  <c r="N67" i="13"/>
  <c r="M67" i="13"/>
  <c r="L67" i="13"/>
  <c r="K67" i="13"/>
  <c r="J67" i="13"/>
  <c r="N66" i="13"/>
  <c r="L66" i="13"/>
  <c r="K66" i="13"/>
  <c r="J66" i="13"/>
  <c r="O65" i="13"/>
  <c r="N65" i="13"/>
  <c r="M65" i="13"/>
  <c r="L65" i="13"/>
  <c r="K65" i="13"/>
  <c r="J65" i="13"/>
  <c r="O64" i="13"/>
  <c r="N64" i="13"/>
  <c r="M64" i="13"/>
  <c r="L64" i="13"/>
  <c r="K64" i="13"/>
  <c r="J64" i="13"/>
  <c r="O63" i="13"/>
  <c r="N63" i="13"/>
  <c r="M63" i="13"/>
  <c r="L63" i="13"/>
  <c r="K63" i="13"/>
  <c r="J63" i="13"/>
  <c r="O62" i="13"/>
  <c r="N62" i="13"/>
  <c r="M62" i="13"/>
  <c r="L62" i="13"/>
  <c r="K62" i="13"/>
  <c r="J62" i="13"/>
  <c r="O61" i="13"/>
  <c r="N61" i="13"/>
  <c r="M61" i="13"/>
  <c r="L61" i="13"/>
  <c r="K61" i="13"/>
  <c r="J61" i="13"/>
  <c r="O60" i="13"/>
  <c r="N60" i="13"/>
  <c r="M60" i="13"/>
  <c r="L60" i="13"/>
  <c r="K60" i="13"/>
  <c r="J60" i="13"/>
  <c r="O59" i="13"/>
  <c r="N59" i="13"/>
  <c r="M59" i="13"/>
  <c r="L59" i="13"/>
  <c r="K59" i="13"/>
  <c r="J59" i="13"/>
  <c r="O58" i="13"/>
  <c r="N58" i="13"/>
  <c r="M58" i="13"/>
  <c r="L58" i="13"/>
  <c r="K58" i="13"/>
  <c r="J58" i="13"/>
  <c r="O57" i="13"/>
  <c r="N57" i="13"/>
  <c r="M57" i="13"/>
  <c r="L57" i="13"/>
  <c r="K57" i="13"/>
  <c r="J57" i="13"/>
  <c r="O56" i="13"/>
  <c r="O55" i="13" s="1"/>
  <c r="N56" i="13"/>
  <c r="N55" i="13" s="1"/>
  <c r="N54" i="13" s="1"/>
  <c r="M56" i="13"/>
  <c r="M55" i="13" s="1"/>
  <c r="L56" i="13"/>
  <c r="L55" i="13" s="1"/>
  <c r="L54" i="13" s="1"/>
  <c r="K56" i="13"/>
  <c r="K55" i="13" s="1"/>
  <c r="K54" i="13" s="1"/>
  <c r="J56" i="13"/>
  <c r="J55" i="13" s="1"/>
  <c r="J54" i="13" s="1"/>
  <c r="O51" i="13"/>
  <c r="N51" i="13"/>
  <c r="M51" i="13"/>
  <c r="L51" i="13"/>
  <c r="K51" i="13"/>
  <c r="J51" i="13"/>
  <c r="O50" i="13"/>
  <c r="N50" i="13"/>
  <c r="M50" i="13"/>
  <c r="L50" i="13"/>
  <c r="K50" i="13"/>
  <c r="J50" i="13"/>
  <c r="O49" i="13"/>
  <c r="N49" i="13"/>
  <c r="M49" i="13"/>
  <c r="L49" i="13"/>
  <c r="K49" i="13"/>
  <c r="J49" i="13"/>
  <c r="O48" i="13"/>
  <c r="N48" i="13"/>
  <c r="M48" i="13"/>
  <c r="L48" i="13"/>
  <c r="K48" i="13"/>
  <c r="J48" i="13"/>
  <c r="O47" i="13"/>
  <c r="N47" i="13"/>
  <c r="M47" i="13"/>
  <c r="L47" i="13"/>
  <c r="K47" i="13"/>
  <c r="J47" i="13"/>
  <c r="O46" i="13"/>
  <c r="N46" i="13"/>
  <c r="M46" i="13"/>
  <c r="L46" i="13"/>
  <c r="K46" i="13"/>
  <c r="J46" i="13"/>
  <c r="O45" i="13"/>
  <c r="N45" i="13"/>
  <c r="M45" i="13"/>
  <c r="L45" i="13"/>
  <c r="K45" i="13"/>
  <c r="J45" i="13"/>
  <c r="O44" i="13"/>
  <c r="N44" i="13"/>
  <c r="M44" i="13"/>
  <c r="L44" i="13"/>
  <c r="K44" i="13"/>
  <c r="J44" i="13"/>
  <c r="O43" i="13"/>
  <c r="O41" i="13" s="1"/>
  <c r="N43" i="13"/>
  <c r="M43" i="13"/>
  <c r="L43" i="13"/>
  <c r="K43" i="13"/>
  <c r="J43" i="13"/>
  <c r="O42" i="13"/>
  <c r="N42" i="13"/>
  <c r="M42" i="13"/>
  <c r="L42" i="13"/>
  <c r="K42" i="13"/>
  <c r="J42" i="13"/>
  <c r="N41" i="13"/>
  <c r="M41" i="13"/>
  <c r="L41" i="13"/>
  <c r="K41" i="13"/>
  <c r="J41" i="13"/>
  <c r="O40" i="13"/>
  <c r="N40" i="13"/>
  <c r="M40" i="13"/>
  <c r="L40" i="13"/>
  <c r="K40" i="13"/>
  <c r="J40" i="13"/>
  <c r="O39" i="13"/>
  <c r="N39" i="13"/>
  <c r="M39" i="13"/>
  <c r="L39" i="13"/>
  <c r="K39" i="13"/>
  <c r="J39" i="13"/>
  <c r="O38" i="13"/>
  <c r="N38" i="13"/>
  <c r="M38" i="13"/>
  <c r="L38" i="13"/>
  <c r="K38" i="13"/>
  <c r="J38" i="13"/>
  <c r="O37" i="13"/>
  <c r="N37" i="13"/>
  <c r="M37" i="13"/>
  <c r="L37" i="13"/>
  <c r="K37" i="13"/>
  <c r="J37" i="13"/>
  <c r="O36" i="13"/>
  <c r="N36" i="13"/>
  <c r="M36" i="13"/>
  <c r="L36" i="13"/>
  <c r="K36" i="13"/>
  <c r="J36" i="13"/>
  <c r="O35" i="13"/>
  <c r="N35" i="13"/>
  <c r="M35" i="13"/>
  <c r="L35" i="13"/>
  <c r="K35" i="13"/>
  <c r="J35" i="13"/>
  <c r="O34" i="13"/>
  <c r="N34" i="13"/>
  <c r="M34" i="13"/>
  <c r="L34" i="13"/>
  <c r="K34" i="13"/>
  <c r="J34" i="13"/>
  <c r="O33" i="13"/>
  <c r="N33" i="13"/>
  <c r="M33" i="13"/>
  <c r="L33" i="13"/>
  <c r="K33" i="13"/>
  <c r="J33" i="13"/>
  <c r="O32" i="13"/>
  <c r="N32" i="13"/>
  <c r="M32" i="13"/>
  <c r="L32" i="13"/>
  <c r="K32" i="13"/>
  <c r="J32" i="13"/>
  <c r="O31" i="13"/>
  <c r="O30" i="13" s="1"/>
  <c r="N31" i="13"/>
  <c r="N30" i="13" s="1"/>
  <c r="N29" i="13" s="1"/>
  <c r="M31" i="13"/>
  <c r="M30" i="13" s="1"/>
  <c r="M29" i="13" s="1"/>
  <c r="L31" i="13"/>
  <c r="L30" i="13" s="1"/>
  <c r="L29" i="13" s="1"/>
  <c r="K31" i="13"/>
  <c r="K30" i="13" s="1"/>
  <c r="K29" i="13" s="1"/>
  <c r="J31" i="13"/>
  <c r="J30" i="13" s="1"/>
  <c r="J29" i="13" s="1"/>
  <c r="O28" i="13"/>
  <c r="N28" i="13"/>
  <c r="M28" i="13"/>
  <c r="L28" i="13"/>
  <c r="K28" i="13"/>
  <c r="J28" i="13"/>
  <c r="O27" i="13"/>
  <c r="N27" i="13"/>
  <c r="M27" i="13"/>
  <c r="L27" i="13"/>
  <c r="K27" i="13"/>
  <c r="J27" i="13"/>
  <c r="O26" i="13"/>
  <c r="N26" i="13"/>
  <c r="M26" i="13"/>
  <c r="L26" i="13"/>
  <c r="K26" i="13"/>
  <c r="J26" i="13"/>
  <c r="O25" i="13"/>
  <c r="N25" i="13"/>
  <c r="M25" i="13"/>
  <c r="L25" i="13"/>
  <c r="K25" i="13"/>
  <c r="J25" i="13"/>
  <c r="O24" i="13"/>
  <c r="N24" i="13"/>
  <c r="M24" i="13"/>
  <c r="L24" i="13"/>
  <c r="K24" i="13"/>
  <c r="J24" i="13"/>
  <c r="O23" i="13"/>
  <c r="N23" i="13"/>
  <c r="M23" i="13"/>
  <c r="L23" i="13"/>
  <c r="K23" i="13"/>
  <c r="J23" i="13"/>
  <c r="O22" i="13"/>
  <c r="N22" i="13"/>
  <c r="M22" i="13"/>
  <c r="L22" i="13"/>
  <c r="K22" i="13"/>
  <c r="J22" i="13"/>
  <c r="O21" i="13"/>
  <c r="N21" i="13"/>
  <c r="M21" i="13"/>
  <c r="L21" i="13"/>
  <c r="K21" i="13"/>
  <c r="J21" i="13"/>
  <c r="O20" i="13"/>
  <c r="N20" i="13"/>
  <c r="M20" i="13"/>
  <c r="L20" i="13"/>
  <c r="K20" i="13"/>
  <c r="J20" i="13"/>
  <c r="O19" i="13"/>
  <c r="O18" i="13" s="1"/>
  <c r="N19" i="13"/>
  <c r="N18" i="13" s="1"/>
  <c r="M19" i="13"/>
  <c r="M18" i="13" s="1"/>
  <c r="L19" i="13"/>
  <c r="L18" i="13" s="1"/>
  <c r="K19" i="13"/>
  <c r="K18" i="13" s="1"/>
  <c r="J19" i="13"/>
  <c r="J18" i="13" s="1"/>
  <c r="O17" i="13"/>
  <c r="N17" i="13"/>
  <c r="M17" i="13"/>
  <c r="L17" i="13"/>
  <c r="K17" i="13"/>
  <c r="J17" i="13"/>
  <c r="O16" i="13"/>
  <c r="N16" i="13"/>
  <c r="M16" i="13"/>
  <c r="L16" i="13"/>
  <c r="K16" i="13"/>
  <c r="J16" i="13"/>
  <c r="O15" i="13"/>
  <c r="N15" i="13"/>
  <c r="M15" i="13"/>
  <c r="L15" i="13"/>
  <c r="K15" i="13"/>
  <c r="J15" i="13"/>
  <c r="O14" i="13"/>
  <c r="N14" i="13"/>
  <c r="M14" i="13"/>
  <c r="L14" i="13"/>
  <c r="K14" i="13"/>
  <c r="J14" i="13"/>
  <c r="O13" i="13"/>
  <c r="O7" i="13" s="1"/>
  <c r="N13" i="13"/>
  <c r="M13" i="13"/>
  <c r="L13" i="13"/>
  <c r="K13" i="13"/>
  <c r="J13" i="13"/>
  <c r="O12" i="13"/>
  <c r="N12" i="13"/>
  <c r="M12" i="13"/>
  <c r="L12" i="13"/>
  <c r="K12" i="13"/>
  <c r="J12" i="13"/>
  <c r="O11" i="13"/>
  <c r="N11" i="13"/>
  <c r="M11" i="13"/>
  <c r="L11" i="13"/>
  <c r="K11" i="13"/>
  <c r="J11" i="13"/>
  <c r="O10" i="13"/>
  <c r="N10" i="13"/>
  <c r="M10" i="13"/>
  <c r="L10" i="13"/>
  <c r="K10" i="13"/>
  <c r="J10" i="13"/>
  <c r="O9" i="13"/>
  <c r="N9" i="13"/>
  <c r="M9" i="13"/>
  <c r="M7" i="13" s="1"/>
  <c r="L9" i="13"/>
  <c r="K9" i="13"/>
  <c r="J9" i="13"/>
  <c r="J7" i="13" s="1"/>
  <c r="O8" i="13"/>
  <c r="N8" i="13"/>
  <c r="M8" i="13"/>
  <c r="L8" i="13"/>
  <c r="K8" i="13"/>
  <c r="J8" i="13"/>
  <c r="N7" i="13"/>
  <c r="L7" i="13"/>
  <c r="K7" i="13"/>
  <c r="O197" i="13"/>
  <c r="N197" i="13"/>
  <c r="M197" i="13"/>
  <c r="L197" i="13"/>
  <c r="K197" i="13"/>
  <c r="O196" i="13"/>
  <c r="N196" i="13"/>
  <c r="M196" i="13"/>
  <c r="L196" i="13"/>
  <c r="K196" i="13"/>
  <c r="O195" i="13"/>
  <c r="N195" i="13"/>
  <c r="M195" i="13"/>
  <c r="L195" i="13"/>
  <c r="K195" i="13"/>
  <c r="O194" i="13"/>
  <c r="N194" i="13"/>
  <c r="M194" i="13"/>
  <c r="L194" i="13"/>
  <c r="K194" i="13"/>
  <c r="O193" i="13"/>
  <c r="N193" i="13"/>
  <c r="M193" i="13"/>
  <c r="L193" i="13"/>
  <c r="K193" i="13"/>
  <c r="O192" i="13"/>
  <c r="N192" i="13"/>
  <c r="M192" i="13"/>
  <c r="L192" i="13"/>
  <c r="K192" i="13"/>
  <c r="O191" i="13"/>
  <c r="N191" i="13"/>
  <c r="M191" i="13"/>
  <c r="L191" i="13"/>
  <c r="K191" i="13"/>
  <c r="O190" i="13"/>
  <c r="N190" i="13"/>
  <c r="M190" i="13"/>
  <c r="L190" i="13"/>
  <c r="K190" i="13"/>
  <c r="O189" i="13"/>
  <c r="N189" i="13"/>
  <c r="M189" i="13"/>
  <c r="L189" i="13"/>
  <c r="K189" i="13"/>
  <c r="O188" i="13"/>
  <c r="N188" i="13"/>
  <c r="M188" i="13"/>
  <c r="L188" i="13"/>
  <c r="K188" i="13"/>
  <c r="O186" i="13"/>
  <c r="N186" i="13"/>
  <c r="M186" i="13"/>
  <c r="L186" i="13"/>
  <c r="K186" i="13"/>
  <c r="O185" i="13"/>
  <c r="N185" i="13"/>
  <c r="M185" i="13"/>
  <c r="L185" i="13"/>
  <c r="K185" i="13"/>
  <c r="O184" i="13"/>
  <c r="N184" i="13"/>
  <c r="M184" i="13"/>
  <c r="L184" i="13"/>
  <c r="K184" i="13"/>
  <c r="O183" i="13"/>
  <c r="N183" i="13"/>
  <c r="M183" i="13"/>
  <c r="L183" i="13"/>
  <c r="K183" i="13"/>
  <c r="O182" i="13"/>
  <c r="N182" i="13"/>
  <c r="M182" i="13"/>
  <c r="L182" i="13"/>
  <c r="K182" i="13"/>
  <c r="O181" i="13"/>
  <c r="N181" i="13"/>
  <c r="M181" i="13"/>
  <c r="L181" i="13"/>
  <c r="K181" i="13"/>
  <c r="O180" i="13"/>
  <c r="N180" i="13"/>
  <c r="M180" i="13"/>
  <c r="L180" i="13"/>
  <c r="K180" i="13"/>
  <c r="O179" i="13"/>
  <c r="N179" i="13"/>
  <c r="M179" i="13"/>
  <c r="L179" i="13"/>
  <c r="K179" i="13"/>
  <c r="O178" i="13"/>
  <c r="N178" i="13"/>
  <c r="M178" i="13"/>
  <c r="L178" i="13"/>
  <c r="K178" i="13"/>
  <c r="O177" i="13"/>
  <c r="N177" i="13"/>
  <c r="M177" i="13"/>
  <c r="L177" i="13"/>
  <c r="K177" i="13"/>
  <c r="O174" i="13"/>
  <c r="N174" i="13"/>
  <c r="M174" i="13"/>
  <c r="L174" i="13"/>
  <c r="K174" i="13"/>
  <c r="O173" i="13"/>
  <c r="N173" i="13"/>
  <c r="M173" i="13"/>
  <c r="L173" i="13"/>
  <c r="K173" i="13"/>
  <c r="O172" i="13"/>
  <c r="N172" i="13"/>
  <c r="M172" i="13"/>
  <c r="L172" i="13"/>
  <c r="K172" i="13"/>
  <c r="O171" i="13"/>
  <c r="N171" i="13"/>
  <c r="M171" i="13"/>
  <c r="L171" i="13"/>
  <c r="K171" i="13"/>
  <c r="O170" i="13"/>
  <c r="N170" i="13"/>
  <c r="M170" i="13"/>
  <c r="L170" i="13"/>
  <c r="K170" i="13"/>
  <c r="O169" i="13"/>
  <c r="N169" i="13"/>
  <c r="M169" i="13"/>
  <c r="L169" i="13"/>
  <c r="K169" i="13"/>
  <c r="O168" i="13"/>
  <c r="N168" i="13"/>
  <c r="M168" i="13"/>
  <c r="L168" i="13"/>
  <c r="K168" i="13"/>
  <c r="O167" i="13"/>
  <c r="N167" i="13"/>
  <c r="M167" i="13"/>
  <c r="L167" i="13"/>
  <c r="K167" i="13"/>
  <c r="O166" i="13"/>
  <c r="N166" i="13"/>
  <c r="M166" i="13"/>
  <c r="L166" i="13"/>
  <c r="K166" i="13"/>
  <c r="O165" i="13"/>
  <c r="N165" i="13"/>
  <c r="M165" i="13"/>
  <c r="L165" i="13"/>
  <c r="K165" i="13"/>
  <c r="O163" i="13"/>
  <c r="N163" i="13"/>
  <c r="M163" i="13"/>
  <c r="L163" i="13"/>
  <c r="K163" i="13"/>
  <c r="O162" i="13"/>
  <c r="N162" i="13"/>
  <c r="M162" i="13"/>
  <c r="L162" i="13"/>
  <c r="K162" i="13"/>
  <c r="O161" i="13"/>
  <c r="N161" i="13"/>
  <c r="M161" i="13"/>
  <c r="L161" i="13"/>
  <c r="K161" i="13"/>
  <c r="O160" i="13"/>
  <c r="N160" i="13"/>
  <c r="M160" i="13"/>
  <c r="L160" i="13"/>
  <c r="K160" i="13"/>
  <c r="O159" i="13"/>
  <c r="N159" i="13"/>
  <c r="M159" i="13"/>
  <c r="L159" i="13"/>
  <c r="K159" i="13"/>
  <c r="O158" i="13"/>
  <c r="N158" i="13"/>
  <c r="M158" i="13"/>
  <c r="L158" i="13"/>
  <c r="K158" i="13"/>
  <c r="O157" i="13"/>
  <c r="N157" i="13"/>
  <c r="M157" i="13"/>
  <c r="L157" i="13"/>
  <c r="K157" i="13"/>
  <c r="O156" i="13"/>
  <c r="N156" i="13"/>
  <c r="M156" i="13"/>
  <c r="L156" i="13"/>
  <c r="K156" i="13"/>
  <c r="O155" i="13"/>
  <c r="N155" i="13"/>
  <c r="M155" i="13"/>
  <c r="L155" i="13"/>
  <c r="K155" i="13"/>
  <c r="O154" i="13"/>
  <c r="N154" i="13"/>
  <c r="M154" i="13"/>
  <c r="L154" i="13"/>
  <c r="K154" i="13"/>
  <c r="O149" i="13"/>
  <c r="N149" i="13"/>
  <c r="M149" i="13"/>
  <c r="L149" i="13"/>
  <c r="K149" i="13"/>
  <c r="O148" i="13"/>
  <c r="N148" i="13"/>
  <c r="M148" i="13"/>
  <c r="L148" i="13"/>
  <c r="K148" i="13"/>
  <c r="O147" i="13"/>
  <c r="N147" i="13"/>
  <c r="M147" i="13"/>
  <c r="L147" i="13"/>
  <c r="K147" i="13"/>
  <c r="O146" i="13"/>
  <c r="N146" i="13"/>
  <c r="M146" i="13"/>
  <c r="L146" i="13"/>
  <c r="K146" i="13"/>
  <c r="O145" i="13"/>
  <c r="N145" i="13"/>
  <c r="M145" i="13"/>
  <c r="L145" i="13"/>
  <c r="K145" i="13"/>
  <c r="O144" i="13"/>
  <c r="N144" i="13"/>
  <c r="M144" i="13"/>
  <c r="L144" i="13"/>
  <c r="K144" i="13"/>
  <c r="O143" i="13"/>
  <c r="N143" i="13"/>
  <c r="M143" i="13"/>
  <c r="L143" i="13"/>
  <c r="K143" i="13"/>
  <c r="O142" i="13"/>
  <c r="N142" i="13"/>
  <c r="M142" i="13"/>
  <c r="L142" i="13"/>
  <c r="K142" i="13"/>
  <c r="O141" i="13"/>
  <c r="N141" i="13"/>
  <c r="M141" i="13"/>
  <c r="L141" i="13"/>
  <c r="K141" i="13"/>
  <c r="O140" i="13"/>
  <c r="N140" i="13"/>
  <c r="M140" i="13"/>
  <c r="L140" i="13"/>
  <c r="K140" i="13"/>
  <c r="O138" i="13"/>
  <c r="N138" i="13"/>
  <c r="M138" i="13"/>
  <c r="L138" i="13"/>
  <c r="K138" i="13"/>
  <c r="O137" i="13"/>
  <c r="N137" i="13"/>
  <c r="M137" i="13"/>
  <c r="L137" i="13"/>
  <c r="K137" i="13"/>
  <c r="O136" i="13"/>
  <c r="N136" i="13"/>
  <c r="M136" i="13"/>
  <c r="L136" i="13"/>
  <c r="K136" i="13"/>
  <c r="O135" i="13"/>
  <c r="N135" i="13"/>
  <c r="M135" i="13"/>
  <c r="L135" i="13"/>
  <c r="K135" i="13"/>
  <c r="O134" i="13"/>
  <c r="N134" i="13"/>
  <c r="M134" i="13"/>
  <c r="L134" i="13"/>
  <c r="K134" i="13"/>
  <c r="O133" i="13"/>
  <c r="N133" i="13"/>
  <c r="M133" i="13"/>
  <c r="L133" i="13"/>
  <c r="K133" i="13"/>
  <c r="O132" i="13"/>
  <c r="N132" i="13"/>
  <c r="M132" i="13"/>
  <c r="L132" i="13"/>
  <c r="K132" i="13"/>
  <c r="O131" i="13"/>
  <c r="N131" i="13"/>
  <c r="M131" i="13"/>
  <c r="L131" i="13"/>
  <c r="K131" i="13"/>
  <c r="O130" i="13"/>
  <c r="N130" i="13"/>
  <c r="M130" i="13"/>
  <c r="L130" i="13"/>
  <c r="K130" i="13"/>
  <c r="O129" i="13"/>
  <c r="N129" i="13"/>
  <c r="M129" i="13"/>
  <c r="L129" i="13"/>
  <c r="K129" i="13"/>
  <c r="O126" i="13"/>
  <c r="N126" i="13"/>
  <c r="M126" i="13"/>
  <c r="L126" i="13"/>
  <c r="K126" i="13"/>
  <c r="O125" i="13"/>
  <c r="N125" i="13"/>
  <c r="M125" i="13"/>
  <c r="L125" i="13"/>
  <c r="K125" i="13"/>
  <c r="O124" i="13"/>
  <c r="N124" i="13"/>
  <c r="M124" i="13"/>
  <c r="L124" i="13"/>
  <c r="K124" i="13"/>
  <c r="O123" i="13"/>
  <c r="N123" i="13"/>
  <c r="M123" i="13"/>
  <c r="L123" i="13"/>
  <c r="K123" i="13"/>
  <c r="O122" i="13"/>
  <c r="N122" i="13"/>
  <c r="M122" i="13"/>
  <c r="L122" i="13"/>
  <c r="K122" i="13"/>
  <c r="O121" i="13"/>
  <c r="N121" i="13"/>
  <c r="M121" i="13"/>
  <c r="L121" i="13"/>
  <c r="K121" i="13"/>
  <c r="O120" i="13"/>
  <c r="N120" i="13"/>
  <c r="M120" i="13"/>
  <c r="L120" i="13"/>
  <c r="K120" i="13"/>
  <c r="O119" i="13"/>
  <c r="N119" i="13"/>
  <c r="M119" i="13"/>
  <c r="L119" i="13"/>
  <c r="K119" i="13"/>
  <c r="O118" i="13"/>
  <c r="N118" i="13"/>
  <c r="M118" i="13"/>
  <c r="L118" i="13"/>
  <c r="K118" i="13"/>
  <c r="O117" i="13"/>
  <c r="N117" i="13"/>
  <c r="M117" i="13"/>
  <c r="L117" i="13"/>
  <c r="K117" i="13"/>
  <c r="O115" i="13"/>
  <c r="N115" i="13"/>
  <c r="M115" i="13"/>
  <c r="L115" i="13"/>
  <c r="K115" i="13"/>
  <c r="O114" i="13"/>
  <c r="N114" i="13"/>
  <c r="M114" i="13"/>
  <c r="L114" i="13"/>
  <c r="K114" i="13"/>
  <c r="O113" i="13"/>
  <c r="N113" i="13"/>
  <c r="M113" i="13"/>
  <c r="L113" i="13"/>
  <c r="K113" i="13"/>
  <c r="O112" i="13"/>
  <c r="N112" i="13"/>
  <c r="M112" i="13"/>
  <c r="L112" i="13"/>
  <c r="K112" i="13"/>
  <c r="O111" i="13"/>
  <c r="N111" i="13"/>
  <c r="M111" i="13"/>
  <c r="L111" i="13"/>
  <c r="K111" i="13"/>
  <c r="O110" i="13"/>
  <c r="N110" i="13"/>
  <c r="M110" i="13"/>
  <c r="L110" i="13"/>
  <c r="K110" i="13"/>
  <c r="O109" i="13"/>
  <c r="N109" i="13"/>
  <c r="M109" i="13"/>
  <c r="L109" i="13"/>
  <c r="K109" i="13"/>
  <c r="O108" i="13"/>
  <c r="N108" i="13"/>
  <c r="M108" i="13"/>
  <c r="L108" i="13"/>
  <c r="K108" i="13"/>
  <c r="O107" i="13"/>
  <c r="N107" i="13"/>
  <c r="M107" i="13"/>
  <c r="L107" i="13"/>
  <c r="K107" i="13"/>
  <c r="O106" i="13"/>
  <c r="N106" i="13"/>
  <c r="M106" i="13"/>
  <c r="L106" i="13"/>
  <c r="K106" i="13"/>
  <c r="F627" i="13"/>
  <c r="H490" i="13"/>
  <c r="F490" i="13"/>
  <c r="H489" i="13"/>
  <c r="H487" i="13"/>
  <c r="G487" i="13"/>
  <c r="I485" i="13"/>
  <c r="F485" i="13"/>
  <c r="I482" i="13"/>
  <c r="H482" i="13"/>
  <c r="E480" i="13"/>
  <c r="E479" i="13"/>
  <c r="I478" i="13"/>
  <c r="F478" i="13"/>
  <c r="H477" i="13"/>
  <c r="H475" i="13"/>
  <c r="E475" i="13"/>
  <c r="I472" i="13"/>
  <c r="F471" i="13"/>
  <c r="E471" i="13"/>
  <c r="H460" i="13"/>
  <c r="G460" i="13"/>
  <c r="H456" i="13"/>
  <c r="H455" i="13"/>
  <c r="G455" i="13"/>
  <c r="F455" i="13"/>
  <c r="F453" i="13"/>
  <c r="I450" i="13"/>
  <c r="G448" i="13"/>
  <c r="E448" i="13"/>
  <c r="G443" i="13"/>
  <c r="E443" i="13"/>
  <c r="F442" i="13"/>
  <c r="E442" i="13"/>
  <c r="I441" i="13"/>
  <c r="I637" i="13" s="1"/>
  <c r="F440" i="13"/>
  <c r="I437" i="13"/>
  <c r="G437" i="13"/>
  <c r="I435" i="13"/>
  <c r="H435" i="13"/>
  <c r="E435" i="13"/>
  <c r="E631" i="13" s="1"/>
  <c r="G430" i="13"/>
  <c r="F427" i="13"/>
  <c r="F623" i="13" s="1"/>
  <c r="I426" i="13"/>
  <c r="H426" i="13"/>
  <c r="H622" i="13" s="1"/>
  <c r="F423" i="13"/>
  <c r="G420" i="13"/>
  <c r="F420" i="13"/>
  <c r="I418" i="13"/>
  <c r="I416" i="13"/>
  <c r="G416" i="13"/>
  <c r="H415" i="13"/>
  <c r="G415" i="13"/>
  <c r="G412" i="13"/>
  <c r="F412" i="13"/>
  <c r="F608" i="13" s="1"/>
  <c r="E412" i="13"/>
  <c r="H409" i="13"/>
  <c r="F407" i="13"/>
  <c r="H405" i="13"/>
  <c r="F405" i="13"/>
  <c r="I404" i="13"/>
  <c r="I402" i="13"/>
  <c r="G402" i="13"/>
  <c r="H401" i="13"/>
  <c r="H597" i="13" s="1"/>
  <c r="E400" i="13"/>
  <c r="E393" i="13"/>
  <c r="I392" i="13"/>
  <c r="H390" i="13"/>
  <c r="G390" i="13"/>
  <c r="H389" i="13"/>
  <c r="H585" i="13" s="1"/>
  <c r="G389" i="13"/>
  <c r="F389" i="13"/>
  <c r="I386" i="13"/>
  <c r="G386" i="13"/>
  <c r="H385" i="13"/>
  <c r="G385" i="13"/>
  <c r="G380" i="13"/>
  <c r="F380" i="13"/>
  <c r="E380" i="13"/>
  <c r="I379" i="13"/>
  <c r="H379" i="13"/>
  <c r="H575" i="13" s="1"/>
  <c r="F379" i="13"/>
  <c r="E376" i="13"/>
  <c r="F375" i="13"/>
  <c r="E375" i="13"/>
  <c r="I373" i="13"/>
  <c r="F369" i="13"/>
  <c r="F368" i="13"/>
  <c r="H366" i="13"/>
  <c r="E363" i="13"/>
  <c r="E362" i="13"/>
  <c r="I361" i="13"/>
  <c r="E361" i="13"/>
  <c r="F358" i="13"/>
  <c r="H357" i="13"/>
  <c r="H553" i="13" s="1"/>
  <c r="F356" i="13"/>
  <c r="I355" i="13"/>
  <c r="H354" i="13"/>
  <c r="F354" i="13"/>
  <c r="F550" i="13" s="1"/>
  <c r="G353" i="13"/>
  <c r="F353" i="13"/>
  <c r="G352" i="13"/>
  <c r="E352" i="13"/>
  <c r="E548" i="13" s="1"/>
  <c r="E350" i="13"/>
  <c r="F345" i="13"/>
  <c r="F541" i="13" s="1"/>
  <c r="G344" i="13"/>
  <c r="G540" i="13" s="1"/>
  <c r="F344" i="13"/>
  <c r="I342" i="13"/>
  <c r="I341" i="13"/>
  <c r="G339" i="13"/>
  <c r="G535" i="13" s="1"/>
  <c r="H338" i="13"/>
  <c r="G338" i="13"/>
  <c r="G534" i="13" s="1"/>
  <c r="E338" i="13"/>
  <c r="E534" i="13" s="1"/>
  <c r="E337" i="13"/>
  <c r="H334" i="13"/>
  <c r="H530" i="13" s="1"/>
  <c r="F333" i="13"/>
  <c r="I330" i="13"/>
  <c r="H330" i="13"/>
  <c r="E330" i="13"/>
  <c r="E329" i="13"/>
  <c r="I328" i="13"/>
  <c r="H328" i="13"/>
  <c r="G328" i="13"/>
  <c r="G326" i="13"/>
  <c r="F326" i="13"/>
  <c r="E326" i="13"/>
  <c r="H320" i="13"/>
  <c r="G320" i="13"/>
  <c r="F320" i="13"/>
  <c r="E320" i="13"/>
  <c r="E516" i="13" s="1"/>
  <c r="F319" i="13"/>
  <c r="E319" i="13"/>
  <c r="I318" i="13"/>
  <c r="I316" i="13"/>
  <c r="G316" i="13"/>
  <c r="E316" i="13"/>
  <c r="E512" i="13" s="1"/>
  <c r="G314" i="13"/>
  <c r="F314" i="13"/>
  <c r="G313" i="13"/>
  <c r="F313" i="13"/>
  <c r="H311" i="13"/>
  <c r="H507" i="13" s="1"/>
  <c r="G308" i="13"/>
  <c r="G504" i="13" s="1"/>
  <c r="F308" i="13"/>
  <c r="F305" i="13"/>
  <c r="H304" i="13"/>
  <c r="G304" i="13"/>
  <c r="H303" i="13"/>
  <c r="G303" i="13"/>
  <c r="F303" i="13"/>
  <c r="I295" i="13"/>
  <c r="H295" i="13"/>
  <c r="G295" i="13"/>
  <c r="F295" i="13"/>
  <c r="E295" i="13"/>
  <c r="I294" i="13"/>
  <c r="H294" i="13"/>
  <c r="G294" i="13"/>
  <c r="G490" i="13" s="1"/>
  <c r="F294" i="13"/>
  <c r="E294" i="13"/>
  <c r="I293" i="13"/>
  <c r="H293" i="13"/>
  <c r="G293" i="13"/>
  <c r="F293" i="13"/>
  <c r="E293" i="13"/>
  <c r="I292" i="13"/>
  <c r="H292" i="13"/>
  <c r="G292" i="13"/>
  <c r="F292" i="13"/>
  <c r="E292" i="13"/>
  <c r="I291" i="13"/>
  <c r="I487" i="13" s="1"/>
  <c r="H291" i="13"/>
  <c r="G291" i="13"/>
  <c r="F291" i="13"/>
  <c r="E291" i="13"/>
  <c r="I290" i="13"/>
  <c r="H290" i="13"/>
  <c r="G290" i="13"/>
  <c r="F290" i="13"/>
  <c r="E290" i="13"/>
  <c r="I289" i="13"/>
  <c r="H289" i="13"/>
  <c r="G289" i="13"/>
  <c r="G485" i="13" s="1"/>
  <c r="F289" i="13"/>
  <c r="E289" i="13"/>
  <c r="I288" i="13"/>
  <c r="H288" i="13"/>
  <c r="G288" i="13"/>
  <c r="F288" i="13"/>
  <c r="E288" i="13"/>
  <c r="I287" i="13"/>
  <c r="H287" i="13"/>
  <c r="G287" i="13"/>
  <c r="G483" i="13" s="1"/>
  <c r="F287" i="13"/>
  <c r="F483" i="13" s="1"/>
  <c r="E287" i="13"/>
  <c r="I286" i="13"/>
  <c r="H286" i="13"/>
  <c r="G286" i="13"/>
  <c r="F286" i="13"/>
  <c r="E286" i="13"/>
  <c r="I284" i="13"/>
  <c r="H284" i="13"/>
  <c r="H480" i="13" s="1"/>
  <c r="G284" i="13"/>
  <c r="F284" i="13"/>
  <c r="E284" i="13"/>
  <c r="I283" i="13"/>
  <c r="H283" i="13"/>
  <c r="G283" i="13"/>
  <c r="F283" i="13"/>
  <c r="E283" i="13"/>
  <c r="I282" i="13"/>
  <c r="H282" i="13"/>
  <c r="G282" i="13"/>
  <c r="F282" i="13"/>
  <c r="E282" i="13"/>
  <c r="I281" i="13"/>
  <c r="H281" i="13"/>
  <c r="G281" i="13"/>
  <c r="F281" i="13"/>
  <c r="E281" i="13"/>
  <c r="I280" i="13"/>
  <c r="H280" i="13"/>
  <c r="G280" i="13"/>
  <c r="F280" i="13"/>
  <c r="E280" i="13"/>
  <c r="I279" i="13"/>
  <c r="H279" i="13"/>
  <c r="G279" i="13"/>
  <c r="F279" i="13"/>
  <c r="E279" i="13"/>
  <c r="I278" i="13"/>
  <c r="H278" i="13"/>
  <c r="G278" i="13"/>
  <c r="F278" i="13"/>
  <c r="E278" i="13"/>
  <c r="I277" i="13"/>
  <c r="H277" i="13"/>
  <c r="G277" i="13"/>
  <c r="F277" i="13"/>
  <c r="E277" i="13"/>
  <c r="I276" i="13"/>
  <c r="H276" i="13"/>
  <c r="G276" i="13"/>
  <c r="F276" i="13"/>
  <c r="E276" i="13"/>
  <c r="I275" i="13"/>
  <c r="H275" i="13"/>
  <c r="G275" i="13"/>
  <c r="G471" i="13" s="1"/>
  <c r="F275" i="13"/>
  <c r="E275" i="13"/>
  <c r="I272" i="13"/>
  <c r="H272" i="13"/>
  <c r="H468" i="13" s="1"/>
  <c r="G272" i="13"/>
  <c r="F272" i="13"/>
  <c r="E272" i="13"/>
  <c r="I271" i="13"/>
  <c r="H271" i="13"/>
  <c r="G271" i="13"/>
  <c r="F271" i="13"/>
  <c r="E271" i="13"/>
  <c r="I270" i="13"/>
  <c r="H270" i="13"/>
  <c r="G270" i="13"/>
  <c r="F270" i="13"/>
  <c r="F466" i="13" s="1"/>
  <c r="F662" i="13" s="1"/>
  <c r="E270" i="13"/>
  <c r="I269" i="13"/>
  <c r="H269" i="13"/>
  <c r="G269" i="13"/>
  <c r="F269" i="13"/>
  <c r="E269" i="13"/>
  <c r="E465" i="13" s="1"/>
  <c r="I268" i="13"/>
  <c r="H268" i="13"/>
  <c r="G268" i="13"/>
  <c r="F268" i="13"/>
  <c r="E268" i="13"/>
  <c r="I267" i="13"/>
  <c r="I463" i="13" s="1"/>
  <c r="H267" i="13"/>
  <c r="G267" i="13"/>
  <c r="F267" i="13"/>
  <c r="E267" i="13"/>
  <c r="I266" i="13"/>
  <c r="H266" i="13"/>
  <c r="G266" i="13"/>
  <c r="F266" i="13"/>
  <c r="E266" i="13"/>
  <c r="I265" i="13"/>
  <c r="H265" i="13"/>
  <c r="G265" i="13"/>
  <c r="G461" i="13" s="1"/>
  <c r="G657" i="13" s="1"/>
  <c r="F265" i="13"/>
  <c r="E265" i="13"/>
  <c r="I264" i="13"/>
  <c r="H264" i="13"/>
  <c r="G264" i="13"/>
  <c r="F264" i="13"/>
  <c r="E264" i="13"/>
  <c r="I263" i="13"/>
  <c r="H263" i="13"/>
  <c r="G263" i="13"/>
  <c r="F263" i="13"/>
  <c r="E263" i="13"/>
  <c r="E459" i="13" s="1"/>
  <c r="I261" i="13"/>
  <c r="H261" i="13"/>
  <c r="G261" i="13"/>
  <c r="F261" i="13"/>
  <c r="E261" i="13"/>
  <c r="I260" i="13"/>
  <c r="H260" i="13"/>
  <c r="G260" i="13"/>
  <c r="F260" i="13"/>
  <c r="E260" i="13"/>
  <c r="I259" i="13"/>
  <c r="H259" i="13"/>
  <c r="G259" i="13"/>
  <c r="F259" i="13"/>
  <c r="E259" i="13"/>
  <c r="I258" i="13"/>
  <c r="H258" i="13"/>
  <c r="G258" i="13"/>
  <c r="F258" i="13"/>
  <c r="F454" i="13" s="1"/>
  <c r="E258" i="13"/>
  <c r="I257" i="13"/>
  <c r="H257" i="13"/>
  <c r="G257" i="13"/>
  <c r="F257" i="13"/>
  <c r="E257" i="13"/>
  <c r="I256" i="13"/>
  <c r="H256" i="13"/>
  <c r="G256" i="13"/>
  <c r="F256" i="13"/>
  <c r="E256" i="13"/>
  <c r="I255" i="13"/>
  <c r="H255" i="13"/>
  <c r="G255" i="13"/>
  <c r="F255" i="13"/>
  <c r="F451" i="13" s="1"/>
  <c r="F647" i="13" s="1"/>
  <c r="E255" i="13"/>
  <c r="I254" i="13"/>
  <c r="H254" i="13"/>
  <c r="G254" i="13"/>
  <c r="F254" i="13"/>
  <c r="E254" i="13"/>
  <c r="I253" i="13"/>
  <c r="H253" i="13"/>
  <c r="G253" i="13"/>
  <c r="F253" i="13"/>
  <c r="E253" i="13"/>
  <c r="I252" i="13"/>
  <c r="H252" i="13"/>
  <c r="G252" i="13"/>
  <c r="F252" i="13"/>
  <c r="E252" i="13"/>
  <c r="I247" i="13"/>
  <c r="H247" i="13"/>
  <c r="H443" i="13" s="1"/>
  <c r="G247" i="13"/>
  <c r="F247" i="13"/>
  <c r="E247" i="13"/>
  <c r="I246" i="13"/>
  <c r="H246" i="13"/>
  <c r="G246" i="13"/>
  <c r="F246" i="13"/>
  <c r="E246" i="13"/>
  <c r="I245" i="13"/>
  <c r="H245" i="13"/>
  <c r="G245" i="13"/>
  <c r="F245" i="13"/>
  <c r="F441" i="13" s="1"/>
  <c r="E245" i="13"/>
  <c r="I244" i="13"/>
  <c r="H244" i="13"/>
  <c r="G244" i="13"/>
  <c r="F244" i="13"/>
  <c r="E244" i="13"/>
  <c r="I243" i="13"/>
  <c r="H243" i="13"/>
  <c r="G243" i="13"/>
  <c r="F243" i="13"/>
  <c r="E243" i="13"/>
  <c r="I242" i="13"/>
  <c r="I438" i="13" s="1"/>
  <c r="H242" i="13"/>
  <c r="G242" i="13"/>
  <c r="F242" i="13"/>
  <c r="E242" i="13"/>
  <c r="I241" i="13"/>
  <c r="H241" i="13"/>
  <c r="G241" i="13"/>
  <c r="F241" i="13"/>
  <c r="E241" i="13"/>
  <c r="I240" i="13"/>
  <c r="H240" i="13"/>
  <c r="G240" i="13"/>
  <c r="G436" i="13" s="1"/>
  <c r="F240" i="13"/>
  <c r="E240" i="13"/>
  <c r="I239" i="13"/>
  <c r="H239" i="13"/>
  <c r="G239" i="13"/>
  <c r="G435" i="13" s="1"/>
  <c r="F239" i="13"/>
  <c r="E239" i="13"/>
  <c r="I238" i="13"/>
  <c r="H238" i="13"/>
  <c r="G238" i="13"/>
  <c r="F238" i="13"/>
  <c r="E238" i="13"/>
  <c r="E434" i="13" s="1"/>
  <c r="I236" i="13"/>
  <c r="H236" i="13"/>
  <c r="G236" i="13"/>
  <c r="G432" i="13" s="1"/>
  <c r="F236" i="13"/>
  <c r="E236" i="13"/>
  <c r="I235" i="13"/>
  <c r="H235" i="13"/>
  <c r="H431" i="13" s="1"/>
  <c r="H627" i="13" s="1"/>
  <c r="G235" i="13"/>
  <c r="F235" i="13"/>
  <c r="E235" i="13"/>
  <c r="I234" i="13"/>
  <c r="H234" i="13"/>
  <c r="G234" i="13"/>
  <c r="F234" i="13"/>
  <c r="E234" i="13"/>
  <c r="E430" i="13" s="1"/>
  <c r="I233" i="13"/>
  <c r="H233" i="13"/>
  <c r="G233" i="13"/>
  <c r="F233" i="13"/>
  <c r="F429" i="13" s="1"/>
  <c r="F625" i="13" s="1"/>
  <c r="E233" i="13"/>
  <c r="I232" i="13"/>
  <c r="H232" i="13"/>
  <c r="G232" i="13"/>
  <c r="F232" i="13"/>
  <c r="E232" i="13"/>
  <c r="I231" i="13"/>
  <c r="H231" i="13"/>
  <c r="H427" i="13" s="1"/>
  <c r="G231" i="13"/>
  <c r="F231" i="13"/>
  <c r="E231" i="13"/>
  <c r="I230" i="13"/>
  <c r="H230" i="13"/>
  <c r="G230" i="13"/>
  <c r="F230" i="13"/>
  <c r="F426" i="13" s="1"/>
  <c r="E230" i="13"/>
  <c r="I229" i="13"/>
  <c r="H229" i="13"/>
  <c r="G229" i="13"/>
  <c r="F229" i="13"/>
  <c r="E229" i="13"/>
  <c r="I228" i="13"/>
  <c r="H228" i="13"/>
  <c r="G228" i="13"/>
  <c r="G424" i="13" s="1"/>
  <c r="G620" i="13" s="1"/>
  <c r="F228" i="13"/>
  <c r="F424" i="13" s="1"/>
  <c r="F620" i="13" s="1"/>
  <c r="E228" i="13"/>
  <c r="I227" i="13"/>
  <c r="H227" i="13"/>
  <c r="G227" i="13"/>
  <c r="F227" i="13"/>
  <c r="E227" i="13"/>
  <c r="I224" i="13"/>
  <c r="I420" i="13" s="1"/>
  <c r="H224" i="13"/>
  <c r="H420" i="13" s="1"/>
  <c r="G224" i="13"/>
  <c r="F224" i="13"/>
  <c r="E224" i="13"/>
  <c r="I223" i="13"/>
  <c r="H223" i="13"/>
  <c r="H419" i="13" s="1"/>
  <c r="G223" i="13"/>
  <c r="F223" i="13"/>
  <c r="E223" i="13"/>
  <c r="E419" i="13" s="1"/>
  <c r="I222" i="13"/>
  <c r="H222" i="13"/>
  <c r="G222" i="13"/>
  <c r="G418" i="13" s="1"/>
  <c r="F222" i="13"/>
  <c r="E222" i="13"/>
  <c r="E418" i="13" s="1"/>
  <c r="I221" i="13"/>
  <c r="H221" i="13"/>
  <c r="H417" i="13" s="1"/>
  <c r="G221" i="13"/>
  <c r="F221" i="13"/>
  <c r="F417" i="13" s="1"/>
  <c r="E221" i="13"/>
  <c r="I220" i="13"/>
  <c r="H220" i="13"/>
  <c r="G220" i="13"/>
  <c r="F220" i="13"/>
  <c r="F416" i="13" s="1"/>
  <c r="F612" i="13" s="1"/>
  <c r="E220" i="13"/>
  <c r="E416" i="13" s="1"/>
  <c r="I219" i="13"/>
  <c r="I415" i="13" s="1"/>
  <c r="H219" i="13"/>
  <c r="G219" i="13"/>
  <c r="F219" i="13"/>
  <c r="E219" i="13"/>
  <c r="I218" i="13"/>
  <c r="I414" i="13" s="1"/>
  <c r="H218" i="13"/>
  <c r="G218" i="13"/>
  <c r="F218" i="13"/>
  <c r="E218" i="13"/>
  <c r="I217" i="13"/>
  <c r="H217" i="13"/>
  <c r="H413" i="13" s="1"/>
  <c r="G217" i="13"/>
  <c r="G413" i="13" s="1"/>
  <c r="G609" i="13" s="1"/>
  <c r="F217" i="13"/>
  <c r="F413" i="13" s="1"/>
  <c r="E217" i="13"/>
  <c r="I216" i="13"/>
  <c r="I412" i="13" s="1"/>
  <c r="H216" i="13"/>
  <c r="G216" i="13"/>
  <c r="F216" i="13"/>
  <c r="E216" i="13"/>
  <c r="I215" i="13"/>
  <c r="H215" i="13"/>
  <c r="G215" i="13"/>
  <c r="F215" i="13"/>
  <c r="E215" i="13"/>
  <c r="I213" i="13"/>
  <c r="H213" i="13"/>
  <c r="G213" i="13"/>
  <c r="F213" i="13"/>
  <c r="E213" i="13"/>
  <c r="I212" i="13"/>
  <c r="H212" i="13"/>
  <c r="H408" i="13" s="1"/>
  <c r="H604" i="13" s="1"/>
  <c r="G212" i="13"/>
  <c r="F212" i="13"/>
  <c r="F408" i="13" s="1"/>
  <c r="E212" i="13"/>
  <c r="I211" i="13"/>
  <c r="H211" i="13"/>
  <c r="H407" i="13" s="1"/>
  <c r="G211" i="13"/>
  <c r="F211" i="13"/>
  <c r="E211" i="13"/>
  <c r="I210" i="13"/>
  <c r="H210" i="13"/>
  <c r="G210" i="13"/>
  <c r="F210" i="13"/>
  <c r="E210" i="13"/>
  <c r="E406" i="13" s="1"/>
  <c r="I209" i="13"/>
  <c r="I405" i="13" s="1"/>
  <c r="H209" i="13"/>
  <c r="G209" i="13"/>
  <c r="F209" i="13"/>
  <c r="E209" i="13"/>
  <c r="I208" i="13"/>
  <c r="H208" i="13"/>
  <c r="G208" i="13"/>
  <c r="F208" i="13"/>
  <c r="E208" i="13"/>
  <c r="I207" i="13"/>
  <c r="H207" i="13"/>
  <c r="G207" i="13"/>
  <c r="G403" i="13" s="1"/>
  <c r="F207" i="13"/>
  <c r="E207" i="13"/>
  <c r="I206" i="13"/>
  <c r="H206" i="13"/>
  <c r="G206" i="13"/>
  <c r="F206" i="13"/>
  <c r="E206" i="13"/>
  <c r="I205" i="13"/>
  <c r="H205" i="13"/>
  <c r="G205" i="13"/>
  <c r="F205" i="13"/>
  <c r="E205" i="13"/>
  <c r="I204" i="13"/>
  <c r="H204" i="13"/>
  <c r="G204" i="13"/>
  <c r="G400" i="13" s="1"/>
  <c r="F204" i="13"/>
  <c r="E204" i="13"/>
  <c r="I197" i="13"/>
  <c r="H197" i="13"/>
  <c r="G197" i="13"/>
  <c r="F197" i="13"/>
  <c r="E197" i="13"/>
  <c r="I196" i="13"/>
  <c r="H196" i="13"/>
  <c r="G196" i="13"/>
  <c r="F196" i="13"/>
  <c r="F392" i="13" s="1"/>
  <c r="F588" i="13" s="1"/>
  <c r="E196" i="13"/>
  <c r="E392" i="13" s="1"/>
  <c r="E588" i="13" s="1"/>
  <c r="I195" i="13"/>
  <c r="I391" i="13" s="1"/>
  <c r="H195" i="13"/>
  <c r="G195" i="13"/>
  <c r="F195" i="13"/>
  <c r="E195" i="13"/>
  <c r="I194" i="13"/>
  <c r="H194" i="13"/>
  <c r="G194" i="13"/>
  <c r="F194" i="13"/>
  <c r="E194" i="13"/>
  <c r="I193" i="13"/>
  <c r="I389" i="13" s="1"/>
  <c r="H193" i="13"/>
  <c r="G193" i="13"/>
  <c r="F193" i="13"/>
  <c r="E193" i="13"/>
  <c r="I192" i="13"/>
  <c r="H192" i="13"/>
  <c r="G192" i="13"/>
  <c r="F192" i="13"/>
  <c r="E192" i="13"/>
  <c r="I191" i="13"/>
  <c r="H191" i="13"/>
  <c r="H387" i="13" s="1"/>
  <c r="G191" i="13"/>
  <c r="G387" i="13" s="1"/>
  <c r="F191" i="13"/>
  <c r="F387" i="13" s="1"/>
  <c r="E191" i="13"/>
  <c r="E387" i="13" s="1"/>
  <c r="I190" i="13"/>
  <c r="H190" i="13"/>
  <c r="G190" i="13"/>
  <c r="F190" i="13"/>
  <c r="E190" i="13"/>
  <c r="I189" i="13"/>
  <c r="H189" i="13"/>
  <c r="G189" i="13"/>
  <c r="F189" i="13"/>
  <c r="F385" i="13" s="1"/>
  <c r="F581" i="13" s="1"/>
  <c r="E189" i="13"/>
  <c r="E385" i="13" s="1"/>
  <c r="I188" i="13"/>
  <c r="I384" i="13" s="1"/>
  <c r="H188" i="13"/>
  <c r="H384" i="13" s="1"/>
  <c r="G188" i="13"/>
  <c r="G384" i="13" s="1"/>
  <c r="F188" i="13"/>
  <c r="E188" i="13"/>
  <c r="I186" i="13"/>
  <c r="H186" i="13"/>
  <c r="H382" i="13" s="1"/>
  <c r="G186" i="13"/>
  <c r="G382" i="13" s="1"/>
  <c r="F186" i="13"/>
  <c r="F382" i="13" s="1"/>
  <c r="E186" i="13"/>
  <c r="E382" i="13" s="1"/>
  <c r="E578" i="13" s="1"/>
  <c r="I185" i="13"/>
  <c r="H185" i="13"/>
  <c r="G185" i="13"/>
  <c r="F185" i="13"/>
  <c r="E185" i="13"/>
  <c r="I184" i="13"/>
  <c r="H184" i="13"/>
  <c r="G184" i="13"/>
  <c r="F184" i="13"/>
  <c r="E184" i="13"/>
  <c r="I183" i="13"/>
  <c r="H183" i="13"/>
  <c r="G183" i="13"/>
  <c r="F183" i="13"/>
  <c r="E183" i="13"/>
  <c r="I182" i="13"/>
  <c r="H182" i="13"/>
  <c r="G182" i="13"/>
  <c r="F182" i="13"/>
  <c r="E182" i="13"/>
  <c r="I181" i="13"/>
  <c r="I377" i="13" s="1"/>
  <c r="H181" i="13"/>
  <c r="H377" i="13" s="1"/>
  <c r="G181" i="13"/>
  <c r="G377" i="13" s="1"/>
  <c r="F181" i="13"/>
  <c r="F377" i="13" s="1"/>
  <c r="E181" i="13"/>
  <c r="I180" i="13"/>
  <c r="H180" i="13"/>
  <c r="G180" i="13"/>
  <c r="F180" i="13"/>
  <c r="F376" i="13" s="1"/>
  <c r="E180" i="13"/>
  <c r="I179" i="13"/>
  <c r="H179" i="13"/>
  <c r="G179" i="13"/>
  <c r="F179" i="13"/>
  <c r="E179" i="13"/>
  <c r="I178" i="13"/>
  <c r="I374" i="13" s="1"/>
  <c r="H178" i="13"/>
  <c r="G178" i="13"/>
  <c r="F178" i="13"/>
  <c r="E178" i="13"/>
  <c r="I177" i="13"/>
  <c r="H177" i="13"/>
  <c r="G177" i="13"/>
  <c r="F177" i="13"/>
  <c r="E177" i="13"/>
  <c r="E373" i="13" s="1"/>
  <c r="I174" i="13"/>
  <c r="H174" i="13"/>
  <c r="G174" i="13"/>
  <c r="F174" i="13"/>
  <c r="E174" i="13"/>
  <c r="I173" i="13"/>
  <c r="H173" i="13"/>
  <c r="H369" i="13" s="1"/>
  <c r="H565" i="13" s="1"/>
  <c r="G173" i="13"/>
  <c r="G369" i="13" s="1"/>
  <c r="F173" i="13"/>
  <c r="E173" i="13"/>
  <c r="I172" i="13"/>
  <c r="H172" i="13"/>
  <c r="G172" i="13"/>
  <c r="F172" i="13"/>
  <c r="E172" i="13"/>
  <c r="I171" i="13"/>
  <c r="I367" i="13" s="1"/>
  <c r="H171" i="13"/>
  <c r="G171" i="13"/>
  <c r="F171" i="13"/>
  <c r="E171" i="13"/>
  <c r="I170" i="13"/>
  <c r="H170" i="13"/>
  <c r="G170" i="13"/>
  <c r="F170" i="13"/>
  <c r="E170" i="13"/>
  <c r="I169" i="13"/>
  <c r="I365" i="13" s="1"/>
  <c r="H169" i="13"/>
  <c r="G169" i="13"/>
  <c r="F169" i="13"/>
  <c r="E169" i="13"/>
  <c r="I168" i="13"/>
  <c r="H168" i="13"/>
  <c r="H364" i="13" s="1"/>
  <c r="G168" i="13"/>
  <c r="F168" i="13"/>
  <c r="E168" i="13"/>
  <c r="I167" i="13"/>
  <c r="H167" i="13"/>
  <c r="G167" i="13"/>
  <c r="G363" i="13" s="1"/>
  <c r="F167" i="13"/>
  <c r="E167" i="13"/>
  <c r="I166" i="13"/>
  <c r="H166" i="13"/>
  <c r="G166" i="13"/>
  <c r="F166" i="13"/>
  <c r="E166" i="13"/>
  <c r="I165" i="13"/>
  <c r="H165" i="13"/>
  <c r="G165" i="13"/>
  <c r="F165" i="13"/>
  <c r="E165" i="13"/>
  <c r="I163" i="13"/>
  <c r="H163" i="13"/>
  <c r="G163" i="13"/>
  <c r="G359" i="13" s="1"/>
  <c r="F163" i="13"/>
  <c r="E163" i="13"/>
  <c r="E359" i="13" s="1"/>
  <c r="E555" i="13" s="1"/>
  <c r="I162" i="13"/>
  <c r="H162" i="13"/>
  <c r="H358" i="13" s="1"/>
  <c r="H554" i="13" s="1"/>
  <c r="G162" i="13"/>
  <c r="F162" i="13"/>
  <c r="E162" i="13"/>
  <c r="E358" i="13" s="1"/>
  <c r="I161" i="13"/>
  <c r="H161" i="13"/>
  <c r="G161" i="13"/>
  <c r="F161" i="13"/>
  <c r="E161" i="13"/>
  <c r="I160" i="13"/>
  <c r="H160" i="13"/>
  <c r="G160" i="13"/>
  <c r="F160" i="13"/>
  <c r="E160" i="13"/>
  <c r="I159" i="13"/>
  <c r="H159" i="13"/>
  <c r="H355" i="13" s="1"/>
  <c r="G159" i="13"/>
  <c r="F159" i="13"/>
  <c r="F355" i="13" s="1"/>
  <c r="F551" i="13" s="1"/>
  <c r="E159" i="13"/>
  <c r="I158" i="13"/>
  <c r="H158" i="13"/>
  <c r="G158" i="13"/>
  <c r="F158" i="13"/>
  <c r="E158" i="13"/>
  <c r="I157" i="13"/>
  <c r="I353" i="13" s="1"/>
  <c r="H157" i="13"/>
  <c r="G157" i="13"/>
  <c r="F157" i="13"/>
  <c r="E157" i="13"/>
  <c r="I156" i="13"/>
  <c r="I352" i="13" s="1"/>
  <c r="H156" i="13"/>
  <c r="G156" i="13"/>
  <c r="F156" i="13"/>
  <c r="E156" i="13"/>
  <c r="I155" i="13"/>
  <c r="H155" i="13"/>
  <c r="G155" i="13"/>
  <c r="G351" i="13" s="1"/>
  <c r="F155" i="13"/>
  <c r="E155" i="13"/>
  <c r="E351" i="13" s="1"/>
  <c r="I154" i="13"/>
  <c r="I350" i="13" s="1"/>
  <c r="H154" i="13"/>
  <c r="G154" i="13"/>
  <c r="F154" i="13"/>
  <c r="E154" i="13"/>
  <c r="I149" i="13"/>
  <c r="H149" i="13"/>
  <c r="G149" i="13"/>
  <c r="F149" i="13"/>
  <c r="E149" i="13"/>
  <c r="E345" i="13" s="1"/>
  <c r="E541" i="13" s="1"/>
  <c r="I148" i="13"/>
  <c r="H148" i="13"/>
  <c r="H344" i="13" s="1"/>
  <c r="G148" i="13"/>
  <c r="F148" i="13"/>
  <c r="E148" i="13"/>
  <c r="I147" i="13"/>
  <c r="H147" i="13"/>
  <c r="G147" i="13"/>
  <c r="F147" i="13"/>
  <c r="F343" i="13" s="1"/>
  <c r="E147" i="13"/>
  <c r="I146" i="13"/>
  <c r="H146" i="13"/>
  <c r="H342" i="13" s="1"/>
  <c r="G146" i="13"/>
  <c r="F146" i="13"/>
  <c r="F342" i="13" s="1"/>
  <c r="F538" i="13" s="1"/>
  <c r="E146" i="13"/>
  <c r="I145" i="13"/>
  <c r="H145" i="13"/>
  <c r="G145" i="13"/>
  <c r="F145" i="13"/>
  <c r="E145" i="13"/>
  <c r="E341" i="13" s="1"/>
  <c r="I144" i="13"/>
  <c r="H144" i="13"/>
  <c r="G144" i="13"/>
  <c r="F144" i="13"/>
  <c r="E144" i="13"/>
  <c r="I143" i="13"/>
  <c r="H143" i="13"/>
  <c r="G143" i="13"/>
  <c r="F143" i="13"/>
  <c r="E143" i="13"/>
  <c r="I142" i="13"/>
  <c r="H142" i="13"/>
  <c r="G142" i="13"/>
  <c r="F142" i="13"/>
  <c r="E142" i="13"/>
  <c r="I141" i="13"/>
  <c r="H141" i="13"/>
  <c r="G141" i="13"/>
  <c r="G337" i="13" s="1"/>
  <c r="F141" i="13"/>
  <c r="E141" i="13"/>
  <c r="I140" i="13"/>
  <c r="H140" i="13"/>
  <c r="G140" i="13"/>
  <c r="F140" i="13"/>
  <c r="F336" i="13" s="1"/>
  <c r="E140" i="13"/>
  <c r="E336" i="13" s="1"/>
  <c r="I138" i="13"/>
  <c r="I334" i="13" s="1"/>
  <c r="H138" i="13"/>
  <c r="G138" i="13"/>
  <c r="G334" i="13" s="1"/>
  <c r="G530" i="13" s="1"/>
  <c r="F138" i="13"/>
  <c r="E138" i="13"/>
  <c r="I137" i="13"/>
  <c r="H137" i="13"/>
  <c r="H333" i="13" s="1"/>
  <c r="G137" i="13"/>
  <c r="G333" i="13" s="1"/>
  <c r="F137" i="13"/>
  <c r="E137" i="13"/>
  <c r="I136" i="13"/>
  <c r="H136" i="13"/>
  <c r="G136" i="13"/>
  <c r="F136" i="13"/>
  <c r="E136" i="13"/>
  <c r="E332" i="13" s="1"/>
  <c r="E528" i="13" s="1"/>
  <c r="I135" i="13"/>
  <c r="H135" i="13"/>
  <c r="G135" i="13"/>
  <c r="F135" i="13"/>
  <c r="F331" i="13" s="1"/>
  <c r="E135" i="13"/>
  <c r="I134" i="13"/>
  <c r="H134" i="13"/>
  <c r="G134" i="13"/>
  <c r="F134" i="13"/>
  <c r="E134" i="13"/>
  <c r="I133" i="13"/>
  <c r="H133" i="13"/>
  <c r="H329" i="13" s="1"/>
  <c r="G133" i="13"/>
  <c r="F133" i="13"/>
  <c r="E133" i="13"/>
  <c r="I132" i="13"/>
  <c r="H132" i="13"/>
  <c r="G132" i="13"/>
  <c r="F132" i="13"/>
  <c r="E132" i="13"/>
  <c r="I131" i="13"/>
  <c r="H131" i="13"/>
  <c r="G131" i="13"/>
  <c r="F131" i="13"/>
  <c r="E131" i="13"/>
  <c r="I130" i="13"/>
  <c r="H130" i="13"/>
  <c r="G130" i="13"/>
  <c r="F130" i="13"/>
  <c r="E130" i="13"/>
  <c r="I129" i="13"/>
  <c r="I325" i="13" s="1"/>
  <c r="H129" i="13"/>
  <c r="G129" i="13"/>
  <c r="F129" i="13"/>
  <c r="F325" i="13" s="1"/>
  <c r="E129" i="13"/>
  <c r="I126" i="13"/>
  <c r="I322" i="13" s="1"/>
  <c r="I518" i="13" s="1"/>
  <c r="H126" i="13"/>
  <c r="G126" i="13"/>
  <c r="F126" i="13"/>
  <c r="E126" i="13"/>
  <c r="I125" i="13"/>
  <c r="H125" i="13"/>
  <c r="H321" i="13" s="1"/>
  <c r="G125" i="13"/>
  <c r="F125" i="13"/>
  <c r="F321" i="13" s="1"/>
  <c r="E125" i="13"/>
  <c r="I124" i="13"/>
  <c r="H124" i="13"/>
  <c r="G124" i="13"/>
  <c r="F124" i="13"/>
  <c r="E124" i="13"/>
  <c r="I123" i="13"/>
  <c r="H123" i="13"/>
  <c r="H319" i="13" s="1"/>
  <c r="G123" i="13"/>
  <c r="F123" i="13"/>
  <c r="E123" i="13"/>
  <c r="I122" i="13"/>
  <c r="H122" i="13"/>
  <c r="G122" i="13"/>
  <c r="F122" i="13"/>
  <c r="E122" i="13"/>
  <c r="E318" i="13" s="1"/>
  <c r="E514" i="13" s="1"/>
  <c r="I121" i="13"/>
  <c r="H121" i="13"/>
  <c r="H317" i="13" s="1"/>
  <c r="G121" i="13"/>
  <c r="F121" i="13"/>
  <c r="F317" i="13" s="1"/>
  <c r="E121" i="13"/>
  <c r="I120" i="13"/>
  <c r="H120" i="13"/>
  <c r="G120" i="13"/>
  <c r="F120" i="13"/>
  <c r="E120" i="13"/>
  <c r="I119" i="13"/>
  <c r="H119" i="13"/>
  <c r="G119" i="13"/>
  <c r="F119" i="13"/>
  <c r="F315" i="13" s="1"/>
  <c r="E119" i="13"/>
  <c r="I118" i="13"/>
  <c r="I314" i="13" s="1"/>
  <c r="H118" i="13"/>
  <c r="G118" i="13"/>
  <c r="F118" i="13"/>
  <c r="E118" i="13"/>
  <c r="E314" i="13" s="1"/>
  <c r="E510" i="13" s="1"/>
  <c r="I117" i="13"/>
  <c r="H117" i="13"/>
  <c r="G117" i="13"/>
  <c r="F117" i="13"/>
  <c r="E117" i="13"/>
  <c r="I115" i="13"/>
  <c r="H115" i="13"/>
  <c r="G115" i="13"/>
  <c r="F115" i="13"/>
  <c r="E115" i="13"/>
  <c r="I114" i="13"/>
  <c r="H114" i="13"/>
  <c r="G114" i="13"/>
  <c r="F114" i="13"/>
  <c r="E114" i="13"/>
  <c r="I113" i="13"/>
  <c r="H113" i="13"/>
  <c r="H309" i="13" s="1"/>
  <c r="G113" i="13"/>
  <c r="F113" i="13"/>
  <c r="F309" i="13" s="1"/>
  <c r="E113" i="13"/>
  <c r="I112" i="13"/>
  <c r="H112" i="13"/>
  <c r="G112" i="13"/>
  <c r="F112" i="13"/>
  <c r="E112" i="13"/>
  <c r="I111" i="13"/>
  <c r="H111" i="13"/>
  <c r="H307" i="13" s="1"/>
  <c r="H503" i="13" s="1"/>
  <c r="G111" i="13"/>
  <c r="F111" i="13"/>
  <c r="F307" i="13" s="1"/>
  <c r="F503" i="13" s="1"/>
  <c r="E111" i="13"/>
  <c r="I110" i="13"/>
  <c r="I306" i="13" s="1"/>
  <c r="I502" i="13" s="1"/>
  <c r="H110" i="13"/>
  <c r="G110" i="13"/>
  <c r="F110" i="13"/>
  <c r="E110" i="13"/>
  <c r="I109" i="13"/>
  <c r="H109" i="13"/>
  <c r="H305" i="13" s="1"/>
  <c r="G109" i="13"/>
  <c r="F109" i="13"/>
  <c r="E109" i="13"/>
  <c r="I108" i="13"/>
  <c r="I304" i="13" s="1"/>
  <c r="H108" i="13"/>
  <c r="G108" i="13"/>
  <c r="F108" i="13"/>
  <c r="E108" i="13"/>
  <c r="I107" i="13"/>
  <c r="H107" i="13"/>
  <c r="G107" i="13"/>
  <c r="F107" i="13"/>
  <c r="E107" i="13"/>
  <c r="I106" i="13"/>
  <c r="H106" i="13"/>
  <c r="G106" i="13"/>
  <c r="G302" i="13" s="1"/>
  <c r="F106" i="13"/>
  <c r="E106" i="13"/>
  <c r="E302" i="13" s="1"/>
  <c r="I99" i="13"/>
  <c r="H99" i="13"/>
  <c r="G99" i="13"/>
  <c r="F99" i="13"/>
  <c r="E99" i="13"/>
  <c r="I98" i="13"/>
  <c r="I490" i="13" s="1"/>
  <c r="H98" i="13"/>
  <c r="H392" i="13" s="1"/>
  <c r="G98" i="13"/>
  <c r="F98" i="13"/>
  <c r="E98" i="13"/>
  <c r="E490" i="13" s="1"/>
  <c r="I97" i="13"/>
  <c r="I489" i="13" s="1"/>
  <c r="H97" i="13"/>
  <c r="G97" i="13"/>
  <c r="F97" i="13"/>
  <c r="E97" i="13"/>
  <c r="I96" i="13"/>
  <c r="H96" i="13"/>
  <c r="G96" i="13"/>
  <c r="G488" i="13" s="1"/>
  <c r="F96" i="13"/>
  <c r="E96" i="13"/>
  <c r="I95" i="13"/>
  <c r="H95" i="13"/>
  <c r="G95" i="13"/>
  <c r="F95" i="13"/>
  <c r="F487" i="13" s="1"/>
  <c r="E95" i="13"/>
  <c r="I94" i="13"/>
  <c r="H94" i="13"/>
  <c r="G94" i="13"/>
  <c r="F94" i="13"/>
  <c r="E94" i="13"/>
  <c r="I93" i="13"/>
  <c r="I387" i="13" s="1"/>
  <c r="H93" i="13"/>
  <c r="G93" i="13"/>
  <c r="F93" i="13"/>
  <c r="E93" i="13"/>
  <c r="E485" i="13" s="1"/>
  <c r="I92" i="13"/>
  <c r="I484" i="13" s="1"/>
  <c r="H92" i="13"/>
  <c r="G92" i="13"/>
  <c r="G484" i="13" s="1"/>
  <c r="F92" i="13"/>
  <c r="E92" i="13"/>
  <c r="I91" i="13"/>
  <c r="I385" i="13" s="1"/>
  <c r="H91" i="13"/>
  <c r="H483" i="13" s="1"/>
  <c r="G91" i="13"/>
  <c r="G89" i="13" s="1"/>
  <c r="F91" i="13"/>
  <c r="F89" i="13" s="1"/>
  <c r="E91" i="13"/>
  <c r="I90" i="13"/>
  <c r="H90" i="13"/>
  <c r="G90" i="13"/>
  <c r="G482" i="13" s="1"/>
  <c r="F90" i="13"/>
  <c r="E90" i="13"/>
  <c r="H89" i="13"/>
  <c r="I88" i="13"/>
  <c r="H88" i="13"/>
  <c r="G88" i="13"/>
  <c r="G480" i="13" s="1"/>
  <c r="F88" i="13"/>
  <c r="F480" i="13" s="1"/>
  <c r="E88" i="13"/>
  <c r="I87" i="13"/>
  <c r="H87" i="13"/>
  <c r="G87" i="13"/>
  <c r="F87" i="13"/>
  <c r="F381" i="13" s="1"/>
  <c r="E87" i="13"/>
  <c r="I86" i="13"/>
  <c r="I380" i="13" s="1"/>
  <c r="H86" i="13"/>
  <c r="G86" i="13"/>
  <c r="F86" i="13"/>
  <c r="E86" i="13"/>
  <c r="E478" i="13" s="1"/>
  <c r="I85" i="13"/>
  <c r="I477" i="13" s="1"/>
  <c r="H85" i="13"/>
  <c r="G85" i="13"/>
  <c r="F85" i="13"/>
  <c r="E85" i="13"/>
  <c r="I84" i="13"/>
  <c r="H84" i="13"/>
  <c r="G84" i="13"/>
  <c r="F84" i="13"/>
  <c r="E84" i="13"/>
  <c r="I83" i="13"/>
  <c r="H83" i="13"/>
  <c r="G83" i="13"/>
  <c r="G475" i="13" s="1"/>
  <c r="F83" i="13"/>
  <c r="F475" i="13" s="1"/>
  <c r="E83" i="13"/>
  <c r="I82" i="13"/>
  <c r="H82" i="13"/>
  <c r="G82" i="13"/>
  <c r="F82" i="13"/>
  <c r="E82" i="13"/>
  <c r="E474" i="13" s="1"/>
  <c r="I81" i="13"/>
  <c r="H81" i="13"/>
  <c r="G81" i="13"/>
  <c r="G375" i="13" s="1"/>
  <c r="F81" i="13"/>
  <c r="F473" i="13" s="1"/>
  <c r="E81" i="13"/>
  <c r="E473" i="13" s="1"/>
  <c r="I80" i="13"/>
  <c r="H80" i="13"/>
  <c r="G80" i="13"/>
  <c r="F80" i="13"/>
  <c r="E80" i="13"/>
  <c r="I79" i="13"/>
  <c r="H79" i="13"/>
  <c r="G79" i="13"/>
  <c r="F79" i="13"/>
  <c r="E79" i="13"/>
  <c r="I76" i="13"/>
  <c r="H76" i="13"/>
  <c r="H370" i="13" s="1"/>
  <c r="H566" i="13" s="1"/>
  <c r="G76" i="13"/>
  <c r="F76" i="13"/>
  <c r="F468" i="13" s="1"/>
  <c r="E76" i="13"/>
  <c r="E468" i="13" s="1"/>
  <c r="I75" i="13"/>
  <c r="H75" i="13"/>
  <c r="H467" i="13" s="1"/>
  <c r="G75" i="13"/>
  <c r="F75" i="13"/>
  <c r="F467" i="13" s="1"/>
  <c r="E75" i="13"/>
  <c r="I74" i="13"/>
  <c r="H74" i="13"/>
  <c r="G74" i="13"/>
  <c r="G466" i="13" s="1"/>
  <c r="F74" i="13"/>
  <c r="E74" i="13"/>
  <c r="I73" i="13"/>
  <c r="I465" i="13" s="1"/>
  <c r="H73" i="13"/>
  <c r="H367" i="13" s="1"/>
  <c r="G73" i="13"/>
  <c r="F73" i="13"/>
  <c r="E73" i="13"/>
  <c r="I72" i="13"/>
  <c r="H72" i="13"/>
  <c r="H464" i="13" s="1"/>
  <c r="G72" i="13"/>
  <c r="G464" i="13" s="1"/>
  <c r="F72" i="13"/>
  <c r="F464" i="13" s="1"/>
  <c r="E72" i="13"/>
  <c r="I71" i="13"/>
  <c r="H71" i="13"/>
  <c r="G71" i="13"/>
  <c r="G463" i="13" s="1"/>
  <c r="F71" i="13"/>
  <c r="E71" i="13"/>
  <c r="I70" i="13"/>
  <c r="H70" i="13"/>
  <c r="G70" i="13"/>
  <c r="G462" i="13" s="1"/>
  <c r="F70" i="13"/>
  <c r="E70" i="13"/>
  <c r="I69" i="13"/>
  <c r="H69" i="13"/>
  <c r="G69" i="13"/>
  <c r="F69" i="13"/>
  <c r="E69" i="13"/>
  <c r="E461" i="13" s="1"/>
  <c r="I68" i="13"/>
  <c r="H68" i="13"/>
  <c r="G68" i="13"/>
  <c r="F68" i="13"/>
  <c r="E68" i="13"/>
  <c r="I67" i="13"/>
  <c r="I459" i="13" s="1"/>
  <c r="H67" i="13"/>
  <c r="G67" i="13"/>
  <c r="F67" i="13"/>
  <c r="F361" i="13" s="1"/>
  <c r="E67" i="13"/>
  <c r="I65" i="13"/>
  <c r="H65" i="13"/>
  <c r="G65" i="13"/>
  <c r="F65" i="13"/>
  <c r="F359" i="13" s="1"/>
  <c r="E65" i="13"/>
  <c r="E457" i="13" s="1"/>
  <c r="I64" i="13"/>
  <c r="I358" i="13" s="1"/>
  <c r="H64" i="13"/>
  <c r="G64" i="13"/>
  <c r="F64" i="13"/>
  <c r="F456" i="13" s="1"/>
  <c r="E64" i="13"/>
  <c r="I63" i="13"/>
  <c r="H63" i="13"/>
  <c r="G63" i="13"/>
  <c r="F63" i="13"/>
  <c r="F357" i="13" s="1"/>
  <c r="E63" i="13"/>
  <c r="I62" i="13"/>
  <c r="H62" i="13"/>
  <c r="G62" i="13"/>
  <c r="G454" i="13" s="1"/>
  <c r="F62" i="13"/>
  <c r="E62" i="13"/>
  <c r="E454" i="13" s="1"/>
  <c r="I61" i="13"/>
  <c r="I453" i="13" s="1"/>
  <c r="H61" i="13"/>
  <c r="H453" i="13" s="1"/>
  <c r="H649" i="13" s="1"/>
  <c r="G61" i="13"/>
  <c r="F61" i="13"/>
  <c r="E61" i="13"/>
  <c r="I60" i="13"/>
  <c r="H60" i="13"/>
  <c r="G60" i="13"/>
  <c r="F60" i="13"/>
  <c r="F452" i="13" s="1"/>
  <c r="E60" i="13"/>
  <c r="I59" i="13"/>
  <c r="H59" i="13"/>
  <c r="H353" i="13" s="1"/>
  <c r="G59" i="13"/>
  <c r="G451" i="13" s="1"/>
  <c r="F59" i="13"/>
  <c r="E59" i="13"/>
  <c r="E353" i="13" s="1"/>
  <c r="I58" i="13"/>
  <c r="H58" i="13"/>
  <c r="H450" i="13" s="1"/>
  <c r="G58" i="13"/>
  <c r="F58" i="13"/>
  <c r="E58" i="13"/>
  <c r="E450" i="13" s="1"/>
  <c r="I57" i="13"/>
  <c r="H57" i="13"/>
  <c r="H449" i="13" s="1"/>
  <c r="G57" i="13"/>
  <c r="G449" i="13" s="1"/>
  <c r="F57" i="13"/>
  <c r="E57" i="13"/>
  <c r="E449" i="13" s="1"/>
  <c r="E547" i="13" s="1"/>
  <c r="I56" i="13"/>
  <c r="I448" i="13" s="1"/>
  <c r="H56" i="13"/>
  <c r="G56" i="13"/>
  <c r="F56" i="13"/>
  <c r="F448" i="13" s="1"/>
  <c r="E56" i="13"/>
  <c r="I51" i="13"/>
  <c r="H51" i="13"/>
  <c r="G51" i="13"/>
  <c r="F51" i="13"/>
  <c r="F443" i="13" s="1"/>
  <c r="E51" i="13"/>
  <c r="I50" i="13"/>
  <c r="H50" i="13"/>
  <c r="G50" i="13"/>
  <c r="G442" i="13" s="1"/>
  <c r="F50" i="13"/>
  <c r="E50" i="13"/>
  <c r="E344" i="13" s="1"/>
  <c r="I49" i="13"/>
  <c r="I343" i="13" s="1"/>
  <c r="H49" i="13"/>
  <c r="G49" i="13"/>
  <c r="F49" i="13"/>
  <c r="E49" i="13"/>
  <c r="I48" i="13"/>
  <c r="I440" i="13" s="1"/>
  <c r="I636" i="13" s="1"/>
  <c r="H48" i="13"/>
  <c r="H440" i="13" s="1"/>
  <c r="G48" i="13"/>
  <c r="F48" i="13"/>
  <c r="E48" i="13"/>
  <c r="I47" i="13"/>
  <c r="I439" i="13" s="1"/>
  <c r="H47" i="13"/>
  <c r="G47" i="13"/>
  <c r="F47" i="13"/>
  <c r="E47" i="13"/>
  <c r="I46" i="13"/>
  <c r="H46" i="13"/>
  <c r="G46" i="13"/>
  <c r="G438" i="13" s="1"/>
  <c r="F46" i="13"/>
  <c r="E46" i="13"/>
  <c r="E340" i="13" s="1"/>
  <c r="I45" i="13"/>
  <c r="H45" i="13"/>
  <c r="G45" i="13"/>
  <c r="F45" i="13"/>
  <c r="F437" i="13" s="1"/>
  <c r="E45" i="13"/>
  <c r="I44" i="13"/>
  <c r="I436" i="13" s="1"/>
  <c r="H44" i="13"/>
  <c r="G44" i="13"/>
  <c r="F44" i="13"/>
  <c r="E44" i="13"/>
  <c r="E436" i="13" s="1"/>
  <c r="I43" i="13"/>
  <c r="H43" i="13"/>
  <c r="H337" i="13" s="1"/>
  <c r="G43" i="13"/>
  <c r="F43" i="13"/>
  <c r="E43" i="13"/>
  <c r="I42" i="13"/>
  <c r="H42" i="13"/>
  <c r="G42" i="13"/>
  <c r="F42" i="13"/>
  <c r="E42" i="13"/>
  <c r="I40" i="13"/>
  <c r="I432" i="13" s="1"/>
  <c r="H40" i="13"/>
  <c r="H432" i="13" s="1"/>
  <c r="G40" i="13"/>
  <c r="F40" i="13"/>
  <c r="E40" i="13"/>
  <c r="I39" i="13"/>
  <c r="H39" i="13"/>
  <c r="G39" i="13"/>
  <c r="F39" i="13"/>
  <c r="F431" i="13" s="1"/>
  <c r="E39" i="13"/>
  <c r="I38" i="13"/>
  <c r="H38" i="13"/>
  <c r="H332" i="13" s="1"/>
  <c r="G38" i="13"/>
  <c r="F38" i="13"/>
  <c r="F430" i="13" s="1"/>
  <c r="E38" i="13"/>
  <c r="I37" i="13"/>
  <c r="H37" i="13"/>
  <c r="G37" i="13"/>
  <c r="F37" i="13"/>
  <c r="E37" i="13"/>
  <c r="I36" i="13"/>
  <c r="I428" i="13" s="1"/>
  <c r="I624" i="13" s="1"/>
  <c r="H36" i="13"/>
  <c r="G36" i="13"/>
  <c r="F36" i="13"/>
  <c r="E36" i="13"/>
  <c r="I35" i="13"/>
  <c r="H35" i="13"/>
  <c r="G35" i="13"/>
  <c r="F35" i="13"/>
  <c r="F329" i="13" s="1"/>
  <c r="E35" i="13"/>
  <c r="E427" i="13" s="1"/>
  <c r="E623" i="13" s="1"/>
  <c r="I34" i="13"/>
  <c r="H34" i="13"/>
  <c r="G34" i="13"/>
  <c r="G426" i="13" s="1"/>
  <c r="F34" i="13"/>
  <c r="E34" i="13"/>
  <c r="I33" i="13"/>
  <c r="H33" i="13"/>
  <c r="G33" i="13"/>
  <c r="F33" i="13"/>
  <c r="E33" i="13"/>
  <c r="I32" i="13"/>
  <c r="H32" i="13"/>
  <c r="G32" i="13"/>
  <c r="F32" i="13"/>
  <c r="E32" i="13"/>
  <c r="E424" i="13" s="1"/>
  <c r="I31" i="13"/>
  <c r="H31" i="13"/>
  <c r="G31" i="13"/>
  <c r="F31" i="13"/>
  <c r="E31" i="13"/>
  <c r="F30" i="13"/>
  <c r="I28" i="13"/>
  <c r="H28" i="13"/>
  <c r="H322" i="13" s="1"/>
  <c r="G28" i="13"/>
  <c r="F28" i="13"/>
  <c r="F322" i="13" s="1"/>
  <c r="F518" i="13" s="1"/>
  <c r="E28" i="13"/>
  <c r="I27" i="13"/>
  <c r="H27" i="13"/>
  <c r="G27" i="13"/>
  <c r="F27" i="13"/>
  <c r="F419" i="13" s="1"/>
  <c r="E27" i="13"/>
  <c r="E321" i="13" s="1"/>
  <c r="I26" i="13"/>
  <c r="H26" i="13"/>
  <c r="G26" i="13"/>
  <c r="F26" i="13"/>
  <c r="E26" i="13"/>
  <c r="I25" i="13"/>
  <c r="H25" i="13"/>
  <c r="G25" i="13"/>
  <c r="F25" i="13"/>
  <c r="E25" i="13"/>
  <c r="E417" i="13" s="1"/>
  <c r="I24" i="13"/>
  <c r="H24" i="13"/>
  <c r="G24" i="13"/>
  <c r="F24" i="13"/>
  <c r="F318" i="13" s="1"/>
  <c r="E24" i="13"/>
  <c r="I23" i="13"/>
  <c r="I317" i="13" s="1"/>
  <c r="H23" i="13"/>
  <c r="G23" i="13"/>
  <c r="G317" i="13" s="1"/>
  <c r="F23" i="13"/>
  <c r="F415" i="13" s="1"/>
  <c r="E23" i="13"/>
  <c r="I22" i="13"/>
  <c r="H22" i="13"/>
  <c r="G22" i="13"/>
  <c r="G414" i="13" s="1"/>
  <c r="G610" i="13" s="1"/>
  <c r="F22" i="13"/>
  <c r="E22" i="13"/>
  <c r="E414" i="13" s="1"/>
  <c r="I21" i="13"/>
  <c r="H21" i="13"/>
  <c r="G21" i="13"/>
  <c r="G315" i="13" s="1"/>
  <c r="F21" i="13"/>
  <c r="E21" i="13"/>
  <c r="I20" i="13"/>
  <c r="H20" i="13"/>
  <c r="G20" i="13"/>
  <c r="F20" i="13"/>
  <c r="E20" i="13"/>
  <c r="I19" i="13"/>
  <c r="H19" i="13"/>
  <c r="H411" i="13" s="1"/>
  <c r="G19" i="13"/>
  <c r="F19" i="13"/>
  <c r="E19" i="13"/>
  <c r="I17" i="13"/>
  <c r="I409" i="13" s="1"/>
  <c r="H17" i="13"/>
  <c r="G17" i="13"/>
  <c r="F17" i="13"/>
  <c r="E17" i="13"/>
  <c r="I16" i="13"/>
  <c r="H16" i="13"/>
  <c r="H310" i="13" s="1"/>
  <c r="G16" i="13"/>
  <c r="F16" i="13"/>
  <c r="F310" i="13" s="1"/>
  <c r="E16" i="13"/>
  <c r="I15" i="13"/>
  <c r="H15" i="13"/>
  <c r="G15" i="13"/>
  <c r="F15" i="13"/>
  <c r="E15" i="13"/>
  <c r="E407" i="13" s="1"/>
  <c r="I14" i="13"/>
  <c r="I406" i="13" s="1"/>
  <c r="H14" i="13"/>
  <c r="H406" i="13" s="1"/>
  <c r="G14" i="13"/>
  <c r="G406" i="13" s="1"/>
  <c r="F14" i="13"/>
  <c r="E14" i="13"/>
  <c r="E308" i="13" s="1"/>
  <c r="I13" i="13"/>
  <c r="I307" i="13" s="1"/>
  <c r="H13" i="13"/>
  <c r="G13" i="13"/>
  <c r="F13" i="13"/>
  <c r="E13" i="13"/>
  <c r="E307" i="13" s="1"/>
  <c r="I12" i="13"/>
  <c r="H12" i="13"/>
  <c r="G12" i="13"/>
  <c r="F12" i="13"/>
  <c r="E12" i="13"/>
  <c r="I11" i="13"/>
  <c r="I305" i="13" s="1"/>
  <c r="H11" i="13"/>
  <c r="G11" i="13"/>
  <c r="G305" i="13" s="1"/>
  <c r="F11" i="13"/>
  <c r="F403" i="13" s="1"/>
  <c r="E11" i="13"/>
  <c r="I10" i="13"/>
  <c r="H10" i="13"/>
  <c r="H402" i="13" s="1"/>
  <c r="G10" i="13"/>
  <c r="F10" i="13"/>
  <c r="E10" i="13"/>
  <c r="I9" i="13"/>
  <c r="H9" i="13"/>
  <c r="G9" i="13"/>
  <c r="F9" i="13"/>
  <c r="E9" i="13"/>
  <c r="I8" i="13"/>
  <c r="I400" i="13" s="1"/>
  <c r="H8" i="13"/>
  <c r="G8" i="13"/>
  <c r="F8" i="13"/>
  <c r="E8" i="13"/>
  <c r="G7" i="13"/>
  <c r="D682" i="13"/>
  <c r="D675" i="13"/>
  <c r="D622" i="13"/>
  <c r="D584" i="13"/>
  <c r="D491" i="13"/>
  <c r="D490" i="13"/>
  <c r="D489" i="13"/>
  <c r="D488" i="13"/>
  <c r="D487" i="13"/>
  <c r="D683" i="13" s="1"/>
  <c r="D486" i="13"/>
  <c r="D485" i="13"/>
  <c r="D484" i="13"/>
  <c r="D483" i="13"/>
  <c r="D482" i="13"/>
  <c r="D480" i="13"/>
  <c r="D479" i="13"/>
  <c r="D478" i="13"/>
  <c r="D477" i="13"/>
  <c r="D476" i="13"/>
  <c r="D475" i="13"/>
  <c r="D671" i="13" s="1"/>
  <c r="D474" i="13"/>
  <c r="D670" i="13" s="1"/>
  <c r="D473" i="13"/>
  <c r="D669" i="13" s="1"/>
  <c r="D472" i="13"/>
  <c r="D471" i="13"/>
  <c r="D468" i="13"/>
  <c r="D467" i="13"/>
  <c r="D565" i="13" s="1"/>
  <c r="D466" i="13"/>
  <c r="D465" i="13"/>
  <c r="D464" i="13"/>
  <c r="D463" i="13"/>
  <c r="D462" i="13"/>
  <c r="D461" i="13"/>
  <c r="D657" i="13" s="1"/>
  <c r="D460" i="13"/>
  <c r="D656" i="13" s="1"/>
  <c r="D459" i="13"/>
  <c r="D655" i="13" s="1"/>
  <c r="D457" i="13"/>
  <c r="D456" i="13"/>
  <c r="D455" i="13"/>
  <c r="D454" i="13"/>
  <c r="D650" i="13" s="1"/>
  <c r="D453" i="13"/>
  <c r="D452" i="13"/>
  <c r="D451" i="13"/>
  <c r="D450" i="13"/>
  <c r="D449" i="13"/>
  <c r="D448" i="13"/>
  <c r="D443" i="13"/>
  <c r="D433" i="13" s="1"/>
  <c r="D442" i="13"/>
  <c r="D638" i="13" s="1"/>
  <c r="D441" i="13"/>
  <c r="D440" i="13"/>
  <c r="D636" i="13" s="1"/>
  <c r="D439" i="13"/>
  <c r="D438" i="13"/>
  <c r="D634" i="13" s="1"/>
  <c r="D437" i="13"/>
  <c r="D436" i="13"/>
  <c r="D435" i="13"/>
  <c r="D434" i="13"/>
  <c r="D432" i="13"/>
  <c r="D431" i="13"/>
  <c r="D430" i="13"/>
  <c r="D429" i="13"/>
  <c r="D428" i="13"/>
  <c r="D427" i="13"/>
  <c r="D426" i="13"/>
  <c r="D425" i="13"/>
  <c r="D621" i="13" s="1"/>
  <c r="D424" i="13"/>
  <c r="D423" i="13"/>
  <c r="D420" i="13"/>
  <c r="D419" i="13"/>
  <c r="D418" i="13"/>
  <c r="D417" i="13"/>
  <c r="D613" i="13" s="1"/>
  <c r="D416" i="13"/>
  <c r="D415" i="13"/>
  <c r="D611" i="13" s="1"/>
  <c r="D414" i="13"/>
  <c r="D413" i="13"/>
  <c r="D609" i="13" s="1"/>
  <c r="D412" i="13"/>
  <c r="D411" i="13"/>
  <c r="D607" i="13" s="1"/>
  <c r="D409" i="13"/>
  <c r="D408" i="13"/>
  <c r="D407" i="13"/>
  <c r="D406" i="13"/>
  <c r="D405" i="13"/>
  <c r="D404" i="13"/>
  <c r="D600" i="13" s="1"/>
  <c r="D403" i="13"/>
  <c r="D402" i="13"/>
  <c r="D598" i="13" s="1"/>
  <c r="D401" i="13"/>
  <c r="D400" i="13"/>
  <c r="D393" i="13"/>
  <c r="D392" i="13"/>
  <c r="D391" i="13"/>
  <c r="D390" i="13"/>
  <c r="D389" i="13"/>
  <c r="D388" i="13"/>
  <c r="D387" i="13"/>
  <c r="D386" i="13"/>
  <c r="D582" i="13" s="1"/>
  <c r="D385" i="13"/>
  <c r="D384" i="13"/>
  <c r="D382" i="13"/>
  <c r="D381" i="13"/>
  <c r="D380" i="13"/>
  <c r="D379" i="13"/>
  <c r="D378" i="13"/>
  <c r="D377" i="13"/>
  <c r="D376" i="13"/>
  <c r="D375" i="13"/>
  <c r="D374" i="13"/>
  <c r="D373" i="13"/>
  <c r="D370" i="13"/>
  <c r="D566" i="13" s="1"/>
  <c r="D369" i="13"/>
  <c r="D368" i="13"/>
  <c r="D367" i="13"/>
  <c r="D366" i="13"/>
  <c r="D365" i="13"/>
  <c r="D364" i="13"/>
  <c r="D363" i="13"/>
  <c r="D362" i="13"/>
  <c r="D361" i="13"/>
  <c r="D557" i="13" s="1"/>
  <c r="D359" i="13"/>
  <c r="D653" i="13" s="1"/>
  <c r="D358" i="13"/>
  <c r="D357" i="13"/>
  <c r="D651" i="13" s="1"/>
  <c r="D356" i="13"/>
  <c r="D355" i="13"/>
  <c r="D354" i="13"/>
  <c r="D353" i="13"/>
  <c r="D352" i="13"/>
  <c r="D351" i="13"/>
  <c r="D350" i="13"/>
  <c r="D345" i="13"/>
  <c r="D344" i="13"/>
  <c r="D540" i="13" s="1"/>
  <c r="D343" i="13"/>
  <c r="D539" i="13" s="1"/>
  <c r="D342" i="13"/>
  <c r="D538" i="13" s="1"/>
  <c r="D341" i="13"/>
  <c r="D537" i="13" s="1"/>
  <c r="D340" i="13"/>
  <c r="D339" i="13"/>
  <c r="D338" i="13"/>
  <c r="D337" i="13"/>
  <c r="D336" i="13"/>
  <c r="D334" i="13"/>
  <c r="D333" i="13"/>
  <c r="D332" i="13"/>
  <c r="D331" i="13"/>
  <c r="D330" i="13"/>
  <c r="D329" i="13"/>
  <c r="D525" i="13" s="1"/>
  <c r="D328" i="13"/>
  <c r="D327" i="13"/>
  <c r="D326" i="13"/>
  <c r="D325" i="13"/>
  <c r="D322" i="13"/>
  <c r="D321" i="13"/>
  <c r="D320" i="13"/>
  <c r="D319" i="13"/>
  <c r="D318" i="13"/>
  <c r="D317" i="13"/>
  <c r="D513" i="13" s="1"/>
  <c r="D316" i="13"/>
  <c r="D315" i="13"/>
  <c r="D511" i="13" s="1"/>
  <c r="D314" i="13"/>
  <c r="D313" i="13"/>
  <c r="D311" i="13"/>
  <c r="D310" i="13"/>
  <c r="D309" i="13"/>
  <c r="D308" i="13"/>
  <c r="D307" i="13"/>
  <c r="D306" i="13"/>
  <c r="D305" i="13"/>
  <c r="D304" i="13"/>
  <c r="D303" i="13"/>
  <c r="D302" i="13"/>
  <c r="D89" i="13"/>
  <c r="D77" i="13" s="1"/>
  <c r="D53" i="13" s="1"/>
  <c r="D3" i="13" s="1"/>
  <c r="D78" i="13"/>
  <c r="D66" i="13"/>
  <c r="D55" i="13"/>
  <c r="D54" i="13" s="1"/>
  <c r="D41" i="13"/>
  <c r="D30" i="13"/>
  <c r="D29" i="13" s="1"/>
  <c r="D18" i="13"/>
  <c r="D6" i="13" s="1"/>
  <c r="D7" i="13"/>
  <c r="D295" i="13"/>
  <c r="D294" i="13"/>
  <c r="D293" i="13"/>
  <c r="D292" i="13"/>
  <c r="D291" i="13"/>
  <c r="D290" i="13"/>
  <c r="D289" i="13"/>
  <c r="D288" i="13"/>
  <c r="D287" i="13"/>
  <c r="D286" i="13"/>
  <c r="D284" i="13"/>
  <c r="D283" i="13"/>
  <c r="D282" i="13"/>
  <c r="D281" i="13"/>
  <c r="D280" i="13"/>
  <c r="D279" i="13"/>
  <c r="D278" i="13"/>
  <c r="D277" i="13"/>
  <c r="D276" i="13"/>
  <c r="D275" i="13"/>
  <c r="D272" i="13"/>
  <c r="D271" i="13"/>
  <c r="D270" i="13"/>
  <c r="D269" i="13"/>
  <c r="D268" i="13"/>
  <c r="D267" i="13"/>
  <c r="D266" i="13"/>
  <c r="D265" i="13"/>
  <c r="D264" i="13"/>
  <c r="D263" i="13"/>
  <c r="D261" i="13"/>
  <c r="D260" i="13"/>
  <c r="D259" i="13"/>
  <c r="D258" i="13"/>
  <c r="D257" i="13"/>
  <c r="D256" i="13"/>
  <c r="D255" i="13"/>
  <c r="D254" i="13"/>
  <c r="D253" i="13"/>
  <c r="D252" i="13"/>
  <c r="D247" i="13"/>
  <c r="D246" i="13"/>
  <c r="D245" i="13"/>
  <c r="D244" i="13"/>
  <c r="D243" i="13"/>
  <c r="D242" i="13"/>
  <c r="D241" i="13"/>
  <c r="D240" i="13"/>
  <c r="D239" i="13"/>
  <c r="D238" i="13"/>
  <c r="D236" i="13"/>
  <c r="D235" i="13"/>
  <c r="D234" i="13"/>
  <c r="D233" i="13"/>
  <c r="D232" i="13"/>
  <c r="D231" i="13"/>
  <c r="D230" i="13"/>
  <c r="D229" i="13"/>
  <c r="D228" i="13"/>
  <c r="D227" i="13"/>
  <c r="D224" i="13"/>
  <c r="D223" i="13"/>
  <c r="D222" i="13"/>
  <c r="D221" i="13"/>
  <c r="D220" i="13"/>
  <c r="D219" i="13"/>
  <c r="D218" i="13"/>
  <c r="D217" i="13"/>
  <c r="D216" i="13"/>
  <c r="D215" i="13"/>
  <c r="D213" i="13"/>
  <c r="D212" i="13"/>
  <c r="D211" i="13"/>
  <c r="D210" i="13"/>
  <c r="D209" i="13"/>
  <c r="D208" i="13"/>
  <c r="D207" i="13"/>
  <c r="D206" i="13"/>
  <c r="D205" i="13"/>
  <c r="D204" i="13"/>
  <c r="J197" i="13"/>
  <c r="J196" i="13"/>
  <c r="J195" i="13"/>
  <c r="J194" i="13"/>
  <c r="J193" i="13"/>
  <c r="J192" i="13"/>
  <c r="J191" i="13"/>
  <c r="J190" i="13"/>
  <c r="J189" i="13"/>
  <c r="J188" i="13"/>
  <c r="J186" i="13"/>
  <c r="J185" i="13"/>
  <c r="J184" i="13"/>
  <c r="J183" i="13"/>
  <c r="J182" i="13"/>
  <c r="J181" i="13"/>
  <c r="J180" i="13"/>
  <c r="J179" i="13"/>
  <c r="J178" i="13"/>
  <c r="J177" i="13"/>
  <c r="J174" i="13"/>
  <c r="J173" i="13"/>
  <c r="J172" i="13"/>
  <c r="J171" i="13"/>
  <c r="J170" i="13"/>
  <c r="J169" i="13"/>
  <c r="J168" i="13"/>
  <c r="J167" i="13"/>
  <c r="J166" i="13"/>
  <c r="J165" i="13"/>
  <c r="J163" i="13"/>
  <c r="J162" i="13"/>
  <c r="J161" i="13"/>
  <c r="J160" i="13"/>
  <c r="J159" i="13"/>
  <c r="J158" i="13"/>
  <c r="J157" i="13"/>
  <c r="J156" i="13"/>
  <c r="J155" i="13"/>
  <c r="J154" i="13"/>
  <c r="J149" i="13"/>
  <c r="J148" i="13"/>
  <c r="J147" i="13"/>
  <c r="J146" i="13"/>
  <c r="J145" i="13"/>
  <c r="J144" i="13"/>
  <c r="J143" i="13"/>
  <c r="J142" i="13"/>
  <c r="J141" i="13"/>
  <c r="J140" i="13"/>
  <c r="J138" i="13"/>
  <c r="J137" i="13"/>
  <c r="J136" i="13"/>
  <c r="J135" i="13"/>
  <c r="J134" i="13"/>
  <c r="J133" i="13"/>
  <c r="J132" i="13"/>
  <c r="J131" i="13"/>
  <c r="J130" i="13"/>
  <c r="J129" i="13"/>
  <c r="J126" i="13"/>
  <c r="J125" i="13"/>
  <c r="J124" i="13"/>
  <c r="J123" i="13"/>
  <c r="J122" i="13"/>
  <c r="J121" i="13"/>
  <c r="J120" i="13"/>
  <c r="J119" i="13"/>
  <c r="J118" i="13"/>
  <c r="J117" i="13"/>
  <c r="J115" i="13"/>
  <c r="J114" i="13"/>
  <c r="J113" i="13"/>
  <c r="J112" i="13"/>
  <c r="J111" i="13"/>
  <c r="J110" i="13"/>
  <c r="J109" i="13"/>
  <c r="J108" i="13"/>
  <c r="J107" i="13"/>
  <c r="J106" i="13"/>
  <c r="D197" i="13"/>
  <c r="D196" i="13"/>
  <c r="D195" i="13"/>
  <c r="D194" i="13"/>
  <c r="D193" i="13"/>
  <c r="D192" i="13"/>
  <c r="D191" i="13"/>
  <c r="D190" i="13"/>
  <c r="D189" i="13"/>
  <c r="D188" i="13"/>
  <c r="D186" i="13"/>
  <c r="D185" i="13"/>
  <c r="D184" i="13"/>
  <c r="D183" i="13"/>
  <c r="D182" i="13"/>
  <c r="D181" i="13"/>
  <c r="D180" i="13"/>
  <c r="D179" i="13"/>
  <c r="D178" i="13"/>
  <c r="D177" i="13"/>
  <c r="D174" i="13"/>
  <c r="D173" i="13"/>
  <c r="D172" i="13"/>
  <c r="D171" i="13"/>
  <c r="D170" i="13"/>
  <c r="D169" i="13"/>
  <c r="D168" i="13"/>
  <c r="D167" i="13"/>
  <c r="D166" i="13"/>
  <c r="D165" i="13"/>
  <c r="D163" i="13"/>
  <c r="D162" i="13"/>
  <c r="D161" i="13"/>
  <c r="D160" i="13"/>
  <c r="D159" i="13"/>
  <c r="D158" i="13"/>
  <c r="D157" i="13"/>
  <c r="D156" i="13"/>
  <c r="D155" i="13"/>
  <c r="D154" i="13"/>
  <c r="D149" i="13"/>
  <c r="D148" i="13"/>
  <c r="D147" i="13"/>
  <c r="D146" i="13"/>
  <c r="D145" i="13"/>
  <c r="D144" i="13"/>
  <c r="D143" i="13"/>
  <c r="D142" i="13"/>
  <c r="D141" i="13"/>
  <c r="D140" i="13"/>
  <c r="D138" i="13"/>
  <c r="D137" i="13"/>
  <c r="D136" i="13"/>
  <c r="D135" i="13"/>
  <c r="D134" i="13"/>
  <c r="D133" i="13"/>
  <c r="D132" i="13"/>
  <c r="D131" i="13"/>
  <c r="D130" i="13"/>
  <c r="D129" i="13"/>
  <c r="D126" i="13"/>
  <c r="D125" i="13"/>
  <c r="D124" i="13"/>
  <c r="D123" i="13"/>
  <c r="D122" i="13"/>
  <c r="D121" i="13"/>
  <c r="D120" i="13"/>
  <c r="D119" i="13"/>
  <c r="D118" i="13"/>
  <c r="D117" i="13"/>
  <c r="D115" i="13"/>
  <c r="D114" i="13"/>
  <c r="D113" i="13"/>
  <c r="D112" i="13"/>
  <c r="D111" i="13"/>
  <c r="D110" i="13"/>
  <c r="D109" i="13"/>
  <c r="D108" i="13"/>
  <c r="D107" i="13"/>
  <c r="D106" i="13"/>
  <c r="D99" i="13"/>
  <c r="D98" i="13"/>
  <c r="D97" i="13"/>
  <c r="D96" i="13"/>
  <c r="D95" i="13"/>
  <c r="D94" i="13"/>
  <c r="D93" i="13"/>
  <c r="D92" i="13"/>
  <c r="D91" i="13"/>
  <c r="D90" i="13"/>
  <c r="D88" i="13"/>
  <c r="D87" i="13"/>
  <c r="D86" i="13"/>
  <c r="D85" i="13"/>
  <c r="D84" i="13"/>
  <c r="D83" i="13"/>
  <c r="D82" i="13"/>
  <c r="D81" i="13"/>
  <c r="D80" i="13"/>
  <c r="D79" i="13"/>
  <c r="D76" i="13"/>
  <c r="D75" i="13"/>
  <c r="D74" i="13"/>
  <c r="D73" i="13"/>
  <c r="D72" i="13"/>
  <c r="D71" i="13"/>
  <c r="D70" i="13"/>
  <c r="D69" i="13"/>
  <c r="D68" i="13"/>
  <c r="D67" i="13"/>
  <c r="D65" i="13"/>
  <c r="D64" i="13"/>
  <c r="D63" i="13"/>
  <c r="D62" i="13"/>
  <c r="D61" i="13"/>
  <c r="D60" i="13"/>
  <c r="D59" i="13"/>
  <c r="D58" i="13"/>
  <c r="D57" i="13"/>
  <c r="D56" i="13"/>
  <c r="D51" i="13"/>
  <c r="D50" i="13"/>
  <c r="D49" i="13"/>
  <c r="D48" i="13"/>
  <c r="D47" i="13"/>
  <c r="D46" i="13"/>
  <c r="D45" i="13"/>
  <c r="D44" i="13"/>
  <c r="D43" i="13"/>
  <c r="D42" i="13"/>
  <c r="D40" i="13"/>
  <c r="D39" i="13"/>
  <c r="D38" i="13"/>
  <c r="D37" i="13"/>
  <c r="D36" i="13"/>
  <c r="D35" i="13"/>
  <c r="D34" i="13"/>
  <c r="D33" i="13"/>
  <c r="D32" i="13"/>
  <c r="D31" i="13"/>
  <c r="D28" i="13"/>
  <c r="D27" i="13"/>
  <c r="D26" i="13"/>
  <c r="D25" i="13"/>
  <c r="D24" i="13"/>
  <c r="D23" i="13"/>
  <c r="D22" i="13"/>
  <c r="D21" i="13"/>
  <c r="D20" i="13"/>
  <c r="D19" i="13"/>
  <c r="D17" i="13"/>
  <c r="D16" i="13"/>
  <c r="D15" i="13"/>
  <c r="D14" i="13"/>
  <c r="D13" i="13"/>
  <c r="D12" i="13"/>
  <c r="D11" i="13"/>
  <c r="D10" i="13"/>
  <c r="D9" i="13"/>
  <c r="D8" i="13"/>
  <c r="G586" i="13" l="1"/>
  <c r="K504" i="13"/>
  <c r="K506" i="13"/>
  <c r="K613" i="13"/>
  <c r="K523" i="13"/>
  <c r="K627" i="13"/>
  <c r="L506" i="13"/>
  <c r="E540" i="13"/>
  <c r="F529" i="13"/>
  <c r="E546" i="13"/>
  <c r="L619" i="13"/>
  <c r="L627" i="13"/>
  <c r="L532" i="13"/>
  <c r="L534" i="13"/>
  <c r="L536" i="13"/>
  <c r="L538" i="13"/>
  <c r="L540" i="13"/>
  <c r="K546" i="13"/>
  <c r="K548" i="13"/>
  <c r="K554" i="13"/>
  <c r="O511" i="13"/>
  <c r="O611" i="13"/>
  <c r="O525" i="13"/>
  <c r="O534" i="13"/>
  <c r="O538" i="13"/>
  <c r="N548" i="13"/>
  <c r="M575" i="13"/>
  <c r="G549" i="13"/>
  <c r="J507" i="13"/>
  <c r="J612" i="13"/>
  <c r="J526" i="13"/>
  <c r="J528" i="13"/>
  <c r="J631" i="13"/>
  <c r="J535" i="13"/>
  <c r="N575" i="13"/>
  <c r="N577" i="13"/>
  <c r="M682" i="13"/>
  <c r="K673" i="13"/>
  <c r="N502" i="13"/>
  <c r="L571" i="13"/>
  <c r="K586" i="13"/>
  <c r="D559" i="13"/>
  <c r="D615" i="13"/>
  <c r="D588" i="13"/>
  <c r="F578" i="13"/>
  <c r="F565" i="13"/>
  <c r="H581" i="13"/>
  <c r="K597" i="13"/>
  <c r="K501" i="13"/>
  <c r="K507" i="13"/>
  <c r="K526" i="13"/>
  <c r="K528" i="13"/>
  <c r="K530" i="13"/>
  <c r="K535" i="13"/>
  <c r="K541" i="13"/>
  <c r="J549" i="13"/>
  <c r="J553" i="13"/>
  <c r="O573" i="13"/>
  <c r="O575" i="13"/>
  <c r="O577" i="13"/>
  <c r="K559" i="13"/>
  <c r="E522" i="13"/>
  <c r="N498" i="13"/>
  <c r="L575" i="13"/>
  <c r="K584" i="13"/>
  <c r="H518" i="13"/>
  <c r="D575" i="13"/>
  <c r="D603" i="13"/>
  <c r="D518" i="13"/>
  <c r="D533" i="13"/>
  <c r="D549" i="13"/>
  <c r="D562" i="13"/>
  <c r="D589" i="13"/>
  <c r="I510" i="13"/>
  <c r="F513" i="13"/>
  <c r="H515" i="13"/>
  <c r="G578" i="13"/>
  <c r="G500" i="13"/>
  <c r="G582" i="13"/>
  <c r="L514" i="13"/>
  <c r="K549" i="13"/>
  <c r="K551" i="13"/>
  <c r="K553" i="13"/>
  <c r="K555" i="13"/>
  <c r="J558" i="13"/>
  <c r="J564" i="13"/>
  <c r="L539" i="13"/>
  <c r="K561" i="13"/>
  <c r="K577" i="13"/>
  <c r="N534" i="13"/>
  <c r="L573" i="13"/>
  <c r="L577" i="13"/>
  <c r="K588" i="13"/>
  <c r="D515" i="13"/>
  <c r="D516" i="13"/>
  <c r="D532" i="13"/>
  <c r="D550" i="13"/>
  <c r="D577" i="13"/>
  <c r="F505" i="13"/>
  <c r="H578" i="13"/>
  <c r="H500" i="13"/>
  <c r="I635" i="13"/>
  <c r="E571" i="13"/>
  <c r="G512" i="13"/>
  <c r="M597" i="13"/>
  <c r="M512" i="13"/>
  <c r="M518" i="13"/>
  <c r="M530" i="13"/>
  <c r="M539" i="13"/>
  <c r="J581" i="13"/>
  <c r="J583" i="13"/>
  <c r="J585" i="13"/>
  <c r="J589" i="13"/>
  <c r="D605" i="13"/>
  <c r="D620" i="13"/>
  <c r="D633" i="13"/>
  <c r="D564" i="13"/>
  <c r="D676" i="13"/>
  <c r="F511" i="13"/>
  <c r="H513" i="13"/>
  <c r="G533" i="13"/>
  <c r="E645" i="13"/>
  <c r="F501" i="13"/>
  <c r="E515" i="13"/>
  <c r="E525" i="13"/>
  <c r="F552" i="13"/>
  <c r="F571" i="13"/>
  <c r="F585" i="13"/>
  <c r="N501" i="13"/>
  <c r="N503" i="13"/>
  <c r="N505" i="13"/>
  <c r="N605" i="13"/>
  <c r="N510" i="13"/>
  <c r="N512" i="13"/>
  <c r="N514" i="13"/>
  <c r="N635" i="13"/>
  <c r="K587" i="13"/>
  <c r="D663" i="13"/>
  <c r="H505" i="13"/>
  <c r="F540" i="13"/>
  <c r="E572" i="13"/>
  <c r="O501" i="13"/>
  <c r="O505" i="13"/>
  <c r="O507" i="13"/>
  <c r="O612" i="13"/>
  <c r="O522" i="13"/>
  <c r="O530" i="13"/>
  <c r="O533" i="13"/>
  <c r="M558" i="13"/>
  <c r="L581" i="13"/>
  <c r="L585" i="13"/>
  <c r="L589" i="13"/>
  <c r="J572" i="13"/>
  <c r="D551" i="13"/>
  <c r="D649" i="13"/>
  <c r="D506" i="13"/>
  <c r="D604" i="13"/>
  <c r="D521" i="13"/>
  <c r="D619" i="13"/>
  <c r="D632" i="13"/>
  <c r="D534" i="13"/>
  <c r="D563" i="13"/>
  <c r="D661" i="13"/>
  <c r="D522" i="13"/>
  <c r="E639" i="13"/>
  <c r="F681" i="13"/>
  <c r="J587" i="13"/>
  <c r="J685" i="13"/>
  <c r="J638" i="13"/>
  <c r="N603" i="13"/>
  <c r="N564" i="13"/>
  <c r="N662" i="13"/>
  <c r="K603" i="13"/>
  <c r="N686" i="13"/>
  <c r="O564" i="13"/>
  <c r="O662" i="13"/>
  <c r="K616" i="13"/>
  <c r="F638" i="13"/>
  <c r="I681" i="13"/>
  <c r="L383" i="13"/>
  <c r="L187" i="13" s="1"/>
  <c r="D662" i="13"/>
  <c r="N499" i="13"/>
  <c r="N301" i="13"/>
  <c r="N105" i="13" s="1"/>
  <c r="L324" i="13"/>
  <c r="L128" i="13" s="1"/>
  <c r="L521" i="13"/>
  <c r="D507" i="13"/>
  <c r="D535" i="13"/>
  <c r="D578" i="13"/>
  <c r="D504" i="13"/>
  <c r="D602" i="13"/>
  <c r="D548" i="13"/>
  <c r="D646" i="13"/>
  <c r="D561" i="13"/>
  <c r="D659" i="13"/>
  <c r="D517" i="13"/>
  <c r="D631" i="13"/>
  <c r="O513" i="13"/>
  <c r="G614" i="13"/>
  <c r="H623" i="13"/>
  <c r="G608" i="13"/>
  <c r="M609" i="13"/>
  <c r="M615" i="13"/>
  <c r="M621" i="13"/>
  <c r="M623" i="13"/>
  <c r="M657" i="13"/>
  <c r="M659" i="13"/>
  <c r="M661" i="13"/>
  <c r="M663" i="13"/>
  <c r="J514" i="13"/>
  <c r="M616" i="13"/>
  <c r="L529" i="13"/>
  <c r="K636" i="13"/>
  <c r="K680" i="13"/>
  <c r="O615" i="13"/>
  <c r="O623" i="13"/>
  <c r="O669" i="13"/>
  <c r="O682" i="13"/>
  <c r="O686" i="13"/>
  <c r="K301" i="13"/>
  <c r="K300" i="13" s="1"/>
  <c r="K600" i="13"/>
  <c r="O651" i="13"/>
  <c r="N658" i="13"/>
  <c r="N607" i="13"/>
  <c r="N609" i="13"/>
  <c r="N613" i="13"/>
  <c r="N615" i="13"/>
  <c r="N621" i="13"/>
  <c r="N623" i="13"/>
  <c r="N632" i="13"/>
  <c r="N638" i="13"/>
  <c r="N682" i="13"/>
  <c r="N684" i="13"/>
  <c r="L372" i="13"/>
  <c r="M510" i="13"/>
  <c r="M612" i="13"/>
  <c r="J633" i="13"/>
  <c r="O645" i="13"/>
  <c r="N651" i="13"/>
  <c r="M658" i="13"/>
  <c r="D301" i="13"/>
  <c r="D105" i="13" s="1"/>
  <c r="H660" i="13"/>
  <c r="G599" i="13"/>
  <c r="F604" i="13"/>
  <c r="H631" i="13"/>
  <c r="H671" i="13"/>
  <c r="D614" i="13"/>
  <c r="D547" i="13"/>
  <c r="D658" i="13"/>
  <c r="D672" i="13"/>
  <c r="D685" i="13"/>
  <c r="E602" i="13"/>
  <c r="E615" i="13"/>
  <c r="F637" i="13"/>
  <c r="K105" i="13"/>
  <c r="J616" i="13"/>
  <c r="J637" i="13"/>
  <c r="J656" i="13"/>
  <c r="J658" i="13"/>
  <c r="J660" i="13"/>
  <c r="J662" i="13"/>
  <c r="J664" i="13"/>
  <c r="J681" i="13"/>
  <c r="L301" i="13"/>
  <c r="L300" i="13" s="1"/>
  <c r="M324" i="13"/>
  <c r="M128" i="13" s="1"/>
  <c r="N600" i="13"/>
  <c r="J605" i="13"/>
  <c r="J623" i="13"/>
  <c r="O627" i="13"/>
  <c r="L633" i="13"/>
  <c r="K637" i="13"/>
  <c r="K652" i="13"/>
  <c r="O658" i="13"/>
  <c r="N667" i="13"/>
  <c r="N680" i="13"/>
  <c r="L612" i="13"/>
  <c r="K682" i="13"/>
  <c r="G681" i="13"/>
  <c r="F651" i="13"/>
  <c r="H686" i="13"/>
  <c r="K610" i="13"/>
  <c r="K612" i="13"/>
  <c r="K614" i="13"/>
  <c r="K685" i="13"/>
  <c r="J360" i="13"/>
  <c r="J164" i="13" s="1"/>
  <c r="J597" i="13"/>
  <c r="K623" i="13"/>
  <c r="M633" i="13"/>
  <c r="M646" i="13"/>
  <c r="M652" i="13"/>
  <c r="J659" i="13"/>
  <c r="O668" i="13"/>
  <c r="D505" i="13"/>
  <c r="D616" i="13"/>
  <c r="D647" i="13"/>
  <c r="D660" i="13"/>
  <c r="D674" i="13"/>
  <c r="D687" i="13"/>
  <c r="D555" i="13"/>
  <c r="I674" i="13"/>
  <c r="L599" i="13"/>
  <c r="L610" i="13"/>
  <c r="L616" i="13"/>
  <c r="L524" i="13"/>
  <c r="L626" i="13"/>
  <c r="L628" i="13"/>
  <c r="L656" i="13"/>
  <c r="L658" i="13"/>
  <c r="L660" i="13"/>
  <c r="L662" i="13"/>
  <c r="K601" i="13"/>
  <c r="J610" i="13"/>
  <c r="L623" i="13"/>
  <c r="N660" i="13"/>
  <c r="K669" i="13"/>
  <c r="N674" i="13"/>
  <c r="D383" i="13"/>
  <c r="D187" i="13" s="1"/>
  <c r="G611" i="13"/>
  <c r="D553" i="13"/>
  <c r="F639" i="13"/>
  <c r="F674" i="13"/>
  <c r="D664" i="13"/>
  <c r="E646" i="13"/>
  <c r="H615" i="13"/>
  <c r="G679" i="13"/>
  <c r="M601" i="13"/>
  <c r="M603" i="13"/>
  <c r="M605" i="13"/>
  <c r="M610" i="13"/>
  <c r="M656" i="13"/>
  <c r="M660" i="13"/>
  <c r="M664" i="13"/>
  <c r="M668" i="13"/>
  <c r="M670" i="13"/>
  <c r="M672" i="13"/>
  <c r="M676" i="13"/>
  <c r="M679" i="13"/>
  <c r="M681" i="13"/>
  <c r="M683" i="13"/>
  <c r="M685" i="13"/>
  <c r="M687" i="13"/>
  <c r="J625" i="13"/>
  <c r="J634" i="13"/>
  <c r="K638" i="13"/>
  <c r="K648" i="13"/>
  <c r="O652" i="13"/>
  <c r="O660" i="13"/>
  <c r="O576" i="13"/>
  <c r="O683" i="13"/>
  <c r="N630" i="13"/>
  <c r="N433" i="13"/>
  <c r="N532" i="13"/>
  <c r="O684" i="13"/>
  <c r="O586" i="13"/>
  <c r="L670" i="13"/>
  <c r="L572" i="13"/>
  <c r="N634" i="13"/>
  <c r="N536" i="13"/>
  <c r="N636" i="13"/>
  <c r="N538" i="13"/>
  <c r="J552" i="13"/>
  <c r="J650" i="13"/>
  <c r="L668" i="13"/>
  <c r="L570" i="13"/>
  <c r="L676" i="13"/>
  <c r="L578" i="13"/>
  <c r="J530" i="13"/>
  <c r="J628" i="13"/>
  <c r="O335" i="13"/>
  <c r="O139" i="13" s="1"/>
  <c r="O532" i="13"/>
  <c r="O634" i="13"/>
  <c r="O536" i="13"/>
  <c r="K655" i="13"/>
  <c r="K458" i="13"/>
  <c r="L586" i="13"/>
  <c r="L684" i="13"/>
  <c r="J312" i="13"/>
  <c r="J116" i="13" s="1"/>
  <c r="J509" i="13"/>
  <c r="J517" i="13"/>
  <c r="K324" i="13"/>
  <c r="K128" i="13" s="1"/>
  <c r="K522" i="13"/>
  <c r="K524" i="13"/>
  <c r="K578" i="13"/>
  <c r="K619" i="13"/>
  <c r="K422" i="13"/>
  <c r="J447" i="13"/>
  <c r="N655" i="13"/>
  <c r="N458" i="13"/>
  <c r="L555" i="13"/>
  <c r="M578" i="13"/>
  <c r="L649" i="13"/>
  <c r="L551" i="13"/>
  <c r="M645" i="13"/>
  <c r="M447" i="13"/>
  <c r="O680" i="13"/>
  <c r="O582" i="13"/>
  <c r="N645" i="13"/>
  <c r="N547" i="13"/>
  <c r="N447" i="13"/>
  <c r="J674" i="13"/>
  <c r="J576" i="13"/>
  <c r="M532" i="13"/>
  <c r="M335" i="13"/>
  <c r="M632" i="13"/>
  <c r="M599" i="13"/>
  <c r="M501" i="13"/>
  <c r="K620" i="13"/>
  <c r="K626" i="13"/>
  <c r="O504" i="13"/>
  <c r="J604" i="13"/>
  <c r="J506" i="13"/>
  <c r="L360" i="13"/>
  <c r="L164" i="13" s="1"/>
  <c r="L557" i="13"/>
  <c r="L559" i="13"/>
  <c r="L561" i="13"/>
  <c r="L563" i="13"/>
  <c r="L565" i="13"/>
  <c r="L507" i="13"/>
  <c r="L605" i="13"/>
  <c r="O422" i="13"/>
  <c r="O520" i="13" s="1"/>
  <c r="O619" i="13"/>
  <c r="O470" i="13"/>
  <c r="O679" i="13"/>
  <c r="O581" i="13"/>
  <c r="L664" i="13"/>
  <c r="L566" i="13"/>
  <c r="K547" i="13"/>
  <c r="K349" i="13"/>
  <c r="K153" i="13" s="1"/>
  <c r="L513" i="13"/>
  <c r="L611" i="13"/>
  <c r="O596" i="13"/>
  <c r="O399" i="13"/>
  <c r="K625" i="13"/>
  <c r="K527" i="13"/>
  <c r="M662" i="13"/>
  <c r="M564" i="13"/>
  <c r="L335" i="13"/>
  <c r="L139" i="13" s="1"/>
  <c r="O607" i="13"/>
  <c r="O410" i="13"/>
  <c r="L615" i="13"/>
  <c r="L517" i="13"/>
  <c r="M500" i="13"/>
  <c r="M630" i="13"/>
  <c r="K681" i="13"/>
  <c r="K583" i="13"/>
  <c r="K585" i="13"/>
  <c r="K683" i="13"/>
  <c r="K687" i="13"/>
  <c r="K589" i="13"/>
  <c r="O571" i="13"/>
  <c r="K608" i="13"/>
  <c r="K410" i="13"/>
  <c r="J655" i="13"/>
  <c r="J557" i="13"/>
  <c r="J458" i="13"/>
  <c r="J556" i="13" s="1"/>
  <c r="L672" i="13"/>
  <c r="L574" i="13"/>
  <c r="M674" i="13"/>
  <c r="M576" i="13"/>
  <c r="L458" i="13"/>
  <c r="L655" i="13"/>
  <c r="M602" i="13"/>
  <c r="K628" i="13"/>
  <c r="O502" i="13"/>
  <c r="J324" i="13"/>
  <c r="J128" i="13" s="1"/>
  <c r="K557" i="13"/>
  <c r="K360" i="13"/>
  <c r="K565" i="13"/>
  <c r="K663" i="13"/>
  <c r="O584" i="13"/>
  <c r="M624" i="13"/>
  <c r="M526" i="13"/>
  <c r="O546" i="13"/>
  <c r="O644" i="13"/>
  <c r="O447" i="13"/>
  <c r="O655" i="13"/>
  <c r="O458" i="13"/>
  <c r="O556" i="13" s="1"/>
  <c r="N546" i="13"/>
  <c r="N349" i="13"/>
  <c r="N153" i="13" s="1"/>
  <c r="N644" i="13"/>
  <c r="N550" i="13"/>
  <c r="N648" i="13"/>
  <c r="M360" i="13"/>
  <c r="M164" i="13" s="1"/>
  <c r="M557" i="13"/>
  <c r="M561" i="13"/>
  <c r="M565" i="13"/>
  <c r="L597" i="13"/>
  <c r="L399" i="13"/>
  <c r="J630" i="13"/>
  <c r="J433" i="13"/>
  <c r="J531" i="13" s="1"/>
  <c r="J646" i="13"/>
  <c r="J548" i="13"/>
  <c r="L410" i="13"/>
  <c r="L508" i="13" s="1"/>
  <c r="L607" i="13"/>
  <c r="L509" i="13"/>
  <c r="L511" i="13"/>
  <c r="L609" i="13"/>
  <c r="L613" i="13"/>
  <c r="L515" i="13"/>
  <c r="N620" i="13"/>
  <c r="N522" i="13"/>
  <c r="N557" i="13"/>
  <c r="N360" i="13"/>
  <c r="N559" i="13"/>
  <c r="N561" i="13"/>
  <c r="N563" i="13"/>
  <c r="N565" i="13"/>
  <c r="K630" i="13"/>
  <c r="K433" i="13"/>
  <c r="L646" i="13"/>
  <c r="L548" i="13"/>
  <c r="K470" i="13"/>
  <c r="K667" i="13"/>
  <c r="J647" i="13"/>
  <c r="O433" i="13"/>
  <c r="O630" i="13"/>
  <c r="O678" i="13"/>
  <c r="O481" i="13"/>
  <c r="O625" i="13"/>
  <c r="O527" i="13"/>
  <c r="L674" i="13"/>
  <c r="L576" i="13"/>
  <c r="M513" i="13"/>
  <c r="L549" i="13"/>
  <c r="J608" i="13"/>
  <c r="J510" i="13"/>
  <c r="J410" i="13"/>
  <c r="M634" i="13"/>
  <c r="K674" i="13"/>
  <c r="K576" i="13"/>
  <c r="K679" i="13"/>
  <c r="K481" i="13"/>
  <c r="O500" i="13"/>
  <c r="M498" i="13"/>
  <c r="M301" i="13"/>
  <c r="M105" i="13" s="1"/>
  <c r="J624" i="13"/>
  <c r="J635" i="13"/>
  <c r="J537" i="13"/>
  <c r="J671" i="13"/>
  <c r="J573" i="13"/>
  <c r="K581" i="13"/>
  <c r="K624" i="13"/>
  <c r="M655" i="13"/>
  <c r="M458" i="13"/>
  <c r="O687" i="13"/>
  <c r="O589" i="13"/>
  <c r="O498" i="13"/>
  <c r="O301" i="13"/>
  <c r="O105" i="13" s="1"/>
  <c r="O506" i="13"/>
  <c r="J601" i="13"/>
  <c r="J503" i="13"/>
  <c r="J399" i="13"/>
  <c r="N619" i="13"/>
  <c r="N422" i="13"/>
  <c r="K615" i="13"/>
  <c r="K517" i="13"/>
  <c r="O552" i="13"/>
  <c r="O650" i="13"/>
  <c r="M559" i="13"/>
  <c r="M563" i="13"/>
  <c r="L601" i="13"/>
  <c r="L503" i="13"/>
  <c r="O633" i="13"/>
  <c r="O535" i="13"/>
  <c r="J470" i="13"/>
  <c r="J569" i="13"/>
  <c r="J667" i="13"/>
  <c r="M540" i="13"/>
  <c r="O624" i="13"/>
  <c r="O526" i="13"/>
  <c r="K645" i="13"/>
  <c r="K447" i="13"/>
  <c r="K649" i="13"/>
  <c r="K651" i="13"/>
  <c r="K653" i="13"/>
  <c r="J547" i="13"/>
  <c r="J349" i="13"/>
  <c r="J153" i="13" s="1"/>
  <c r="M585" i="13"/>
  <c r="K564" i="13"/>
  <c r="N517" i="13"/>
  <c r="M524" i="13"/>
  <c r="K539" i="13"/>
  <c r="M547" i="13"/>
  <c r="J566" i="13"/>
  <c r="M579" i="13"/>
  <c r="M583" i="13"/>
  <c r="M587" i="13"/>
  <c r="M589" i="13"/>
  <c r="M627" i="13"/>
  <c r="M529" i="13"/>
  <c r="L635" i="13"/>
  <c r="L537" i="13"/>
  <c r="O638" i="13"/>
  <c r="M582" i="13"/>
  <c r="K573" i="13"/>
  <c r="O561" i="13"/>
  <c r="L681" i="13"/>
  <c r="L583" i="13"/>
  <c r="L587" i="13"/>
  <c r="L685" i="13"/>
  <c r="N653" i="13"/>
  <c r="N555" i="13"/>
  <c r="K664" i="13"/>
  <c r="K566" i="13"/>
  <c r="N509" i="13"/>
  <c r="K533" i="13"/>
  <c r="M503" i="13"/>
  <c r="O517" i="13"/>
  <c r="J609" i="13"/>
  <c r="M620" i="13"/>
  <c r="L588" i="13"/>
  <c r="L686" i="13"/>
  <c r="M522" i="13"/>
  <c r="K536" i="13"/>
  <c r="J600" i="13"/>
  <c r="J502" i="13"/>
  <c r="L470" i="13"/>
  <c r="L667" i="13"/>
  <c r="L671" i="13"/>
  <c r="L675" i="13"/>
  <c r="N300" i="13"/>
  <c r="N507" i="13"/>
  <c r="O524" i="13"/>
  <c r="O528" i="13"/>
  <c r="M533" i="13"/>
  <c r="M535" i="13"/>
  <c r="M537" i="13"/>
  <c r="M372" i="13"/>
  <c r="M176" i="13" s="1"/>
  <c r="M569" i="13"/>
  <c r="M573" i="13"/>
  <c r="O583" i="13"/>
  <c r="O587" i="13"/>
  <c r="L505" i="13"/>
  <c r="L603" i="13"/>
  <c r="L639" i="13"/>
  <c r="L541" i="13"/>
  <c r="N652" i="13"/>
  <c r="K661" i="13"/>
  <c r="M509" i="13"/>
  <c r="J554" i="13"/>
  <c r="O649" i="13"/>
  <c r="K596" i="13"/>
  <c r="K399" i="13"/>
  <c r="L614" i="13"/>
  <c r="L516" i="13"/>
  <c r="K644" i="13"/>
  <c r="K646" i="13"/>
  <c r="K686" i="13"/>
  <c r="O499" i="13"/>
  <c r="O503" i="13"/>
  <c r="K510" i="13"/>
  <c r="K512" i="13"/>
  <c r="K514" i="13"/>
  <c r="K516" i="13"/>
  <c r="K518" i="13"/>
  <c r="J521" i="13"/>
  <c r="J525" i="13"/>
  <c r="J527" i="13"/>
  <c r="J550" i="13"/>
  <c r="M560" i="13"/>
  <c r="M566" i="13"/>
  <c r="N372" i="13"/>
  <c r="N176" i="13" s="1"/>
  <c r="N569" i="13"/>
  <c r="N573" i="13"/>
  <c r="J580" i="13"/>
  <c r="J383" i="13"/>
  <c r="J187" i="13" s="1"/>
  <c r="N599" i="13"/>
  <c r="M613" i="13"/>
  <c r="O632" i="13"/>
  <c r="M639" i="13"/>
  <c r="J649" i="13"/>
  <c r="N664" i="13"/>
  <c r="N673" i="13"/>
  <c r="M481" i="13"/>
  <c r="J682" i="13"/>
  <c r="L504" i="13"/>
  <c r="J561" i="13"/>
  <c r="M608" i="13"/>
  <c r="J684" i="13"/>
  <c r="O676" i="13"/>
  <c r="O578" i="13"/>
  <c r="M517" i="13"/>
  <c r="J620" i="13"/>
  <c r="N511" i="13"/>
  <c r="N513" i="13"/>
  <c r="M507" i="13"/>
  <c r="M422" i="13"/>
  <c r="M619" i="13"/>
  <c r="L650" i="13"/>
  <c r="L552" i="13"/>
  <c r="K525" i="13"/>
  <c r="K529" i="13"/>
  <c r="N560" i="13"/>
  <c r="O569" i="13"/>
  <c r="O372" i="13"/>
  <c r="O176" i="13" s="1"/>
  <c r="K582" i="13"/>
  <c r="N410" i="13"/>
  <c r="M636" i="13"/>
  <c r="M554" i="13"/>
  <c r="K562" i="13"/>
  <c r="J669" i="13"/>
  <c r="M399" i="13"/>
  <c r="M596" i="13"/>
  <c r="M600" i="13"/>
  <c r="M604" i="13"/>
  <c r="O667" i="13"/>
  <c r="O671" i="13"/>
  <c r="O675" i="13"/>
  <c r="K502" i="13"/>
  <c r="M514" i="13"/>
  <c r="M516" i="13"/>
  <c r="J534" i="13"/>
  <c r="O560" i="13"/>
  <c r="O562" i="13"/>
  <c r="O566" i="13"/>
  <c r="J570" i="13"/>
  <c r="J372" i="13"/>
  <c r="J176" i="13" s="1"/>
  <c r="J574" i="13"/>
  <c r="O603" i="13"/>
  <c r="N610" i="13"/>
  <c r="O613" i="13"/>
  <c r="K633" i="13"/>
  <c r="N669" i="13"/>
  <c r="J481" i="13"/>
  <c r="J678" i="13"/>
  <c r="J500" i="13"/>
  <c r="M546" i="13"/>
  <c r="O554" i="13"/>
  <c r="L562" i="13"/>
  <c r="L569" i="13"/>
  <c r="L680" i="13"/>
  <c r="L582" i="13"/>
  <c r="N515" i="13"/>
  <c r="M528" i="13"/>
  <c r="M499" i="13"/>
  <c r="M505" i="13"/>
  <c r="O509" i="13"/>
  <c r="O312" i="13"/>
  <c r="O116" i="13" s="1"/>
  <c r="N524" i="13"/>
  <c r="M631" i="13"/>
  <c r="M433" i="13"/>
  <c r="L596" i="13"/>
  <c r="L498" i="13"/>
  <c r="L447" i="13"/>
  <c r="L481" i="13"/>
  <c r="L580" i="13"/>
  <c r="K521" i="13"/>
  <c r="K335" i="13"/>
  <c r="K139" i="13" s="1"/>
  <c r="O537" i="13"/>
  <c r="K552" i="13"/>
  <c r="N562" i="13"/>
  <c r="K580" i="13"/>
  <c r="K383" i="13"/>
  <c r="K187" i="13" s="1"/>
  <c r="M628" i="13"/>
  <c r="J653" i="13"/>
  <c r="O673" i="13"/>
  <c r="O621" i="13"/>
  <c r="O523" i="13"/>
  <c r="L630" i="13"/>
  <c r="L433" i="13"/>
  <c r="L632" i="13"/>
  <c r="L634" i="13"/>
  <c r="L636" i="13"/>
  <c r="L638" i="13"/>
  <c r="N678" i="13"/>
  <c r="N481" i="13"/>
  <c r="N579" i="13" s="1"/>
  <c r="K534" i="13"/>
  <c r="M548" i="13"/>
  <c r="M550" i="13"/>
  <c r="M552" i="13"/>
  <c r="J563" i="13"/>
  <c r="J565" i="13"/>
  <c r="K570" i="13"/>
  <c r="K372" i="13"/>
  <c r="K176" i="13" s="1"/>
  <c r="K572" i="13"/>
  <c r="K574" i="13"/>
  <c r="M580" i="13"/>
  <c r="M584" i="13"/>
  <c r="M586" i="13"/>
  <c r="M588" i="13"/>
  <c r="J611" i="13"/>
  <c r="J614" i="13"/>
  <c r="J516" i="13"/>
  <c r="J422" i="13"/>
  <c r="J622" i="13"/>
  <c r="O636" i="13"/>
  <c r="N470" i="13"/>
  <c r="N683" i="13"/>
  <c r="J627" i="13"/>
  <c r="M669" i="13"/>
  <c r="M607" i="13"/>
  <c r="M410" i="13"/>
  <c r="M508" i="13" s="1"/>
  <c r="J626" i="13"/>
  <c r="L554" i="13"/>
  <c r="L652" i="13"/>
  <c r="N681" i="13"/>
  <c r="N687" i="13"/>
  <c r="N504" i="13"/>
  <c r="O510" i="13"/>
  <c r="O512" i="13"/>
  <c r="O514" i="13"/>
  <c r="O516" i="13"/>
  <c r="O518" i="13"/>
  <c r="L547" i="13"/>
  <c r="L553" i="13"/>
  <c r="O557" i="13"/>
  <c r="O559" i="13"/>
  <c r="O563" i="13"/>
  <c r="O565" i="13"/>
  <c r="M570" i="13"/>
  <c r="J607" i="13"/>
  <c r="N612" i="13"/>
  <c r="N685" i="13"/>
  <c r="O539" i="13"/>
  <c r="M549" i="13"/>
  <c r="M553" i="13"/>
  <c r="M555" i="13"/>
  <c r="J560" i="13"/>
  <c r="N572" i="13"/>
  <c r="N574" i="13"/>
  <c r="N576" i="13"/>
  <c r="N578" i="13"/>
  <c r="O588" i="13"/>
  <c r="N601" i="13"/>
  <c r="J621" i="13"/>
  <c r="N650" i="13"/>
  <c r="M675" i="13"/>
  <c r="O609" i="13"/>
  <c r="M667" i="13"/>
  <c r="J499" i="13"/>
  <c r="J501" i="13"/>
  <c r="J505" i="13"/>
  <c r="K511" i="13"/>
  <c r="N521" i="13"/>
  <c r="N324" i="13"/>
  <c r="N128" i="13" s="1"/>
  <c r="N523" i="13"/>
  <c r="N525" i="13"/>
  <c r="N527" i="13"/>
  <c r="N529" i="13"/>
  <c r="J532" i="13"/>
  <c r="J536" i="13"/>
  <c r="J538" i="13"/>
  <c r="N549" i="13"/>
  <c r="N551" i="13"/>
  <c r="N553" i="13"/>
  <c r="K599" i="13"/>
  <c r="N656" i="13"/>
  <c r="K571" i="13"/>
  <c r="M527" i="13"/>
  <c r="O541" i="13"/>
  <c r="M551" i="13"/>
  <c r="J562" i="13"/>
  <c r="N570" i="13"/>
  <c r="O580" i="13"/>
  <c r="O599" i="13"/>
  <c r="N675" i="13"/>
  <c r="K684" i="13"/>
  <c r="K499" i="13"/>
  <c r="K503" i="13"/>
  <c r="K505" i="13"/>
  <c r="O521" i="13"/>
  <c r="O529" i="13"/>
  <c r="K538" i="13"/>
  <c r="O348" i="13"/>
  <c r="O152" i="13" s="1"/>
  <c r="O547" i="13"/>
  <c r="O549" i="13"/>
  <c r="O553" i="13"/>
  <c r="O555" i="13"/>
  <c r="L558" i="13"/>
  <c r="J575" i="13"/>
  <c r="J577" i="13"/>
  <c r="N596" i="13"/>
  <c r="N399" i="13"/>
  <c r="N497" i="13" s="1"/>
  <c r="J645" i="13"/>
  <c r="K657" i="13"/>
  <c r="M470" i="13"/>
  <c r="N679" i="13"/>
  <c r="L525" i="13"/>
  <c r="N608" i="13"/>
  <c r="K639" i="13"/>
  <c r="N646" i="13"/>
  <c r="L679" i="13"/>
  <c r="L683" i="13"/>
  <c r="L687" i="13"/>
  <c r="J498" i="13"/>
  <c r="J512" i="13"/>
  <c r="J518" i="13"/>
  <c r="L522" i="13"/>
  <c r="L526" i="13"/>
  <c r="L528" i="13"/>
  <c r="L530" i="13"/>
  <c r="N531" i="13"/>
  <c r="N540" i="13"/>
  <c r="J546" i="13"/>
  <c r="K558" i="13"/>
  <c r="K560" i="13"/>
  <c r="M572" i="13"/>
  <c r="M574" i="13"/>
  <c r="N580" i="13"/>
  <c r="N582" i="13"/>
  <c r="N584" i="13"/>
  <c r="N586" i="13"/>
  <c r="N588" i="13"/>
  <c r="I563" i="13"/>
  <c r="J613" i="13"/>
  <c r="J651" i="13"/>
  <c r="K659" i="13"/>
  <c r="L500" i="13"/>
  <c r="L502" i="13"/>
  <c r="L510" i="13"/>
  <c r="L512" i="13"/>
  <c r="L518" i="13"/>
  <c r="N526" i="13"/>
  <c r="N528" i="13"/>
  <c r="N530" i="13"/>
  <c r="J533" i="13"/>
  <c r="J539" i="13"/>
  <c r="L546" i="13"/>
  <c r="M562" i="13"/>
  <c r="O570" i="13"/>
  <c r="K605" i="13"/>
  <c r="L422" i="13"/>
  <c r="J679" i="13"/>
  <c r="J683" i="13"/>
  <c r="J687" i="13"/>
  <c r="L499" i="13"/>
  <c r="L501" i="13"/>
  <c r="M521" i="13"/>
  <c r="M523" i="13"/>
  <c r="N533" i="13"/>
  <c r="N535" i="13"/>
  <c r="N537" i="13"/>
  <c r="N539" i="13"/>
  <c r="N541" i="13"/>
  <c r="O548" i="13"/>
  <c r="O550" i="13"/>
  <c r="K569" i="13"/>
  <c r="L535" i="13"/>
  <c r="L560" i="13"/>
  <c r="L584" i="13"/>
  <c r="O29" i="13"/>
  <c r="J105" i="13"/>
  <c r="J6" i="13"/>
  <c r="L53" i="13"/>
  <c r="M54" i="13"/>
  <c r="M53" i="13" s="1"/>
  <c r="M6" i="13"/>
  <c r="O54" i="13"/>
  <c r="O53" i="13" s="1"/>
  <c r="K77" i="13"/>
  <c r="K53" i="13" s="1"/>
  <c r="O6" i="13"/>
  <c r="L77" i="13"/>
  <c r="J77" i="13"/>
  <c r="J53" i="13" s="1"/>
  <c r="M77" i="13"/>
  <c r="N77" i="13"/>
  <c r="N53" i="13" s="1"/>
  <c r="I548" i="13"/>
  <c r="I600" i="13"/>
  <c r="I538" i="13"/>
  <c r="I659" i="13"/>
  <c r="K6" i="13"/>
  <c r="I526" i="13"/>
  <c r="I537" i="13"/>
  <c r="L6" i="13"/>
  <c r="I530" i="13"/>
  <c r="I575" i="13"/>
  <c r="I622" i="13"/>
  <c r="I551" i="13"/>
  <c r="I610" i="13"/>
  <c r="I500" i="13"/>
  <c r="I611" i="13"/>
  <c r="I588" i="13"/>
  <c r="N6" i="13"/>
  <c r="I585" i="13"/>
  <c r="E655" i="13"/>
  <c r="H538" i="13"/>
  <c r="H636" i="13"/>
  <c r="F622" i="13"/>
  <c r="F521" i="13"/>
  <c r="D237" i="13"/>
  <c r="I570" i="13"/>
  <c r="I668" i="13"/>
  <c r="I601" i="13"/>
  <c r="I503" i="13"/>
  <c r="F499" i="13"/>
  <c r="G404" i="13"/>
  <c r="G306" i="13"/>
  <c r="G459" i="13"/>
  <c r="G66" i="13"/>
  <c r="F510" i="13"/>
  <c r="F449" i="13"/>
  <c r="F351" i="13"/>
  <c r="F547" i="13" s="1"/>
  <c r="F55" i="13"/>
  <c r="F54" i="13" s="1"/>
  <c r="H459" i="13"/>
  <c r="H66" i="13"/>
  <c r="D510" i="13"/>
  <c r="D608" i="13"/>
  <c r="D612" i="13"/>
  <c r="D410" i="13"/>
  <c r="G645" i="13"/>
  <c r="G547" i="13"/>
  <c r="I338" i="13"/>
  <c r="I534" i="13" s="1"/>
  <c r="H562" i="13"/>
  <c r="F601" i="13"/>
  <c r="I303" i="13"/>
  <c r="I401" i="13"/>
  <c r="H350" i="13"/>
  <c r="H448" i="13"/>
  <c r="H55" i="13"/>
  <c r="I370" i="13"/>
  <c r="I468" i="13"/>
  <c r="I664" i="13" s="1"/>
  <c r="H524" i="13"/>
  <c r="H499" i="13"/>
  <c r="G456" i="13"/>
  <c r="G358" i="13"/>
  <c r="G554" i="13" s="1"/>
  <c r="G434" i="13"/>
  <c r="G41" i="13"/>
  <c r="G336" i="13"/>
  <c r="D554" i="13"/>
  <c r="D652" i="13"/>
  <c r="D529" i="13"/>
  <c r="D627" i="13"/>
  <c r="D447" i="13"/>
  <c r="D546" i="13"/>
  <c r="D684" i="13"/>
  <c r="D586" i="13"/>
  <c r="D679" i="13"/>
  <c r="H41" i="13"/>
  <c r="H336" i="13"/>
  <c r="E437" i="13"/>
  <c r="E633" i="13" s="1"/>
  <c r="E41" i="13"/>
  <c r="G439" i="13"/>
  <c r="G341" i="13"/>
  <c r="I539" i="13"/>
  <c r="E630" i="13"/>
  <c r="G632" i="13"/>
  <c r="E339" i="13"/>
  <c r="F564" i="13"/>
  <c r="H601" i="13"/>
  <c r="H434" i="13"/>
  <c r="E409" i="13"/>
  <c r="E311" i="13"/>
  <c r="E507" i="13" s="1"/>
  <c r="E549" i="13"/>
  <c r="I644" i="13"/>
  <c r="H363" i="13"/>
  <c r="H461" i="13"/>
  <c r="H657" i="13" s="1"/>
  <c r="I680" i="13"/>
  <c r="I582" i="13"/>
  <c r="F304" i="13"/>
  <c r="F402" i="13"/>
  <c r="I363" i="13"/>
  <c r="I461" i="13"/>
  <c r="D524" i="13"/>
  <c r="D324" i="13"/>
  <c r="D599" i="13"/>
  <c r="D501" i="13"/>
  <c r="D626" i="13"/>
  <c r="D528" i="13"/>
  <c r="H343" i="13"/>
  <c r="H441" i="13"/>
  <c r="H637" i="13" s="1"/>
  <c r="D512" i="13"/>
  <c r="D610" i="13"/>
  <c r="D628" i="13"/>
  <c r="D530" i="13"/>
  <c r="D680" i="13"/>
  <c r="I488" i="13"/>
  <c r="I390" i="13"/>
  <c r="E576" i="13"/>
  <c r="E674" i="13"/>
  <c r="I89" i="13"/>
  <c r="F484" i="13"/>
  <c r="F386" i="13"/>
  <c r="F582" i="13" s="1"/>
  <c r="H388" i="13"/>
  <c r="H584" i="13" s="1"/>
  <c r="H486" i="13"/>
  <c r="E391" i="13"/>
  <c r="E489" i="13"/>
  <c r="E685" i="13" s="1"/>
  <c r="G491" i="13"/>
  <c r="G393" i="13"/>
  <c r="G589" i="13" s="1"/>
  <c r="E557" i="13"/>
  <c r="F576" i="13"/>
  <c r="I646" i="13"/>
  <c r="F404" i="13"/>
  <c r="F306" i="13"/>
  <c r="I357" i="13"/>
  <c r="I455" i="13"/>
  <c r="H7" i="13"/>
  <c r="E464" i="13"/>
  <c r="E366" i="13"/>
  <c r="G409" i="13"/>
  <c r="G311" i="13"/>
  <c r="G507" i="13" s="1"/>
  <c r="E364" i="13"/>
  <c r="E560" i="13" s="1"/>
  <c r="E462" i="13"/>
  <c r="G580" i="13"/>
  <c r="D639" i="13"/>
  <c r="F439" i="13"/>
  <c r="F341" i="13"/>
  <c r="D570" i="13"/>
  <c r="D668" i="13"/>
  <c r="H439" i="13"/>
  <c r="H341" i="13"/>
  <c r="E484" i="13"/>
  <c r="E386" i="13"/>
  <c r="E582" i="13" s="1"/>
  <c r="H501" i="13"/>
  <c r="I561" i="13"/>
  <c r="D574" i="13"/>
  <c r="G429" i="13"/>
  <c r="G331" i="13"/>
  <c r="G527" i="13" s="1"/>
  <c r="I431" i="13"/>
  <c r="I333" i="13"/>
  <c r="F337" i="13"/>
  <c r="F435" i="13"/>
  <c r="F41" i="13"/>
  <c r="F29" i="13" s="1"/>
  <c r="H437" i="13"/>
  <c r="H339" i="13"/>
  <c r="H535" i="13" s="1"/>
  <c r="E440" i="13"/>
  <c r="E636" i="13" s="1"/>
  <c r="E342" i="13"/>
  <c r="E482" i="13"/>
  <c r="E384" i="13"/>
  <c r="E89" i="13"/>
  <c r="G680" i="13"/>
  <c r="I486" i="13"/>
  <c r="I388" i="13"/>
  <c r="I584" i="13" s="1"/>
  <c r="F489" i="13"/>
  <c r="F391" i="13"/>
  <c r="H491" i="13"/>
  <c r="H393" i="13"/>
  <c r="H589" i="13" s="1"/>
  <c r="H308" i="13"/>
  <c r="H504" i="13" s="1"/>
  <c r="I514" i="13"/>
  <c r="I612" i="13"/>
  <c r="F616" i="13"/>
  <c r="E451" i="13"/>
  <c r="E647" i="13" s="1"/>
  <c r="F479" i="13"/>
  <c r="F675" i="13" s="1"/>
  <c r="G6" i="13"/>
  <c r="G355" i="13"/>
  <c r="G453" i="13"/>
  <c r="H404" i="13"/>
  <c r="H306" i="13"/>
  <c r="H502" i="13" s="1"/>
  <c r="H466" i="13"/>
  <c r="H368" i="13"/>
  <c r="G498" i="13"/>
  <c r="G628" i="13"/>
  <c r="I466" i="13"/>
  <c r="I368" i="13"/>
  <c r="G510" i="13"/>
  <c r="G366" i="13"/>
  <c r="G562" i="13" s="1"/>
  <c r="D569" i="13"/>
  <c r="D372" i="13"/>
  <c r="D597" i="13"/>
  <c r="D499" i="13"/>
  <c r="D526" i="13"/>
  <c r="D624" i="13"/>
  <c r="D681" i="13"/>
  <c r="D583" i="13"/>
  <c r="D644" i="13"/>
  <c r="G486" i="13"/>
  <c r="G388" i="13"/>
  <c r="G383" i="13" s="1"/>
  <c r="F491" i="13"/>
  <c r="F393" i="13"/>
  <c r="F339" i="13"/>
  <c r="F535" i="13" s="1"/>
  <c r="G368" i="13"/>
  <c r="G564" i="13" s="1"/>
  <c r="D645" i="13"/>
  <c r="D541" i="13"/>
  <c r="D558" i="13"/>
  <c r="G638" i="13"/>
  <c r="E504" i="13"/>
  <c r="I411" i="13"/>
  <c r="I18" i="13"/>
  <c r="I313" i="13"/>
  <c r="H416" i="13"/>
  <c r="H318" i="13"/>
  <c r="H514" i="13" s="1"/>
  <c r="I424" i="13"/>
  <c r="I326" i="13"/>
  <c r="I522" i="13" s="1"/>
  <c r="F577" i="13"/>
  <c r="I308" i="13"/>
  <c r="I504" i="13" s="1"/>
  <c r="G548" i="13"/>
  <c r="G361" i="13"/>
  <c r="H451" i="13"/>
  <c r="H647" i="13" s="1"/>
  <c r="E498" i="13"/>
  <c r="E304" i="13"/>
  <c r="E7" i="13"/>
  <c r="E6" i="13" s="1"/>
  <c r="E402" i="13"/>
  <c r="E598" i="13" s="1"/>
  <c r="F409" i="13"/>
  <c r="F311" i="13"/>
  <c r="F507" i="13" s="1"/>
  <c r="F459" i="13"/>
  <c r="F557" i="13" s="1"/>
  <c r="F66" i="13"/>
  <c r="H664" i="13"/>
  <c r="F679" i="13"/>
  <c r="E638" i="13"/>
  <c r="I7" i="13"/>
  <c r="I524" i="13"/>
  <c r="F366" i="13"/>
  <c r="F562" i="13" s="1"/>
  <c r="E356" i="13"/>
  <c r="E552" i="13" s="1"/>
  <c r="D601" i="13"/>
  <c r="D503" i="13"/>
  <c r="I336" i="13"/>
  <c r="I434" i="13"/>
  <c r="I41" i="13"/>
  <c r="H525" i="13"/>
  <c r="G583" i="13"/>
  <c r="D572" i="13"/>
  <c r="H424" i="13"/>
  <c r="H620" i="13" s="1"/>
  <c r="H326" i="13"/>
  <c r="F573" i="13"/>
  <c r="F671" i="13"/>
  <c r="F414" i="13"/>
  <c r="F316" i="13"/>
  <c r="F512" i="13" s="1"/>
  <c r="E517" i="13"/>
  <c r="F525" i="13"/>
  <c r="H429" i="13"/>
  <c r="H331" i="13"/>
  <c r="E334" i="13"/>
  <c r="E432" i="13"/>
  <c r="E628" i="13" s="1"/>
  <c r="E472" i="13"/>
  <c r="E668" i="13" s="1"/>
  <c r="E374" i="13"/>
  <c r="E78" i="13"/>
  <c r="E77" i="13" s="1"/>
  <c r="G474" i="13"/>
  <c r="G376" i="13"/>
  <c r="G572" i="13" s="1"/>
  <c r="I476" i="13"/>
  <c r="I378" i="13"/>
  <c r="I574" i="13" s="1"/>
  <c r="G573" i="13"/>
  <c r="G671" i="13"/>
  <c r="D458" i="13"/>
  <c r="H506" i="13"/>
  <c r="G30" i="13"/>
  <c r="E425" i="13"/>
  <c r="E327" i="13"/>
  <c r="E523" i="13" s="1"/>
  <c r="G329" i="13"/>
  <c r="G427" i="13"/>
  <c r="G623" i="13" s="1"/>
  <c r="I429" i="13"/>
  <c r="I331" i="13"/>
  <c r="I527" i="13" s="1"/>
  <c r="F334" i="13"/>
  <c r="F432" i="13"/>
  <c r="F628" i="13" s="1"/>
  <c r="F472" i="13"/>
  <c r="F374" i="13"/>
  <c r="H474" i="13"/>
  <c r="H376" i="13"/>
  <c r="E477" i="13"/>
  <c r="E379" i="13"/>
  <c r="E575" i="13" s="1"/>
  <c r="G381" i="13"/>
  <c r="G479" i="13"/>
  <c r="H616" i="13"/>
  <c r="E309" i="13"/>
  <c r="E505" i="13" s="1"/>
  <c r="F515" i="13"/>
  <c r="F613" i="13"/>
  <c r="H361" i="13"/>
  <c r="G581" i="13"/>
  <c r="E669" i="13"/>
  <c r="D422" i="13"/>
  <c r="D498" i="13"/>
  <c r="D581" i="13"/>
  <c r="F7" i="13"/>
  <c r="F6" i="13" s="1"/>
  <c r="E404" i="13"/>
  <c r="E306" i="13"/>
  <c r="E502" i="13" s="1"/>
  <c r="G602" i="13"/>
  <c r="I408" i="13"/>
  <c r="I310" i="13"/>
  <c r="F18" i="13"/>
  <c r="H414" i="13"/>
  <c r="H316" i="13"/>
  <c r="E613" i="13"/>
  <c r="G419" i="13"/>
  <c r="G321" i="13"/>
  <c r="H30" i="13"/>
  <c r="H29" i="13" s="1"/>
  <c r="I66" i="13"/>
  <c r="F461" i="13"/>
  <c r="F363" i="13"/>
  <c r="H463" i="13"/>
  <c r="H365" i="13"/>
  <c r="E368" i="13"/>
  <c r="E466" i="13"/>
  <c r="G370" i="13"/>
  <c r="G468" i="13"/>
  <c r="G664" i="13" s="1"/>
  <c r="G374" i="13"/>
  <c r="G472" i="13"/>
  <c r="G668" i="13" s="1"/>
  <c r="G78" i="13"/>
  <c r="G77" i="13" s="1"/>
  <c r="I376" i="13"/>
  <c r="I474" i="13"/>
  <c r="F477" i="13"/>
  <c r="F673" i="13" s="1"/>
  <c r="H381" i="13"/>
  <c r="H479" i="13"/>
  <c r="H675" i="13" s="1"/>
  <c r="E532" i="13"/>
  <c r="E612" i="13"/>
  <c r="I616" i="13"/>
  <c r="I557" i="13"/>
  <c r="E596" i="13"/>
  <c r="E608" i="13"/>
  <c r="E667" i="13"/>
  <c r="E569" i="13"/>
  <c r="G639" i="13"/>
  <c r="F686" i="13"/>
  <c r="H412" i="13"/>
  <c r="H314" i="13"/>
  <c r="H510" i="13" s="1"/>
  <c r="E415" i="13"/>
  <c r="E317" i="13"/>
  <c r="G417" i="13"/>
  <c r="G319" i="13"/>
  <c r="G515" i="13" s="1"/>
  <c r="I419" i="13"/>
  <c r="I321" i="13"/>
  <c r="I517" i="13" s="1"/>
  <c r="E325" i="13"/>
  <c r="E30" i="13"/>
  <c r="G425" i="13"/>
  <c r="G327" i="13"/>
  <c r="G523" i="13" s="1"/>
  <c r="I329" i="13"/>
  <c r="I427" i="13"/>
  <c r="I623" i="13" s="1"/>
  <c r="H628" i="13"/>
  <c r="I339" i="13"/>
  <c r="I535" i="13" s="1"/>
  <c r="E354" i="13"/>
  <c r="E452" i="13"/>
  <c r="I655" i="13"/>
  <c r="F462" i="13"/>
  <c r="F364" i="13"/>
  <c r="F560" i="13" s="1"/>
  <c r="E467" i="13"/>
  <c r="E369" i="13"/>
  <c r="H676" i="13"/>
  <c r="I683" i="13"/>
  <c r="H351" i="13"/>
  <c r="H547" i="13" s="1"/>
  <c r="G356" i="13"/>
  <c r="G552" i="13" s="1"/>
  <c r="I628" i="13"/>
  <c r="G342" i="13"/>
  <c r="G440" i="13"/>
  <c r="F539" i="13"/>
  <c r="F340" i="13"/>
  <c r="D360" i="13"/>
  <c r="G407" i="13"/>
  <c r="G309" i="13"/>
  <c r="H533" i="13"/>
  <c r="I344" i="13"/>
  <c r="I442" i="13"/>
  <c r="I638" i="13" s="1"/>
  <c r="F648" i="13"/>
  <c r="G559" i="13"/>
  <c r="D335" i="13"/>
  <c r="D629" i="13" s="1"/>
  <c r="D630" i="13"/>
  <c r="E315" i="13"/>
  <c r="E413" i="13"/>
  <c r="I425" i="13"/>
  <c r="I327" i="13"/>
  <c r="F330" i="13"/>
  <c r="F428" i="13"/>
  <c r="F624" i="13" s="1"/>
  <c r="I337" i="13"/>
  <c r="I533" i="13" s="1"/>
  <c r="G452" i="13"/>
  <c r="G354" i="13"/>
  <c r="G550" i="13" s="1"/>
  <c r="I454" i="13"/>
  <c r="I356" i="13"/>
  <c r="H551" i="13"/>
  <c r="E626" i="13"/>
  <c r="G631" i="13"/>
  <c r="G522" i="13"/>
  <c r="G585" i="13"/>
  <c r="G683" i="13"/>
  <c r="G598" i="13"/>
  <c r="H430" i="13"/>
  <c r="H626" i="13" s="1"/>
  <c r="E438" i="13"/>
  <c r="E634" i="13" s="1"/>
  <c r="H651" i="13"/>
  <c r="D635" i="13"/>
  <c r="H18" i="13"/>
  <c r="H325" i="13"/>
  <c r="H423" i="13"/>
  <c r="E328" i="13"/>
  <c r="E524" i="13" s="1"/>
  <c r="E426" i="13"/>
  <c r="G330" i="13"/>
  <c r="G428" i="13"/>
  <c r="G624" i="13" s="1"/>
  <c r="I332" i="13"/>
  <c r="I430" i="13"/>
  <c r="F373" i="13"/>
  <c r="F78" i="13"/>
  <c r="F77" i="13" s="1"/>
  <c r="H375" i="13"/>
  <c r="H473" i="13"/>
  <c r="H669" i="13" s="1"/>
  <c r="G478" i="13"/>
  <c r="G674" i="13" s="1"/>
  <c r="I480" i="13"/>
  <c r="I382" i="13"/>
  <c r="H485" i="13"/>
  <c r="H681" i="13" s="1"/>
  <c r="E488" i="13"/>
  <c r="G392" i="13"/>
  <c r="G588" i="13" s="1"/>
  <c r="F527" i="13"/>
  <c r="H529" i="13"/>
  <c r="H352" i="13"/>
  <c r="H548" i="13" s="1"/>
  <c r="F554" i="13"/>
  <c r="F652" i="13"/>
  <c r="E370" i="13"/>
  <c r="E566" i="13" s="1"/>
  <c r="I598" i="13"/>
  <c r="E423" i="13"/>
  <c r="F438" i="13"/>
  <c r="F634" i="13" s="1"/>
  <c r="E644" i="13"/>
  <c r="H652" i="13"/>
  <c r="D399" i="13"/>
  <c r="D596" i="13"/>
  <c r="D623" i="13"/>
  <c r="D470" i="13"/>
  <c r="D667" i="13"/>
  <c r="F599" i="13"/>
  <c r="E408" i="13"/>
  <c r="E310" i="13"/>
  <c r="E506" i="13" s="1"/>
  <c r="E18" i="13"/>
  <c r="E313" i="13"/>
  <c r="E411" i="13"/>
  <c r="G511" i="13"/>
  <c r="I513" i="13"/>
  <c r="F418" i="13"/>
  <c r="F614" i="13" s="1"/>
  <c r="H428" i="13"/>
  <c r="H624" i="13" s="1"/>
  <c r="F338" i="13"/>
  <c r="F436" i="13"/>
  <c r="F632" i="13" s="1"/>
  <c r="H340" i="13"/>
  <c r="E343" i="13"/>
  <c r="E441" i="13"/>
  <c r="E637" i="13" s="1"/>
  <c r="G345" i="13"/>
  <c r="G541" i="13" s="1"/>
  <c r="E55" i="13"/>
  <c r="G450" i="13"/>
  <c r="G646" i="13" s="1"/>
  <c r="G55" i="13"/>
  <c r="G54" i="13" s="1"/>
  <c r="I354" i="13"/>
  <c r="I452" i="13"/>
  <c r="F553" i="13"/>
  <c r="H457" i="13"/>
  <c r="H359" i="13"/>
  <c r="H555" i="13" s="1"/>
  <c r="G373" i="13"/>
  <c r="G667" i="13" s="1"/>
  <c r="I375" i="13"/>
  <c r="I473" i="13"/>
  <c r="I669" i="13" s="1"/>
  <c r="F378" i="13"/>
  <c r="F476" i="13"/>
  <c r="F672" i="13" s="1"/>
  <c r="H478" i="13"/>
  <c r="H380" i="13"/>
  <c r="H576" i="13" s="1"/>
  <c r="I583" i="13"/>
  <c r="F488" i="13"/>
  <c r="H588" i="13"/>
  <c r="I608" i="13"/>
  <c r="H605" i="13"/>
  <c r="H438" i="13"/>
  <c r="H634" i="13" s="1"/>
  <c r="I456" i="13"/>
  <c r="I652" i="13" s="1"/>
  <c r="I483" i="13"/>
  <c r="I679" i="13" s="1"/>
  <c r="F522" i="13"/>
  <c r="I678" i="13"/>
  <c r="D349" i="13"/>
  <c r="D673" i="13"/>
  <c r="G513" i="13"/>
  <c r="I319" i="13"/>
  <c r="I417" i="13"/>
  <c r="I613" i="13" s="1"/>
  <c r="G423" i="13"/>
  <c r="G325" i="13"/>
  <c r="G529" i="13"/>
  <c r="I546" i="13"/>
  <c r="H611" i="13"/>
  <c r="D560" i="13"/>
  <c r="F400" i="13"/>
  <c r="F302" i="13"/>
  <c r="H598" i="13"/>
  <c r="F611" i="13"/>
  <c r="G516" i="13"/>
  <c r="E559" i="13"/>
  <c r="E657" i="13"/>
  <c r="D481" i="13"/>
  <c r="E476" i="13"/>
  <c r="E378" i="13"/>
  <c r="E574" i="13" s="1"/>
  <c r="D637" i="13"/>
  <c r="F350" i="13"/>
  <c r="F644" i="13" s="1"/>
  <c r="E453" i="13"/>
  <c r="E355" i="13"/>
  <c r="E551" i="13" s="1"/>
  <c r="G357" i="13"/>
  <c r="G553" i="13" s="1"/>
  <c r="I359" i="13"/>
  <c r="I362" i="13"/>
  <c r="I460" i="13"/>
  <c r="I656" i="13" s="1"/>
  <c r="F463" i="13"/>
  <c r="F365" i="13"/>
  <c r="F561" i="13" s="1"/>
  <c r="H78" i="13"/>
  <c r="H77" i="13" s="1"/>
  <c r="H471" i="13"/>
  <c r="H373" i="13"/>
  <c r="E670" i="13"/>
  <c r="G378" i="13"/>
  <c r="G476" i="13"/>
  <c r="G672" i="13" s="1"/>
  <c r="I576" i="13"/>
  <c r="H679" i="13"/>
  <c r="E388" i="13"/>
  <c r="E486" i="13"/>
  <c r="G684" i="13"/>
  <c r="I686" i="13"/>
  <c r="I549" i="13"/>
  <c r="H580" i="13"/>
  <c r="E583" i="13"/>
  <c r="E681" i="13"/>
  <c r="I685" i="13"/>
  <c r="I587" i="13"/>
  <c r="I311" i="13"/>
  <c r="I507" i="13" s="1"/>
  <c r="I512" i="13"/>
  <c r="F332" i="13"/>
  <c r="F528" i="13" s="1"/>
  <c r="F549" i="13"/>
  <c r="E390" i="13"/>
  <c r="F457" i="13"/>
  <c r="F653" i="13" s="1"/>
  <c r="H465" i="13"/>
  <c r="H661" i="13" s="1"/>
  <c r="D312" i="13"/>
  <c r="D509" i="13"/>
  <c r="D523" i="13"/>
  <c r="D536" i="13"/>
  <c r="D552" i="13"/>
  <c r="D580" i="13"/>
  <c r="D625" i="13"/>
  <c r="D527" i="13"/>
  <c r="D571" i="13"/>
  <c r="D678" i="13"/>
  <c r="F401" i="13"/>
  <c r="F597" i="13" s="1"/>
  <c r="H403" i="13"/>
  <c r="H599" i="13" s="1"/>
  <c r="G408" i="13"/>
  <c r="G310" i="13"/>
  <c r="G506" i="13" s="1"/>
  <c r="G411" i="13"/>
  <c r="G509" i="13" s="1"/>
  <c r="G18" i="13"/>
  <c r="I315" i="13"/>
  <c r="I413" i="13"/>
  <c r="I609" i="13" s="1"/>
  <c r="F514" i="13"/>
  <c r="H418" i="13"/>
  <c r="H614" i="13" s="1"/>
  <c r="F434" i="13"/>
  <c r="H436" i="13"/>
  <c r="H632" i="13" s="1"/>
  <c r="E439" i="13"/>
  <c r="E635" i="13" s="1"/>
  <c r="G441" i="13"/>
  <c r="G343" i="13"/>
  <c r="I443" i="13"/>
  <c r="I345" i="13"/>
  <c r="I541" i="13" s="1"/>
  <c r="G350" i="13"/>
  <c r="G644" i="13" s="1"/>
  <c r="I78" i="13"/>
  <c r="I471" i="13"/>
  <c r="F474" i="13"/>
  <c r="F670" i="13" s="1"/>
  <c r="H476" i="13"/>
  <c r="H378" i="13"/>
  <c r="H574" i="13" s="1"/>
  <c r="E381" i="13"/>
  <c r="E577" i="13" s="1"/>
  <c r="F388" i="13"/>
  <c r="F486" i="13"/>
  <c r="H488" i="13"/>
  <c r="H684" i="13" s="1"/>
  <c r="E491" i="13"/>
  <c r="E687" i="13" s="1"/>
  <c r="I580" i="13"/>
  <c r="F583" i="13"/>
  <c r="F609" i="13"/>
  <c r="E614" i="13"/>
  <c r="I302" i="13"/>
  <c r="I596" i="13" s="1"/>
  <c r="G622" i="13"/>
  <c r="G524" i="13"/>
  <c r="F390" i="13"/>
  <c r="E405" i="13"/>
  <c r="E601" i="13" s="1"/>
  <c r="I457" i="13"/>
  <c r="H673" i="13"/>
  <c r="F619" i="13"/>
  <c r="H683" i="13"/>
  <c r="D514" i="13"/>
  <c r="D585" i="13"/>
  <c r="D576" i="13"/>
  <c r="F411" i="13"/>
  <c r="F509" i="13" s="1"/>
  <c r="H315" i="13"/>
  <c r="H511" i="13" s="1"/>
  <c r="I30" i="13"/>
  <c r="F328" i="13"/>
  <c r="F524" i="13" s="1"/>
  <c r="E333" i="13"/>
  <c r="E431" i="13"/>
  <c r="E627" i="13" s="1"/>
  <c r="I449" i="13"/>
  <c r="I351" i="13"/>
  <c r="H356" i="13"/>
  <c r="E653" i="13"/>
  <c r="E460" i="13"/>
  <c r="E656" i="13" s="1"/>
  <c r="E66" i="13"/>
  <c r="I464" i="13"/>
  <c r="I366" i="13"/>
  <c r="F663" i="13"/>
  <c r="H374" i="13"/>
  <c r="H472" i="13"/>
  <c r="E377" i="13"/>
  <c r="E573" i="13" s="1"/>
  <c r="G379" i="13"/>
  <c r="G477" i="13"/>
  <c r="I479" i="13"/>
  <c r="I381" i="13"/>
  <c r="F482" i="13"/>
  <c r="F384" i="13"/>
  <c r="H484" i="13"/>
  <c r="H386" i="13"/>
  <c r="E487" i="13"/>
  <c r="E389" i="13"/>
  <c r="E585" i="13" s="1"/>
  <c r="G489" i="13"/>
  <c r="G391" i="13"/>
  <c r="G587" i="13" s="1"/>
  <c r="I491" i="13"/>
  <c r="I393" i="13"/>
  <c r="I589" i="13" s="1"/>
  <c r="F517" i="13"/>
  <c r="F615" i="13"/>
  <c r="H573" i="13"/>
  <c r="G596" i="13"/>
  <c r="H603" i="13"/>
  <c r="F650" i="13"/>
  <c r="H313" i="13"/>
  <c r="H607" i="13" s="1"/>
  <c r="F603" i="13"/>
  <c r="E533" i="13"/>
  <c r="F460" i="13"/>
  <c r="F362" i="13"/>
  <c r="F558" i="13" s="1"/>
  <c r="H462" i="13"/>
  <c r="H658" i="13" s="1"/>
  <c r="E367" i="13"/>
  <c r="E563" i="13" s="1"/>
  <c r="G467" i="13"/>
  <c r="G663" i="13" s="1"/>
  <c r="G678" i="13"/>
  <c r="H613" i="13"/>
  <c r="F636" i="13"/>
  <c r="F649" i="13"/>
  <c r="E676" i="13"/>
  <c r="D587" i="13"/>
  <c r="G401" i="13"/>
  <c r="I403" i="13"/>
  <c r="I599" i="13" s="1"/>
  <c r="F406" i="13"/>
  <c r="F602" i="13" s="1"/>
  <c r="E610" i="13"/>
  <c r="G318" i="13"/>
  <c r="G514" i="13" s="1"/>
  <c r="I320" i="13"/>
  <c r="I516" i="13" s="1"/>
  <c r="E331" i="13"/>
  <c r="E429" i="13"/>
  <c r="G431" i="13"/>
  <c r="G627" i="13" s="1"/>
  <c r="I340" i="13"/>
  <c r="I536" i="13" s="1"/>
  <c r="H345" i="13"/>
  <c r="H541" i="13" s="1"/>
  <c r="I55" i="13"/>
  <c r="F352" i="13"/>
  <c r="F450" i="13"/>
  <c r="F646" i="13" s="1"/>
  <c r="H452" i="13"/>
  <c r="H648" i="13" s="1"/>
  <c r="E455" i="13"/>
  <c r="E357" i="13"/>
  <c r="E553" i="13" s="1"/>
  <c r="G457" i="13"/>
  <c r="G653" i="13" s="1"/>
  <c r="G362" i="13"/>
  <c r="G558" i="13" s="1"/>
  <c r="I462" i="13"/>
  <c r="I364" i="13"/>
  <c r="F465" i="13"/>
  <c r="F367" i="13"/>
  <c r="F563" i="13" s="1"/>
  <c r="H663" i="13"/>
  <c r="F676" i="13"/>
  <c r="H517" i="13"/>
  <c r="G364" i="13"/>
  <c r="G560" i="13" s="1"/>
  <c r="I423" i="13"/>
  <c r="I521" i="13" s="1"/>
  <c r="H454" i="13"/>
  <c r="H678" i="13"/>
  <c r="D500" i="13"/>
  <c r="D686" i="13"/>
  <c r="H400" i="13"/>
  <c r="H302" i="13"/>
  <c r="E403" i="13"/>
  <c r="E305" i="13"/>
  <c r="E501" i="13" s="1"/>
  <c r="G405" i="13"/>
  <c r="G307" i="13"/>
  <c r="I407" i="13"/>
  <c r="I309" i="13"/>
  <c r="E420" i="13"/>
  <c r="E322" i="13"/>
  <c r="E518" i="13" s="1"/>
  <c r="F425" i="13"/>
  <c r="F327" i="13"/>
  <c r="F523" i="13" s="1"/>
  <c r="H362" i="13"/>
  <c r="H558" i="13" s="1"/>
  <c r="E365" i="13"/>
  <c r="E463" i="13"/>
  <c r="E659" i="13" s="1"/>
  <c r="G465" i="13"/>
  <c r="G367" i="13"/>
  <c r="G563" i="13" s="1"/>
  <c r="I369" i="13"/>
  <c r="I467" i="13"/>
  <c r="F683" i="13"/>
  <c r="H391" i="13"/>
  <c r="H587" i="13" s="1"/>
  <c r="G633" i="13"/>
  <c r="D502" i="13"/>
  <c r="D573" i="13"/>
  <c r="D648" i="13"/>
  <c r="E303" i="13"/>
  <c r="E401" i="13"/>
  <c r="E597" i="13" s="1"/>
  <c r="G501" i="13"/>
  <c r="F506" i="13"/>
  <c r="G322" i="13"/>
  <c r="G518" i="13" s="1"/>
  <c r="H425" i="13"/>
  <c r="H327" i="13"/>
  <c r="H523" i="13" s="1"/>
  <c r="E428" i="13"/>
  <c r="E624" i="13" s="1"/>
  <c r="G332" i="13"/>
  <c r="G528" i="13" s="1"/>
  <c r="H442" i="13"/>
  <c r="H638" i="13" s="1"/>
  <c r="E456" i="13"/>
  <c r="E652" i="13" s="1"/>
  <c r="G659" i="13"/>
  <c r="F669" i="13"/>
  <c r="G676" i="13"/>
  <c r="E686" i="13"/>
  <c r="E620" i="13"/>
  <c r="E632" i="13"/>
  <c r="G647" i="13"/>
  <c r="I649" i="13"/>
  <c r="I661" i="13"/>
  <c r="I673" i="13"/>
  <c r="G340" i="13"/>
  <c r="G536" i="13" s="1"/>
  <c r="F370" i="13"/>
  <c r="F566" i="13" s="1"/>
  <c r="I451" i="13"/>
  <c r="I647" i="13" s="1"/>
  <c r="G473" i="13"/>
  <c r="G669" i="13" s="1"/>
  <c r="I475" i="13"/>
  <c r="E483" i="13"/>
  <c r="E679" i="13" s="1"/>
  <c r="G365" i="13"/>
  <c r="G561" i="13" s="1"/>
  <c r="D497" i="13" l="1"/>
  <c r="D300" i="13"/>
  <c r="M520" i="13"/>
  <c r="L105" i="13"/>
  <c r="J300" i="13"/>
  <c r="H586" i="13"/>
  <c r="H549" i="13"/>
  <c r="G505" i="13"/>
  <c r="H561" i="13"/>
  <c r="I506" i="13"/>
  <c r="H527" i="13"/>
  <c r="E565" i="13"/>
  <c r="H564" i="13"/>
  <c r="G537" i="13"/>
  <c r="H552" i="13"/>
  <c r="F584" i="13"/>
  <c r="H563" i="13"/>
  <c r="I552" i="13"/>
  <c r="G538" i="13"/>
  <c r="G517" i="13"/>
  <c r="F589" i="13"/>
  <c r="G565" i="13"/>
  <c r="F587" i="13"/>
  <c r="H537" i="13"/>
  <c r="E562" i="13"/>
  <c r="E586" i="13"/>
  <c r="F555" i="13"/>
  <c r="E399" i="13"/>
  <c r="E398" i="13" s="1"/>
  <c r="E503" i="13"/>
  <c r="H583" i="13"/>
  <c r="G576" i="13"/>
  <c r="H512" i="13"/>
  <c r="H572" i="13"/>
  <c r="E537" i="13"/>
  <c r="E550" i="13"/>
  <c r="I560" i="13"/>
  <c r="F537" i="13"/>
  <c r="E526" i="13"/>
  <c r="G626" i="13"/>
  <c r="H685" i="13"/>
  <c r="L497" i="13"/>
  <c r="M531" i="13"/>
  <c r="M139" i="13"/>
  <c r="E625" i="13"/>
  <c r="H680" i="13"/>
  <c r="E682" i="13"/>
  <c r="G675" i="13"/>
  <c r="F660" i="13"/>
  <c r="L348" i="13"/>
  <c r="L152" i="13" s="1"/>
  <c r="G673" i="13"/>
  <c r="G656" i="13"/>
  <c r="F684" i="13"/>
  <c r="E611" i="13"/>
  <c r="E662" i="13"/>
  <c r="E650" i="13"/>
  <c r="G649" i="13"/>
  <c r="F631" i="13"/>
  <c r="F633" i="13"/>
  <c r="G600" i="13"/>
  <c r="F324" i="13"/>
  <c r="F128" i="13" s="1"/>
  <c r="F668" i="13"/>
  <c r="G660" i="13"/>
  <c r="H602" i="13"/>
  <c r="L176" i="13"/>
  <c r="L371" i="13"/>
  <c r="L175" i="13" s="1"/>
  <c r="G601" i="13"/>
  <c r="D579" i="13"/>
  <c r="G682" i="13"/>
  <c r="H668" i="13"/>
  <c r="G637" i="13"/>
  <c r="G651" i="13"/>
  <c r="I657" i="13"/>
  <c r="N556" i="13"/>
  <c r="N164" i="13"/>
  <c r="K556" i="13"/>
  <c r="K164" i="13"/>
  <c r="E609" i="13"/>
  <c r="I670" i="13"/>
  <c r="F657" i="13"/>
  <c r="F600" i="13"/>
  <c r="F598" i="13"/>
  <c r="L323" i="13"/>
  <c r="L127" i="13" s="1"/>
  <c r="N606" i="13"/>
  <c r="N214" i="13"/>
  <c r="M568" i="13"/>
  <c r="M371" i="13"/>
  <c r="M175" i="13" s="1"/>
  <c r="K606" i="13"/>
  <c r="K214" i="13"/>
  <c r="K545" i="13"/>
  <c r="K348" i="13"/>
  <c r="K152" i="13" s="1"/>
  <c r="O531" i="13"/>
  <c r="O323" i="13"/>
  <c r="N618" i="13"/>
  <c r="N421" i="13"/>
  <c r="N226" i="13"/>
  <c r="L347" i="13"/>
  <c r="L151" i="13" s="1"/>
  <c r="K508" i="13"/>
  <c r="J545" i="13"/>
  <c r="J348" i="13"/>
  <c r="J152" i="13" s="1"/>
  <c r="O677" i="13"/>
  <c r="O285" i="13"/>
  <c r="M556" i="13"/>
  <c r="M348" i="13"/>
  <c r="M152" i="13" s="1"/>
  <c r="L556" i="13"/>
  <c r="I577" i="13"/>
  <c r="I586" i="13"/>
  <c r="N595" i="13"/>
  <c r="N203" i="13"/>
  <c r="N398" i="13"/>
  <c r="N496" i="13" s="1"/>
  <c r="J595" i="13"/>
  <c r="J203" i="13"/>
  <c r="J398" i="13"/>
  <c r="N508" i="13"/>
  <c r="M654" i="13"/>
  <c r="M262" i="13"/>
  <c r="J666" i="13"/>
  <c r="J469" i="13"/>
  <c r="J274" i="13"/>
  <c r="I505" i="13"/>
  <c r="M606" i="13"/>
  <c r="M214" i="13"/>
  <c r="L285" i="13"/>
  <c r="L677" i="13"/>
  <c r="M595" i="13"/>
  <c r="M203" i="13"/>
  <c r="M398" i="13"/>
  <c r="J579" i="13"/>
  <c r="K595" i="13"/>
  <c r="K203" i="13"/>
  <c r="K497" i="13"/>
  <c r="K398" i="13"/>
  <c r="L606" i="13"/>
  <c r="L214" i="13"/>
  <c r="O274" i="13"/>
  <c r="O469" i="13"/>
  <c r="O666" i="13"/>
  <c r="J508" i="13"/>
  <c r="L469" i="13"/>
  <c r="L666" i="13"/>
  <c r="L274" i="13"/>
  <c r="L618" i="13"/>
  <c r="L226" i="13"/>
  <c r="L421" i="13"/>
  <c r="L520" i="13"/>
  <c r="K629" i="13"/>
  <c r="K237" i="13"/>
  <c r="M446" i="13"/>
  <c r="M251" i="13"/>
  <c r="M643" i="13"/>
  <c r="M545" i="13"/>
  <c r="O508" i="13"/>
  <c r="L398" i="13"/>
  <c r="L595" i="13"/>
  <c r="L203" i="13"/>
  <c r="L237" i="13"/>
  <c r="L629" i="13"/>
  <c r="N666" i="13"/>
  <c r="N469" i="13"/>
  <c r="N274" i="13"/>
  <c r="L568" i="13"/>
  <c r="K371" i="13"/>
  <c r="K568" i="13"/>
  <c r="O643" i="13"/>
  <c r="O545" i="13"/>
  <c r="O251" i="13"/>
  <c r="O446" i="13"/>
  <c r="O544" i="13" s="1"/>
  <c r="O568" i="13"/>
  <c r="O371" i="13"/>
  <c r="K531" i="13"/>
  <c r="J371" i="13"/>
  <c r="J175" i="13" s="1"/>
  <c r="J568" i="13"/>
  <c r="L262" i="13"/>
  <c r="L654" i="13"/>
  <c r="K520" i="13"/>
  <c r="K323" i="13"/>
  <c r="K127" i="13" s="1"/>
  <c r="J677" i="13"/>
  <c r="J285" i="13"/>
  <c r="J606" i="13"/>
  <c r="J214" i="13"/>
  <c r="O629" i="13"/>
  <c r="O237" i="13"/>
  <c r="N677" i="13"/>
  <c r="N285" i="13"/>
  <c r="O579" i="13"/>
  <c r="O618" i="13"/>
  <c r="O226" i="13"/>
  <c r="O421" i="13"/>
  <c r="N643" i="13"/>
  <c r="N251" i="13"/>
  <c r="N446" i="13"/>
  <c r="K579" i="13"/>
  <c r="J497" i="13"/>
  <c r="M226" i="13"/>
  <c r="M618" i="13"/>
  <c r="M421" i="13"/>
  <c r="K446" i="13"/>
  <c r="K643" i="13"/>
  <c r="K251" i="13"/>
  <c r="O300" i="13"/>
  <c r="O104" i="13" s="1"/>
  <c r="O497" i="13"/>
  <c r="J629" i="13"/>
  <c r="J237" i="13"/>
  <c r="M323" i="13"/>
  <c r="M127" i="13" s="1"/>
  <c r="J643" i="13"/>
  <c r="J446" i="13"/>
  <c r="J251" i="13"/>
  <c r="K262" i="13"/>
  <c r="K654" i="13"/>
  <c r="N629" i="13"/>
  <c r="N237" i="13"/>
  <c r="M497" i="13"/>
  <c r="M300" i="13"/>
  <c r="M104" i="13" s="1"/>
  <c r="O606" i="13"/>
  <c r="O214" i="13"/>
  <c r="M666" i="13"/>
  <c r="M469" i="13"/>
  <c r="M274" i="13"/>
  <c r="J618" i="13"/>
  <c r="J421" i="13"/>
  <c r="J226" i="13"/>
  <c r="K677" i="13"/>
  <c r="K285" i="13"/>
  <c r="L531" i="13"/>
  <c r="L251" i="13"/>
  <c r="L643" i="13"/>
  <c r="L446" i="13"/>
  <c r="L544" i="13" s="1"/>
  <c r="L545" i="13"/>
  <c r="O595" i="13"/>
  <c r="O203" i="13"/>
  <c r="O398" i="13"/>
  <c r="N654" i="13"/>
  <c r="N262" i="13"/>
  <c r="N323" i="13"/>
  <c r="N127" i="13" s="1"/>
  <c r="N520" i="13"/>
  <c r="N545" i="13"/>
  <c r="N348" i="13"/>
  <c r="N152" i="13" s="1"/>
  <c r="J262" i="13"/>
  <c r="J654" i="13"/>
  <c r="I523" i="13"/>
  <c r="M629" i="13"/>
  <c r="M237" i="13"/>
  <c r="L579" i="13"/>
  <c r="M285" i="13"/>
  <c r="M677" i="13"/>
  <c r="N568" i="13"/>
  <c r="N371" i="13"/>
  <c r="N175" i="13" s="1"/>
  <c r="K469" i="13"/>
  <c r="K666" i="13"/>
  <c r="K274" i="13"/>
  <c r="O262" i="13"/>
  <c r="O654" i="13"/>
  <c r="J520" i="13"/>
  <c r="J323" i="13"/>
  <c r="J127" i="13" s="1"/>
  <c r="K618" i="13"/>
  <c r="K226" i="13"/>
  <c r="K421" i="13"/>
  <c r="I554" i="13"/>
  <c r="I614" i="13"/>
  <c r="I653" i="13"/>
  <c r="I481" i="13"/>
  <c r="I285" i="13" s="1"/>
  <c r="I648" i="13"/>
  <c r="I626" i="13"/>
  <c r="I383" i="13"/>
  <c r="I187" i="13" s="1"/>
  <c r="K104" i="13"/>
  <c r="N104" i="13"/>
  <c r="I499" i="13"/>
  <c r="I565" i="13"/>
  <c r="I581" i="13"/>
  <c r="J104" i="13"/>
  <c r="I633" i="13"/>
  <c r="I660" i="13"/>
  <c r="L104" i="13"/>
  <c r="I578" i="13"/>
  <c r="I6" i="13"/>
  <c r="I564" i="13"/>
  <c r="I529" i="13"/>
  <c r="I651" i="13"/>
  <c r="G187" i="13"/>
  <c r="F596" i="13"/>
  <c r="F399" i="13"/>
  <c r="I675" i="13"/>
  <c r="E663" i="13"/>
  <c r="E600" i="13"/>
  <c r="I662" i="13"/>
  <c r="H633" i="13"/>
  <c r="E603" i="13"/>
  <c r="F572" i="13"/>
  <c r="H653" i="13"/>
  <c r="I458" i="13"/>
  <c r="F533" i="13"/>
  <c r="E660" i="13"/>
  <c r="H539" i="13"/>
  <c r="F53" i="13"/>
  <c r="H687" i="13"/>
  <c r="E605" i="13"/>
  <c r="I625" i="13"/>
  <c r="G571" i="13"/>
  <c r="E673" i="13"/>
  <c r="H550" i="13"/>
  <c r="I620" i="13"/>
  <c r="I682" i="13"/>
  <c r="H6" i="13"/>
  <c r="G532" i="13"/>
  <c r="G335" i="13"/>
  <c r="I602" i="13"/>
  <c r="H560" i="13"/>
  <c r="E680" i="13"/>
  <c r="G635" i="13"/>
  <c r="F661" i="13"/>
  <c r="I540" i="13"/>
  <c r="H656" i="13"/>
  <c r="I498" i="13"/>
  <c r="I301" i="13"/>
  <c r="D153" i="13"/>
  <c r="D348" i="13"/>
  <c r="D545" i="13"/>
  <c r="I650" i="13"/>
  <c r="I572" i="13"/>
  <c r="I559" i="13"/>
  <c r="I54" i="13"/>
  <c r="F530" i="13"/>
  <c r="F605" i="13"/>
  <c r="E360" i="13"/>
  <c r="E561" i="13"/>
  <c r="G575" i="13"/>
  <c r="H516" i="13"/>
  <c r="F685" i="13"/>
  <c r="I77" i="13"/>
  <c r="E584" i="13"/>
  <c r="G570" i="13"/>
  <c r="G301" i="13"/>
  <c r="I566" i="13"/>
  <c r="G685" i="13"/>
  <c r="G546" i="13"/>
  <c r="G349" i="13"/>
  <c r="G53" i="13"/>
  <c r="E661" i="13"/>
  <c r="F621" i="13"/>
  <c r="I658" i="13"/>
  <c r="H570" i="13"/>
  <c r="E529" i="13"/>
  <c r="E521" i="13"/>
  <c r="E324" i="13"/>
  <c r="G566" i="13"/>
  <c r="G525" i="13"/>
  <c r="G312" i="13"/>
  <c r="I627" i="13"/>
  <c r="E581" i="13"/>
  <c r="H532" i="13"/>
  <c r="H335" i="13"/>
  <c r="F312" i="13"/>
  <c r="F645" i="13"/>
  <c r="H540" i="13"/>
  <c r="H481" i="13"/>
  <c r="E527" i="13"/>
  <c r="H312" i="13"/>
  <c r="H509" i="13"/>
  <c r="E447" i="13"/>
  <c r="H610" i="13"/>
  <c r="H662" i="13"/>
  <c r="F635" i="13"/>
  <c r="H559" i="13"/>
  <c r="I671" i="13"/>
  <c r="I573" i="13"/>
  <c r="G661" i="13"/>
  <c r="F548" i="13"/>
  <c r="E664" i="13"/>
  <c r="F534" i="13"/>
  <c r="H571" i="13"/>
  <c r="H608" i="13"/>
  <c r="G551" i="13"/>
  <c r="G605" i="13"/>
  <c r="E499" i="13"/>
  <c r="H498" i="13"/>
  <c r="H301" i="13"/>
  <c r="G597" i="13"/>
  <c r="G399" i="13"/>
  <c r="I547" i="13"/>
  <c r="I349" i="13"/>
  <c r="I470" i="13"/>
  <c r="I667" i="13"/>
  <c r="F658" i="13"/>
  <c r="F626" i="13"/>
  <c r="H635" i="13"/>
  <c r="G470" i="13"/>
  <c r="F500" i="13"/>
  <c r="H458" i="13"/>
  <c r="H655" i="13"/>
  <c r="I645" i="13"/>
  <c r="D285" i="13"/>
  <c r="D677" i="13"/>
  <c r="I550" i="13"/>
  <c r="G621" i="13"/>
  <c r="D398" i="13"/>
  <c r="D496" i="13" s="1"/>
  <c r="D203" i="13"/>
  <c r="D595" i="13"/>
  <c r="E29" i="13"/>
  <c r="D104" i="13"/>
  <c r="I630" i="13"/>
  <c r="I433" i="13"/>
  <c r="E500" i="13"/>
  <c r="F664" i="13"/>
  <c r="G607" i="13"/>
  <c r="G410" i="13"/>
  <c r="I558" i="13"/>
  <c r="H674" i="13"/>
  <c r="E607" i="13"/>
  <c r="E410" i="13"/>
  <c r="F526" i="13"/>
  <c r="I631" i="13"/>
  <c r="H609" i="13"/>
  <c r="D226" i="13"/>
  <c r="D421" i="13"/>
  <c r="D618" i="13"/>
  <c r="I672" i="13"/>
  <c r="I532" i="13"/>
  <c r="I335" i="13"/>
  <c r="E535" i="13"/>
  <c r="E683" i="13"/>
  <c r="I639" i="13"/>
  <c r="I555" i="13"/>
  <c r="G521" i="13"/>
  <c r="G324" i="13"/>
  <c r="E54" i="13"/>
  <c r="E53" i="13" s="1"/>
  <c r="E509" i="13"/>
  <c r="E312" i="13"/>
  <c r="E684" i="13"/>
  <c r="G526" i="13"/>
  <c r="G603" i="13"/>
  <c r="F516" i="13"/>
  <c r="G650" i="13"/>
  <c r="G616" i="13"/>
  <c r="H670" i="13"/>
  <c r="F610" i="13"/>
  <c r="E301" i="13"/>
  <c r="E595" i="13" s="1"/>
  <c r="I553" i="13"/>
  <c r="H639" i="13"/>
  <c r="G630" i="13"/>
  <c r="G433" i="13"/>
  <c r="E616" i="13"/>
  <c r="H582" i="13"/>
  <c r="I562" i="13"/>
  <c r="I29" i="13"/>
  <c r="G612" i="13"/>
  <c r="F682" i="13"/>
  <c r="G539" i="13"/>
  <c r="G604" i="13"/>
  <c r="D508" i="13"/>
  <c r="D116" i="13"/>
  <c r="G574" i="13"/>
  <c r="E536" i="13"/>
  <c r="G422" i="13"/>
  <c r="G619" i="13"/>
  <c r="F574" i="13"/>
  <c r="E622" i="13"/>
  <c r="I621" i="13"/>
  <c r="D556" i="13"/>
  <c r="D164" i="13"/>
  <c r="E648" i="13"/>
  <c r="I615" i="13"/>
  <c r="E335" i="13"/>
  <c r="E564" i="13"/>
  <c r="F570" i="13"/>
  <c r="E621" i="13"/>
  <c r="G670" i="13"/>
  <c r="G686" i="13"/>
  <c r="H612" i="13"/>
  <c r="F504" i="13"/>
  <c r="D568" i="13"/>
  <c r="D176" i="13"/>
  <c r="D371" i="13"/>
  <c r="H528" i="13"/>
  <c r="E383" i="13"/>
  <c r="E580" i="13"/>
  <c r="G625" i="13"/>
  <c r="F502" i="13"/>
  <c r="G687" i="13"/>
  <c r="I684" i="13"/>
  <c r="I447" i="13"/>
  <c r="I634" i="13"/>
  <c r="G555" i="13"/>
  <c r="H54" i="13"/>
  <c r="H53" i="13" s="1"/>
  <c r="I632" i="13"/>
  <c r="F630" i="13"/>
  <c r="F433" i="13"/>
  <c r="D643" i="13"/>
  <c r="D251" i="13"/>
  <c r="D446" i="13"/>
  <c r="I687" i="13"/>
  <c r="F569" i="13"/>
  <c r="F372" i="13"/>
  <c r="F667" i="13"/>
  <c r="H630" i="13"/>
  <c r="H433" i="13"/>
  <c r="H596" i="13"/>
  <c r="H399" i="13"/>
  <c r="E558" i="13"/>
  <c r="D139" i="13"/>
  <c r="D531" i="13"/>
  <c r="F655" i="13"/>
  <c r="F458" i="13"/>
  <c r="H672" i="13"/>
  <c r="E530" i="13"/>
  <c r="E599" i="13"/>
  <c r="D469" i="13"/>
  <c r="D274" i="13"/>
  <c r="D666" i="13"/>
  <c r="I525" i="13"/>
  <c r="D262" i="13"/>
  <c r="D654" i="13"/>
  <c r="I360" i="13"/>
  <c r="F360" i="13"/>
  <c r="F422" i="13"/>
  <c r="G3" i="13"/>
  <c r="I528" i="13"/>
  <c r="H650" i="13"/>
  <c r="E671" i="13"/>
  <c r="F536" i="13"/>
  <c r="E470" i="13"/>
  <c r="H557" i="13"/>
  <c r="H360" i="13"/>
  <c r="G29" i="13"/>
  <c r="F575" i="13"/>
  <c r="I509" i="13"/>
  <c r="I312" i="13"/>
  <c r="E481" i="13"/>
  <c r="E678" i="13"/>
  <c r="D520" i="13"/>
  <c r="D128" i="13"/>
  <c r="D323" i="13"/>
  <c r="H644" i="13"/>
  <c r="H447" i="13"/>
  <c r="D214" i="13"/>
  <c r="D606" i="13"/>
  <c r="G655" i="13"/>
  <c r="G458" i="13"/>
  <c r="E589" i="13"/>
  <c r="H526" i="13"/>
  <c r="G634" i="13"/>
  <c r="H621" i="13"/>
  <c r="I663" i="13"/>
  <c r="I603" i="13"/>
  <c r="I619" i="13"/>
  <c r="I422" i="13"/>
  <c r="E651" i="13"/>
  <c r="G481" i="13"/>
  <c r="F580" i="13"/>
  <c r="F383" i="13"/>
  <c r="G658" i="13"/>
  <c r="F607" i="13"/>
  <c r="F410" i="13"/>
  <c r="F586" i="13"/>
  <c r="H383" i="13"/>
  <c r="H569" i="13"/>
  <c r="H372" i="13"/>
  <c r="E649" i="13"/>
  <c r="I515" i="13"/>
  <c r="I571" i="13"/>
  <c r="E539" i="13"/>
  <c r="E604" i="13"/>
  <c r="E619" i="13"/>
  <c r="E422" i="13"/>
  <c r="I676" i="13"/>
  <c r="H619" i="13"/>
  <c r="H422" i="13"/>
  <c r="E511" i="13"/>
  <c r="I324" i="13"/>
  <c r="H645" i="13"/>
  <c r="G613" i="13"/>
  <c r="H577" i="13"/>
  <c r="H659" i="13"/>
  <c r="I604" i="13"/>
  <c r="H646" i="13"/>
  <c r="E570" i="13"/>
  <c r="E372" i="13"/>
  <c r="H522" i="13"/>
  <c r="I372" i="13"/>
  <c r="F687" i="13"/>
  <c r="H600" i="13"/>
  <c r="E538" i="13"/>
  <c r="E675" i="13"/>
  <c r="E587" i="13"/>
  <c r="F335" i="13"/>
  <c r="F323" i="13" s="1"/>
  <c r="E433" i="13"/>
  <c r="G652" i="13"/>
  <c r="H349" i="13"/>
  <c r="H546" i="13"/>
  <c r="G662" i="13"/>
  <c r="I605" i="13"/>
  <c r="G557" i="13"/>
  <c r="G360" i="13"/>
  <c r="E672" i="13"/>
  <c r="F680" i="13"/>
  <c r="F656" i="13"/>
  <c r="G648" i="13"/>
  <c r="G577" i="13"/>
  <c r="H625" i="13"/>
  <c r="I511" i="13"/>
  <c r="F659" i="13"/>
  <c r="F470" i="13"/>
  <c r="G615" i="13"/>
  <c r="G503" i="13"/>
  <c r="H410" i="13"/>
  <c r="F678" i="13"/>
  <c r="F481" i="13"/>
  <c r="G447" i="13"/>
  <c r="H470" i="13"/>
  <c r="H667" i="13"/>
  <c r="F546" i="13"/>
  <c r="F349" i="13"/>
  <c r="F498" i="13"/>
  <c r="F301" i="13"/>
  <c r="G569" i="13"/>
  <c r="G372" i="13"/>
  <c r="H536" i="13"/>
  <c r="H521" i="13"/>
  <c r="H324" i="13"/>
  <c r="G636" i="13"/>
  <c r="E513" i="13"/>
  <c r="F559" i="13"/>
  <c r="F447" i="13"/>
  <c r="I501" i="13"/>
  <c r="H534" i="13"/>
  <c r="I569" i="13"/>
  <c r="I607" i="13"/>
  <c r="I410" i="13"/>
  <c r="G584" i="13"/>
  <c r="G499" i="13"/>
  <c r="E554" i="13"/>
  <c r="E658" i="13"/>
  <c r="H682" i="13"/>
  <c r="F532" i="13"/>
  <c r="I597" i="13"/>
  <c r="I399" i="13"/>
  <c r="G502" i="13"/>
  <c r="E349" i="13"/>
  <c r="E458" i="13"/>
  <c r="L519" i="13" l="1"/>
  <c r="J496" i="13"/>
  <c r="F520" i="13"/>
  <c r="E203" i="13"/>
  <c r="O567" i="13"/>
  <c r="O175" i="13"/>
  <c r="J299" i="13"/>
  <c r="O519" i="13"/>
  <c r="O127" i="13"/>
  <c r="N299" i="13"/>
  <c r="N103" i="13" s="1"/>
  <c r="O347" i="13"/>
  <c r="O151" i="13" s="1"/>
  <c r="K567" i="13"/>
  <c r="K175" i="13"/>
  <c r="L299" i="13"/>
  <c r="L103" i="13" s="1"/>
  <c r="L297" i="13"/>
  <c r="E3" i="13"/>
  <c r="K250" i="13"/>
  <c r="K445" i="13"/>
  <c r="K642" i="13"/>
  <c r="N617" i="13"/>
  <c r="N225" i="13"/>
  <c r="K347" i="13"/>
  <c r="K544" i="13"/>
  <c r="N567" i="13"/>
  <c r="M250" i="13"/>
  <c r="M642" i="13"/>
  <c r="M445" i="13"/>
  <c r="O665" i="13"/>
  <c r="O273" i="13"/>
  <c r="L397" i="13"/>
  <c r="L594" i="13"/>
  <c r="L202" i="13"/>
  <c r="L496" i="13"/>
  <c r="L273" i="13"/>
  <c r="L665" i="13"/>
  <c r="L567" i="13"/>
  <c r="M617" i="13"/>
  <c r="M225" i="13"/>
  <c r="N544" i="13"/>
  <c r="N347" i="13"/>
  <c r="N151" i="13" s="1"/>
  <c r="J273" i="13"/>
  <c r="J665" i="13"/>
  <c r="M202" i="13"/>
  <c r="M397" i="13"/>
  <c r="M594" i="13"/>
  <c r="M519" i="13"/>
  <c r="N642" i="13"/>
  <c r="N445" i="13"/>
  <c r="N250" i="13"/>
  <c r="J544" i="13"/>
  <c r="J347" i="13"/>
  <c r="J151" i="13" s="1"/>
  <c r="N594" i="13"/>
  <c r="N397" i="13"/>
  <c r="N202" i="13"/>
  <c r="N519" i="13"/>
  <c r="O496" i="13"/>
  <c r="O299" i="13"/>
  <c r="O103" i="13" s="1"/>
  <c r="K519" i="13"/>
  <c r="K299" i="13"/>
  <c r="O202" i="13"/>
  <c r="O397" i="13"/>
  <c r="O594" i="13"/>
  <c r="J617" i="13"/>
  <c r="J225" i="13"/>
  <c r="J567" i="13"/>
  <c r="J642" i="13"/>
  <c r="J250" i="13"/>
  <c r="J445" i="13"/>
  <c r="N665" i="13"/>
  <c r="N273" i="13"/>
  <c r="K665" i="13"/>
  <c r="K273" i="13"/>
  <c r="I579" i="13"/>
  <c r="K225" i="13"/>
  <c r="K617" i="13"/>
  <c r="M496" i="13"/>
  <c r="M299" i="13"/>
  <c r="M103" i="13" s="1"/>
  <c r="O617" i="13"/>
  <c r="O225" i="13"/>
  <c r="L617" i="13"/>
  <c r="L225" i="13"/>
  <c r="K397" i="13"/>
  <c r="K594" i="13"/>
  <c r="K202" i="13"/>
  <c r="K496" i="13"/>
  <c r="M347" i="13"/>
  <c r="M151" i="13" s="1"/>
  <c r="M544" i="13"/>
  <c r="M665" i="13"/>
  <c r="M273" i="13"/>
  <c r="J397" i="13"/>
  <c r="J594" i="13"/>
  <c r="J202" i="13"/>
  <c r="L445" i="13"/>
  <c r="L250" i="13"/>
  <c r="L642" i="13"/>
  <c r="O445" i="13"/>
  <c r="O250" i="13"/>
  <c r="O642" i="13"/>
  <c r="M567" i="13"/>
  <c r="J519" i="13"/>
  <c r="N3" i="13"/>
  <c r="L3" i="13"/>
  <c r="O3" i="13"/>
  <c r="J3" i="13"/>
  <c r="J103" i="13"/>
  <c r="I677" i="13"/>
  <c r="K3" i="13"/>
  <c r="M3" i="13"/>
  <c r="F127" i="13"/>
  <c r="E568" i="13"/>
  <c r="E371" i="13"/>
  <c r="E176" i="13"/>
  <c r="F446" i="13"/>
  <c r="F643" i="13"/>
  <c r="F251" i="13"/>
  <c r="H654" i="13"/>
  <c r="H262" i="13"/>
  <c r="H497" i="13"/>
  <c r="H300" i="13"/>
  <c r="H105" i="13"/>
  <c r="F508" i="13"/>
  <c r="F116" i="13"/>
  <c r="E606" i="13"/>
  <c r="E214" i="13"/>
  <c r="D544" i="13"/>
  <c r="D347" i="13"/>
  <c r="D151" i="13" s="1"/>
  <c r="D152" i="13"/>
  <c r="G421" i="13"/>
  <c r="G618" i="13"/>
  <c r="G226" i="13"/>
  <c r="G606" i="13"/>
  <c r="G214" i="13"/>
  <c r="E643" i="13"/>
  <c r="E251" i="13"/>
  <c r="E446" i="13"/>
  <c r="G508" i="13"/>
  <c r="G116" i="13"/>
  <c r="E556" i="13"/>
  <c r="E164" i="13"/>
  <c r="I497" i="13"/>
  <c r="I105" i="13"/>
  <c r="I300" i="13"/>
  <c r="E421" i="13"/>
  <c r="E618" i="13"/>
  <c r="E226" i="13"/>
  <c r="G654" i="13"/>
  <c r="G262" i="13"/>
  <c r="F531" i="13"/>
  <c r="F139" i="13"/>
  <c r="D397" i="13"/>
  <c r="D202" i="13"/>
  <c r="D594" i="13"/>
  <c r="G531" i="13"/>
  <c r="G139" i="13"/>
  <c r="F3" i="13"/>
  <c r="I421" i="13"/>
  <c r="I618" i="13"/>
  <c r="I226" i="13"/>
  <c r="G629" i="13"/>
  <c r="G237" i="13"/>
  <c r="H3" i="13"/>
  <c r="I595" i="13"/>
  <c r="I398" i="13"/>
  <c r="I203" i="13"/>
  <c r="F606" i="13"/>
  <c r="F214" i="13"/>
  <c r="H139" i="13"/>
  <c r="H531" i="13"/>
  <c r="H545" i="13"/>
  <c r="H153" i="13"/>
  <c r="H348" i="13"/>
  <c r="F568" i="13"/>
  <c r="F371" i="13"/>
  <c r="F176" i="13"/>
  <c r="E677" i="13"/>
  <c r="E285" i="13"/>
  <c r="F421" i="13"/>
  <c r="F519" i="13" s="1"/>
  <c r="F226" i="13"/>
  <c r="F618" i="13"/>
  <c r="F556" i="13"/>
  <c r="F164" i="13"/>
  <c r="F677" i="13"/>
  <c r="F285" i="13"/>
  <c r="G677" i="13"/>
  <c r="G285" i="13"/>
  <c r="I139" i="13"/>
  <c r="I531" i="13"/>
  <c r="H556" i="13"/>
  <c r="H164" i="13"/>
  <c r="H606" i="13"/>
  <c r="H214" i="13"/>
  <c r="G568" i="13"/>
  <c r="G371" i="13"/>
  <c r="G176" i="13"/>
  <c r="G556" i="13"/>
  <c r="G164" i="13"/>
  <c r="I520" i="13"/>
  <c r="I128" i="13"/>
  <c r="I323" i="13"/>
  <c r="E274" i="13"/>
  <c r="E666" i="13"/>
  <c r="E469" i="13"/>
  <c r="E508" i="13"/>
  <c r="E116" i="13"/>
  <c r="I654" i="13"/>
  <c r="I262" i="13"/>
  <c r="E654" i="13"/>
  <c r="E262" i="13"/>
  <c r="D299" i="13"/>
  <c r="D127" i="13"/>
  <c r="D519" i="13"/>
  <c r="E579" i="13"/>
  <c r="E187" i="13"/>
  <c r="I545" i="13"/>
  <c r="I348" i="13"/>
  <c r="I153" i="13"/>
  <c r="G497" i="13"/>
  <c r="G300" i="13"/>
  <c r="G105" i="13"/>
  <c r="E545" i="13"/>
  <c r="E153" i="13"/>
  <c r="E348" i="13"/>
  <c r="I568" i="13"/>
  <c r="I176" i="13"/>
  <c r="I371" i="13"/>
  <c r="H595" i="13"/>
  <c r="H398" i="13"/>
  <c r="H203" i="13"/>
  <c r="I629" i="13"/>
  <c r="I237" i="13"/>
  <c r="H677" i="13"/>
  <c r="H285" i="13"/>
  <c r="F545" i="13"/>
  <c r="F348" i="13"/>
  <c r="F153" i="13"/>
  <c r="H237" i="13"/>
  <c r="H629" i="13"/>
  <c r="I508" i="13"/>
  <c r="I116" i="13"/>
  <c r="E202" i="13"/>
  <c r="H666" i="13"/>
  <c r="H274" i="13"/>
  <c r="H469" i="13"/>
  <c r="E629" i="13"/>
  <c r="E237" i="13"/>
  <c r="F579" i="13"/>
  <c r="F187" i="13"/>
  <c r="I643" i="13"/>
  <c r="I446" i="13"/>
  <c r="I251" i="13"/>
  <c r="G666" i="13"/>
  <c r="G274" i="13"/>
  <c r="G469" i="13"/>
  <c r="G446" i="13"/>
  <c r="G643" i="13"/>
  <c r="G251" i="13"/>
  <c r="I164" i="13"/>
  <c r="I556" i="13"/>
  <c r="H520" i="13"/>
  <c r="H128" i="13"/>
  <c r="H323" i="13"/>
  <c r="F654" i="13"/>
  <c r="F262" i="13"/>
  <c r="G545" i="13"/>
  <c r="G348" i="13"/>
  <c r="G153" i="13"/>
  <c r="D250" i="13"/>
  <c r="D445" i="13"/>
  <c r="D642" i="13"/>
  <c r="H446" i="13"/>
  <c r="H251" i="13"/>
  <c r="H643" i="13"/>
  <c r="I606" i="13"/>
  <c r="I214" i="13"/>
  <c r="H371" i="13"/>
  <c r="H568" i="13"/>
  <c r="H176" i="13"/>
  <c r="I469" i="13"/>
  <c r="I274" i="13"/>
  <c r="I666" i="13"/>
  <c r="H508" i="13"/>
  <c r="H116" i="13"/>
  <c r="F595" i="13"/>
  <c r="F398" i="13"/>
  <c r="F203" i="13"/>
  <c r="F629" i="13"/>
  <c r="F237" i="13"/>
  <c r="E531" i="13"/>
  <c r="E139" i="13"/>
  <c r="D617" i="13"/>
  <c r="D225" i="13"/>
  <c r="E128" i="13"/>
  <c r="E323" i="13"/>
  <c r="E520" i="13"/>
  <c r="F300" i="13"/>
  <c r="F105" i="13"/>
  <c r="F497" i="13"/>
  <c r="F666" i="13"/>
  <c r="F274" i="13"/>
  <c r="F469" i="13"/>
  <c r="H421" i="13"/>
  <c r="H226" i="13"/>
  <c r="H618" i="13"/>
  <c r="H187" i="13"/>
  <c r="H579" i="13"/>
  <c r="D273" i="13"/>
  <c r="D665" i="13"/>
  <c r="D175" i="13"/>
  <c r="D567" i="13"/>
  <c r="E497" i="13"/>
  <c r="E105" i="13"/>
  <c r="E300" i="13"/>
  <c r="G520" i="13"/>
  <c r="G128" i="13"/>
  <c r="G323" i="13"/>
  <c r="G398" i="13"/>
  <c r="G203" i="13"/>
  <c r="G595" i="13"/>
  <c r="I53" i="13"/>
  <c r="G579" i="13"/>
  <c r="J495" i="13" l="1"/>
  <c r="L101" i="13"/>
  <c r="O543" i="13"/>
  <c r="N495" i="13"/>
  <c r="K543" i="13"/>
  <c r="K151" i="13"/>
  <c r="J297" i="13"/>
  <c r="N297" i="13"/>
  <c r="I3" i="13"/>
  <c r="N641" i="13"/>
  <c r="N249" i="13"/>
  <c r="K297" i="13"/>
  <c r="K101" i="13" s="1"/>
  <c r="K495" i="13"/>
  <c r="O495" i="13"/>
  <c r="O297" i="13"/>
  <c r="O101" i="13" s="1"/>
  <c r="K201" i="13"/>
  <c r="K593" i="13"/>
  <c r="K395" i="13"/>
  <c r="M641" i="13"/>
  <c r="M249" i="13"/>
  <c r="L249" i="13"/>
  <c r="L641" i="13"/>
  <c r="N101" i="13"/>
  <c r="J641" i="13"/>
  <c r="J249" i="13"/>
  <c r="M495" i="13"/>
  <c r="M297" i="13"/>
  <c r="K103" i="13"/>
  <c r="M543" i="13"/>
  <c r="N593" i="13"/>
  <c r="N395" i="13"/>
  <c r="N201" i="13"/>
  <c r="J101" i="13"/>
  <c r="N543" i="13"/>
  <c r="L395" i="13"/>
  <c r="L593" i="13"/>
  <c r="L201" i="13"/>
  <c r="L495" i="13"/>
  <c r="K641" i="13"/>
  <c r="K249" i="13"/>
  <c r="L543" i="13"/>
  <c r="J593" i="13"/>
  <c r="J201" i="13"/>
  <c r="J395" i="13"/>
  <c r="J493" i="13" s="1"/>
  <c r="M593" i="13"/>
  <c r="M395" i="13"/>
  <c r="M201" i="13"/>
  <c r="O641" i="13"/>
  <c r="O249" i="13"/>
  <c r="O395" i="13"/>
  <c r="O593" i="13"/>
  <c r="O201" i="13"/>
  <c r="J543" i="13"/>
  <c r="I594" i="13"/>
  <c r="I397" i="13"/>
  <c r="I202" i="13"/>
  <c r="F544" i="13"/>
  <c r="F152" i="13"/>
  <c r="F347" i="13"/>
  <c r="F151" i="13" s="1"/>
  <c r="D543" i="13"/>
  <c r="E617" i="13"/>
  <c r="E225" i="13"/>
  <c r="D593" i="13"/>
  <c r="D201" i="13"/>
  <c r="D395" i="13"/>
  <c r="E397" i="13"/>
  <c r="E642" i="13"/>
  <c r="E445" i="13"/>
  <c r="E250" i="13"/>
  <c r="E567" i="13"/>
  <c r="E175" i="13"/>
  <c r="F397" i="13"/>
  <c r="F594" i="13"/>
  <c r="F202" i="13"/>
  <c r="I496" i="13"/>
  <c r="I104" i="13"/>
  <c r="I299" i="13"/>
  <c r="I127" i="13"/>
  <c r="I519" i="13"/>
  <c r="G617" i="13"/>
  <c r="G225" i="13"/>
  <c r="H665" i="13"/>
  <c r="H273" i="13"/>
  <c r="E665" i="13"/>
  <c r="E273" i="13"/>
  <c r="H104" i="13"/>
  <c r="H496" i="13"/>
  <c r="H299" i="13"/>
  <c r="F496" i="13"/>
  <c r="F104" i="13"/>
  <c r="F299" i="13"/>
  <c r="H642" i="13"/>
  <c r="H250" i="13"/>
  <c r="H445" i="13"/>
  <c r="G642" i="13"/>
  <c r="G445" i="13"/>
  <c r="G250" i="13"/>
  <c r="H544" i="13"/>
  <c r="H347" i="13"/>
  <c r="H151" i="13" s="1"/>
  <c r="H152" i="13"/>
  <c r="F273" i="13"/>
  <c r="F665" i="13"/>
  <c r="G496" i="13"/>
  <c r="G104" i="13"/>
  <c r="G299" i="13"/>
  <c r="G567" i="13"/>
  <c r="G175" i="13"/>
  <c r="I567" i="13"/>
  <c r="I175" i="13"/>
  <c r="F617" i="13"/>
  <c r="F225" i="13"/>
  <c r="E127" i="13"/>
  <c r="E519" i="13"/>
  <c r="G594" i="13"/>
  <c r="G397" i="13"/>
  <c r="G202" i="13"/>
  <c r="D641" i="13"/>
  <c r="D249" i="13"/>
  <c r="E347" i="13"/>
  <c r="E151" i="13" s="1"/>
  <c r="E544" i="13"/>
  <c r="E152" i="13"/>
  <c r="G519" i="13"/>
  <c r="G127" i="13"/>
  <c r="D297" i="13"/>
  <c r="D495" i="13"/>
  <c r="D103" i="13"/>
  <c r="F567" i="13"/>
  <c r="F175" i="13"/>
  <c r="I665" i="13"/>
  <c r="I273" i="13"/>
  <c r="F642" i="13"/>
  <c r="F250" i="13"/>
  <c r="F445" i="13"/>
  <c r="H617" i="13"/>
  <c r="H225" i="13"/>
  <c r="G544" i="13"/>
  <c r="G347" i="13"/>
  <c r="G151" i="13" s="1"/>
  <c r="G152" i="13"/>
  <c r="G273" i="13"/>
  <c r="G665" i="13"/>
  <c r="E299" i="13"/>
  <c r="E496" i="13"/>
  <c r="E104" i="13"/>
  <c r="H175" i="13"/>
  <c r="H567" i="13"/>
  <c r="E594" i="13"/>
  <c r="I617" i="13"/>
  <c r="I225" i="13"/>
  <c r="H127" i="13"/>
  <c r="H519" i="13"/>
  <c r="I445" i="13"/>
  <c r="I642" i="13"/>
  <c r="I250" i="13"/>
  <c r="H594" i="13"/>
  <c r="H397" i="13"/>
  <c r="H202" i="13"/>
  <c r="I544" i="13"/>
  <c r="I347" i="13"/>
  <c r="I151" i="13" s="1"/>
  <c r="I152" i="13"/>
  <c r="M493" i="13" l="1"/>
  <c r="N493" i="13"/>
  <c r="O493" i="13"/>
  <c r="K199" i="13"/>
  <c r="K591" i="13"/>
  <c r="L591" i="13"/>
  <c r="L199" i="13"/>
  <c r="L493" i="13"/>
  <c r="O591" i="13"/>
  <c r="O199" i="13"/>
  <c r="M591" i="13"/>
  <c r="M199" i="13"/>
  <c r="M101" i="13"/>
  <c r="J199" i="13"/>
  <c r="J591" i="13"/>
  <c r="K493" i="13"/>
  <c r="N591" i="13"/>
  <c r="N199" i="13"/>
  <c r="H543" i="13"/>
  <c r="I543" i="13"/>
  <c r="F593" i="13"/>
  <c r="F395" i="13"/>
  <c r="F201" i="13"/>
  <c r="H201" i="13"/>
  <c r="H593" i="13"/>
  <c r="H395" i="13"/>
  <c r="E543" i="13"/>
  <c r="H641" i="13"/>
  <c r="H249" i="13"/>
  <c r="E495" i="13"/>
  <c r="E297" i="13"/>
  <c r="E103" i="13"/>
  <c r="E641" i="13"/>
  <c r="E249" i="13"/>
  <c r="I641" i="13"/>
  <c r="I249" i="13"/>
  <c r="D101" i="13"/>
  <c r="D493" i="13"/>
  <c r="H297" i="13"/>
  <c r="H495" i="13"/>
  <c r="H103" i="13"/>
  <c r="F249" i="13"/>
  <c r="F641" i="13"/>
  <c r="G641" i="13"/>
  <c r="G249" i="13"/>
  <c r="F543" i="13"/>
  <c r="G495" i="13"/>
  <c r="G297" i="13"/>
  <c r="G103" i="13"/>
  <c r="G593" i="13"/>
  <c r="G201" i="13"/>
  <c r="G395" i="13"/>
  <c r="F297" i="13"/>
  <c r="F495" i="13"/>
  <c r="F103" i="13"/>
  <c r="E593" i="13"/>
  <c r="E395" i="13"/>
  <c r="E201" i="13"/>
  <c r="I593" i="13"/>
  <c r="I201" i="13"/>
  <c r="I395" i="13"/>
  <c r="G543" i="13"/>
  <c r="I297" i="13"/>
  <c r="I495" i="13"/>
  <c r="I103" i="13"/>
  <c r="D199" i="13"/>
  <c r="D591" i="13"/>
  <c r="H493" i="13" l="1"/>
  <c r="H101" i="13"/>
  <c r="I591" i="13"/>
  <c r="I199" i="13"/>
  <c r="G493" i="13"/>
  <c r="G101" i="13"/>
  <c r="H591" i="13"/>
  <c r="H199" i="13"/>
  <c r="E199" i="13"/>
  <c r="E591" i="13"/>
  <c r="F591" i="13"/>
  <c r="F199" i="13"/>
  <c r="E493" i="13"/>
  <c r="E101" i="13"/>
  <c r="F493" i="13"/>
  <c r="F101" i="13"/>
  <c r="I493" i="13"/>
  <c r="I101" i="13"/>
  <c r="G591" i="13"/>
  <c r="G199" i="13"/>
</calcChain>
</file>

<file path=xl/sharedStrings.xml><?xml version="1.0" encoding="utf-8"?>
<sst xmlns="http://schemas.openxmlformats.org/spreadsheetml/2006/main" count="1178" uniqueCount="68">
  <si>
    <t>Домашнее задание №1</t>
  </si>
  <si>
    <t>Описание</t>
  </si>
  <si>
    <t>Компания осуществляет продажи кормов для домашних животных</t>
  </si>
  <si>
    <t>Продукция компании:</t>
  </si>
  <si>
    <t>По видам животных: собаки и кошки</t>
  </si>
  <si>
    <t>По сегментам: эконом и премиум</t>
  </si>
  <si>
    <t>По каналам продаж: онлайн и офлайн</t>
  </si>
  <si>
    <t>Всего 80 продуктов (по 10 каждого типа)</t>
  </si>
  <si>
    <t>На листах приведены следующие данные:</t>
  </si>
  <si>
    <t>1. Объем продаж (тонн)</t>
  </si>
  <si>
    <t>2. Цены реализации - два листа (руб./кг)</t>
  </si>
  <si>
    <t>3. Расходы на единицу товара (руб./кг)</t>
  </si>
  <si>
    <t>Задание</t>
  </si>
  <si>
    <t>Выручка</t>
  </si>
  <si>
    <t>Себестоимость</t>
  </si>
  <si>
    <t>Валовая прибыль (выручка - себестоимость)</t>
  </si>
  <si>
    <t>Валовая маржа (1 - себестоимость/выручка)</t>
  </si>
  <si>
    <t>* На сводном листе должно быть все залинковано на исходные листы</t>
  </si>
  <si>
    <t>* Использовать корректные форматы чисел</t>
  </si>
  <si>
    <t>Hints</t>
  </si>
  <si>
    <t>Не нужно использовать никакие формулы, кроме "СУММ"</t>
  </si>
  <si>
    <t>Продажи тонн</t>
  </si>
  <si>
    <t>Корма для собак</t>
  </si>
  <si>
    <t>Онлайн продажи</t>
  </si>
  <si>
    <t>Эконом сегмент</t>
  </si>
  <si>
    <t>Бренд 1</t>
  </si>
  <si>
    <t>Бренд 2</t>
  </si>
  <si>
    <t>Бренд 3</t>
  </si>
  <si>
    <t>Бренд 4</t>
  </si>
  <si>
    <t>Бренд 5</t>
  </si>
  <si>
    <t>Бренд 6</t>
  </si>
  <si>
    <t>Бренд 7</t>
  </si>
  <si>
    <t>Бренд 8</t>
  </si>
  <si>
    <t>Бренд 9</t>
  </si>
  <si>
    <t>Бренд 10</t>
  </si>
  <si>
    <t>Премиум сегмент</t>
  </si>
  <si>
    <t>Офлайн продажи</t>
  </si>
  <si>
    <t>Корма для кошек</t>
  </si>
  <si>
    <t>Цены</t>
  </si>
  <si>
    <t>Рублей/кило</t>
  </si>
  <si>
    <t>1 полугодие</t>
  </si>
  <si>
    <t>2 полугодие</t>
  </si>
  <si>
    <t>Затраты рублей на 1 кило</t>
  </si>
  <si>
    <t>* Аккуратно все структурировать и сгруппировать, закрепить столбцы/строки</t>
  </si>
  <si>
    <t>Можно ничего не менять на исходных листах</t>
  </si>
  <si>
    <t>* Единообразный формат (заголовки, ссылки, итоги и пр.)</t>
  </si>
  <si>
    <t>2. Рассчитать следующие показатели по каждому продукту и по всем уровням (виды животных, каналы, сегменты) - по месяцам и просуммировать по годам</t>
  </si>
  <si>
    <r>
      <t xml:space="preserve">На всех исходных листах данные идут по порядку и имеют одинаковую структуру - </t>
    </r>
    <r>
      <rPr>
        <b/>
        <sz val="9"/>
        <color theme="1"/>
        <rFont val="Verdana"/>
        <family val="2"/>
        <charset val="204"/>
      </rPr>
      <t>не надо менять порядок!!!</t>
    </r>
  </si>
  <si>
    <r>
      <t xml:space="preserve">1. Свести* все данные (продажи, цены и расходы) </t>
    </r>
    <r>
      <rPr>
        <b/>
        <sz val="9"/>
        <color theme="1"/>
        <rFont val="Verdana"/>
        <family val="2"/>
        <charset val="204"/>
      </rPr>
      <t xml:space="preserve">на лист "Фин.результат" </t>
    </r>
    <r>
      <rPr>
        <sz val="9"/>
        <color theme="1"/>
        <rFont val="Verdana"/>
        <family val="2"/>
        <charset val="204"/>
      </rPr>
      <t>- обязательно, чтобы были ссылки на исходные данные цифры</t>
    </r>
  </si>
  <si>
    <t>Объем продаж, т</t>
  </si>
  <si>
    <t>Цены, руб./кг</t>
  </si>
  <si>
    <t>Расходы, руб./кг</t>
  </si>
  <si>
    <t>Выручка, тыс. руб.</t>
  </si>
  <si>
    <t>Себестоимость, тыс. руб.</t>
  </si>
  <si>
    <t>Валовая прибыль, тыс. руб.</t>
  </si>
  <si>
    <t>Валовая маржа, %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</si>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</sst>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* #,##0\ &quot;₽&quot;_-;\-* #,##0\ &quot;₽&quot;_-;_-* &quot;-&quot;\ &quot;₽&quot;_-;_-@_-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#,##0%;\(#,##0%\);\-"/>
    <numFmt numFmtId="165" formatCode="#,##0;\(#,##0\);\-"/>
    <numFmt numFmtId="166" formatCode="mmmm"/>
  </numFmts>
  <fonts count="32" x14ac:knownFonts="1">
    <font>
      <sz val="9"/>
      <color theme="1"/>
      <name val="Verdana"/>
      <family val="2"/>
      <charset val="204"/>
      <scheme val="minor"/>
    </font>
    <font>
      <sz val="9"/>
      <color theme="1"/>
      <name val="Verdana"/>
      <family val="2"/>
      <charset val="204"/>
      <scheme val="minor"/>
    </font>
    <font>
      <sz val="11"/>
      <color theme="1"/>
      <name val="Verdana"/>
      <family val="2"/>
      <charset val="204"/>
      <scheme val="minor"/>
    </font>
    <font>
      <sz val="18"/>
      <color theme="3"/>
      <name val="Verdana"/>
      <family val="2"/>
      <charset val="204"/>
      <scheme val="major"/>
    </font>
    <font>
      <sz val="9"/>
      <color rgb="FF006100"/>
      <name val="Verdana"/>
      <family val="2"/>
      <charset val="204"/>
      <scheme val="minor"/>
    </font>
    <font>
      <sz val="9"/>
      <color rgb="FF9C0006"/>
      <name val="Verdana"/>
      <family val="2"/>
      <charset val="204"/>
      <scheme val="minor"/>
    </font>
    <font>
      <sz val="9"/>
      <color rgb="FF9C6500"/>
      <name val="Verdana"/>
      <family val="2"/>
      <charset val="204"/>
      <scheme val="minor"/>
    </font>
    <font>
      <b/>
      <sz val="9"/>
      <color rgb="FF3F3F3F"/>
      <name val="Verdana"/>
      <family val="2"/>
      <charset val="204"/>
      <scheme val="minor"/>
    </font>
    <font>
      <b/>
      <sz val="9"/>
      <color rgb="FFFA7D00"/>
      <name val="Verdana"/>
      <family val="2"/>
      <charset val="204"/>
      <scheme val="minor"/>
    </font>
    <font>
      <sz val="9"/>
      <color rgb="FFFA7D00"/>
      <name val="Verdana"/>
      <family val="2"/>
      <charset val="204"/>
      <scheme val="minor"/>
    </font>
    <font>
      <b/>
      <sz val="9"/>
      <color theme="0"/>
      <name val="Verdana"/>
      <family val="2"/>
      <charset val="204"/>
      <scheme val="minor"/>
    </font>
    <font>
      <sz val="9"/>
      <color rgb="FFFF0000"/>
      <name val="Verdana"/>
      <family val="2"/>
      <charset val="204"/>
      <scheme val="minor"/>
    </font>
    <font>
      <i/>
      <sz val="9"/>
      <color rgb="FF7F7F7F"/>
      <name val="Verdana"/>
      <family val="2"/>
      <charset val="204"/>
      <scheme val="minor"/>
    </font>
    <font>
      <b/>
      <sz val="9"/>
      <color theme="1"/>
      <name val="Verdana"/>
      <family val="2"/>
      <charset val="204"/>
      <scheme val="minor"/>
    </font>
    <font>
      <sz val="9"/>
      <color theme="0"/>
      <name val="Verdana"/>
      <family val="2"/>
      <charset val="204"/>
      <scheme val="minor"/>
    </font>
    <font>
      <b/>
      <sz val="9"/>
      <name val="Verdana"/>
      <family val="2"/>
      <charset val="204"/>
      <scheme val="minor"/>
    </font>
    <font>
      <sz val="9"/>
      <color theme="7" tint="-0.499984740745262"/>
      <name val="Verdana"/>
      <family val="2"/>
      <charset val="204"/>
      <scheme val="minor"/>
    </font>
    <font>
      <sz val="9"/>
      <name val="Verdana"/>
      <family val="2"/>
      <charset val="204"/>
      <scheme val="minor"/>
    </font>
    <font>
      <sz val="9"/>
      <color theme="1"/>
      <name val="Verdana"/>
      <family val="2"/>
      <charset val="204"/>
    </font>
    <font>
      <b/>
      <sz val="9"/>
      <color theme="1"/>
      <name val="Verdana"/>
      <family val="2"/>
      <charset val="204"/>
    </font>
    <font>
      <b/>
      <sz val="16"/>
      <color rgb="FF0000FF"/>
      <name val="Verdana"/>
      <family val="2"/>
      <charset val="204"/>
      <scheme val="minor"/>
    </font>
    <font>
      <b/>
      <sz val="12"/>
      <color theme="1"/>
      <name val="Verdana"/>
      <family val="2"/>
      <charset val="204"/>
      <scheme val="minor"/>
    </font>
    <font>
      <b/>
      <i/>
      <u/>
      <sz val="16"/>
      <color rgb="FFFF0000"/>
      <name val="Verdana"/>
      <family val="2"/>
      <charset val="204"/>
      <scheme val="minor"/>
    </font>
    <font>
      <b/>
      <sz val="11"/>
      <color theme="1"/>
      <name val="Verdana"/>
      <family val="2"/>
      <charset val="204"/>
      <scheme val="minor"/>
    </font>
    <font>
      <sz val="8"/>
      <color theme="1"/>
      <name val="Verdana"/>
      <family val="2"/>
      <charset val="204"/>
      <scheme val="minor"/>
    </font>
    <font>
      <sz val="11"/>
      <color theme="2" tint="0.39997558519241921"/>
      <name val="Verdana"/>
      <family val="2"/>
      <charset val="204"/>
      <scheme val="minor"/>
    </font>
    <font>
      <b/>
      <sz val="11"/>
      <name val="Verdana"/>
      <family val="2"/>
      <charset val="204"/>
      <scheme val="minor"/>
    </font>
    <font>
      <sz val="11"/>
      <name val="Verdana"/>
      <family val="2"/>
      <charset val="204"/>
      <scheme val="minor"/>
    </font>
    <font>
      <b/>
      <sz val="14"/>
      <name val="Verdana"/>
      <family val="2"/>
      <charset val="204"/>
      <scheme val="minor"/>
    </font>
    <font>
      <b/>
      <sz val="14"/>
      <color theme="1"/>
      <name val="Verdana"/>
      <family val="2"/>
      <charset val="204"/>
      <scheme val="minor"/>
    </font>
    <font>
      <sz val="11"/>
      <color rgb="FFFF0000"/>
      <name val="Verdana"/>
      <family val="2"/>
      <charset val="204"/>
      <scheme val="minor"/>
    </font>
    <font>
      <sz val="8"/>
      <name val="Verdana"/>
      <family val="2"/>
      <charset val="204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5">
    <xf numFmtId="0" fontId="0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34" borderId="0" applyAlignment="0" applyProtection="0"/>
    <xf numFmtId="0" fontId="10" fillId="35" borderId="0" applyNumberFormat="0" applyAlignment="0" applyProtection="0"/>
    <xf numFmtId="0" fontId="10" fillId="36" borderId="0" applyNumberFormat="0" applyAlignment="0" applyProtection="0"/>
    <xf numFmtId="0" fontId="15" fillId="0" borderId="7" applyNumberFormat="0" applyFill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2" applyNumberFormat="0" applyAlignment="0" applyProtection="0"/>
    <xf numFmtId="0" fontId="8" fillId="5" borderId="1" applyNumberFormat="0" applyAlignment="0" applyProtection="0"/>
    <xf numFmtId="0" fontId="9" fillId="0" borderId="3" applyNumberFormat="0" applyFill="0" applyAlignment="0" applyProtection="0"/>
    <xf numFmtId="0" fontId="10" fillId="6" borderId="4" applyNumberFormat="0" applyAlignment="0" applyProtection="0"/>
    <xf numFmtId="0" fontId="11" fillId="0" borderId="0" applyNumberFormat="0" applyFill="0" applyBorder="0" applyAlignment="0" applyProtection="0"/>
    <xf numFmtId="0" fontId="2" fillId="7" borderId="5" applyNumberFormat="0" applyFont="0" applyAlignment="0" applyProtection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4" fillId="31" borderId="0" applyNumberFormat="0" applyBorder="0" applyAlignment="0" applyProtection="0"/>
    <xf numFmtId="164" fontId="16" fillId="0" borderId="0" applyProtection="0"/>
    <xf numFmtId="165" fontId="1" fillId="0" borderId="0" applyProtection="0"/>
    <xf numFmtId="165" fontId="17" fillId="32" borderId="8" applyProtection="0"/>
    <xf numFmtId="165" fontId="1" fillId="0" borderId="9" applyProtection="0"/>
    <xf numFmtId="165" fontId="1" fillId="0" borderId="8" applyProtection="0"/>
    <xf numFmtId="0" fontId="2" fillId="7" borderId="5" applyNumberFormat="0" applyFont="0" applyAlignment="0" applyProtection="0"/>
    <xf numFmtId="165" fontId="1" fillId="33" borderId="8" applyProtection="0"/>
    <xf numFmtId="14" fontId="1" fillId="0" borderId="0" applyProtection="0"/>
    <xf numFmtId="165" fontId="13" fillId="0" borderId="9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32" borderId="0" xfId="0" applyFill="1" applyAlignment="1">
      <alignment horizontal="center" vertical="top" wrapText="1"/>
    </xf>
    <xf numFmtId="0" fontId="10" fillId="34" borderId="0" xfId="7"/>
    <xf numFmtId="165" fontId="10" fillId="35" borderId="0" xfId="8" applyNumberFormat="1"/>
    <xf numFmtId="0" fontId="1" fillId="0" borderId="0" xfId="0" applyFont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vertical="center" wrapText="1"/>
    </xf>
    <xf numFmtId="0" fontId="20" fillId="37" borderId="0" xfId="0" applyFont="1" applyFill="1"/>
    <xf numFmtId="166" fontId="0" fillId="0" borderId="0" xfId="0" applyNumberFormat="1"/>
    <xf numFmtId="0" fontId="0" fillId="38" borderId="0" xfId="0" applyFill="1"/>
    <xf numFmtId="4" fontId="22" fillId="0" borderId="10" xfId="0" applyNumberFormat="1" applyFont="1" applyBorder="1" applyAlignment="1">
      <alignment vertical="center"/>
    </xf>
    <xf numFmtId="4" fontId="23" fillId="0" borderId="0" xfId="0" applyNumberFormat="1" applyFont="1" applyAlignment="1">
      <alignment vertical="center"/>
    </xf>
    <xf numFmtId="4" fontId="24" fillId="0" borderId="0" xfId="0" applyNumberFormat="1" applyFont="1" applyAlignment="1">
      <alignment vertical="center"/>
    </xf>
    <xf numFmtId="0" fontId="0" fillId="39" borderId="0" xfId="0" applyFill="1"/>
    <xf numFmtId="0" fontId="25" fillId="0" borderId="0" xfId="0" applyFont="1"/>
    <xf numFmtId="0" fontId="0" fillId="37" borderId="0" xfId="0" applyFill="1"/>
    <xf numFmtId="0" fontId="23" fillId="0" borderId="0" xfId="0" applyFont="1"/>
    <xf numFmtId="4" fontId="26" fillId="39" borderId="0" xfId="0" applyNumberFormat="1" applyFont="1" applyFill="1" applyAlignment="1">
      <alignment vertical="center"/>
    </xf>
    <xf numFmtId="4" fontId="26" fillId="0" borderId="10" xfId="0" applyNumberFormat="1" applyFont="1" applyBorder="1" applyAlignment="1">
      <alignment vertical="center"/>
    </xf>
    <xf numFmtId="4" fontId="26" fillId="0" borderId="0" xfId="0" applyNumberFormat="1" applyFont="1" applyAlignment="1">
      <alignment vertical="center"/>
    </xf>
    <xf numFmtId="4" fontId="27" fillId="0" borderId="0" xfId="0" applyNumberFormat="1" applyFont="1" applyAlignment="1">
      <alignment vertical="center"/>
    </xf>
    <xf numFmtId="44" fontId="0" fillId="0" borderId="0" xfId="0" applyNumberFormat="1"/>
    <xf numFmtId="4" fontId="28" fillId="0" borderId="0" xfId="0" applyNumberFormat="1" applyFont="1" applyAlignment="1">
      <alignment vertical="center"/>
    </xf>
    <xf numFmtId="0" fontId="29" fillId="0" borderId="0" xfId="0" applyFont="1"/>
    <xf numFmtId="4" fontId="29" fillId="0" borderId="0" xfId="0" applyNumberFormat="1" applyFont="1"/>
    <xf numFmtId="4" fontId="0" fillId="0" borderId="0" xfId="0" applyNumberFormat="1"/>
    <xf numFmtId="4" fontId="0" fillId="37" borderId="0" xfId="0" applyNumberFormat="1" applyFill="1"/>
    <xf numFmtId="4" fontId="23" fillId="0" borderId="0" xfId="0" applyNumberFormat="1" applyFont="1"/>
    <xf numFmtId="4" fontId="27" fillId="38" borderId="0" xfId="0" applyNumberFormat="1" applyFont="1" applyFill="1" applyAlignment="1">
      <alignment vertical="center"/>
    </xf>
    <xf numFmtId="4" fontId="0" fillId="38" borderId="0" xfId="0" applyNumberFormat="1" applyFill="1"/>
    <xf numFmtId="4" fontId="23" fillId="38" borderId="0" xfId="0" applyNumberFormat="1" applyFont="1" applyFill="1"/>
    <xf numFmtId="4" fontId="30" fillId="0" borderId="0" xfId="0" applyNumberFormat="1" applyFont="1"/>
    <xf numFmtId="4" fontId="0" fillId="41" borderId="0" xfId="0" applyNumberFormat="1" applyFill="1"/>
    <xf numFmtId="4" fontId="21" fillId="0" borderId="0" xfId="0" applyNumberFormat="1" applyFont="1" applyAlignment="1">
      <alignment vertical="center"/>
    </xf>
    <xf numFmtId="0" fontId="0" fillId="0" borderId="0" xfId="0" applyAlignment="1">
      <alignment wrapText="1"/>
    </xf>
    <xf numFmtId="0" fontId="0" fillId="40" borderId="0" xfId="0" applyFill="1" applyAlignment="1">
      <alignment horizontal="center" vertical="top" wrapText="1"/>
    </xf>
    <xf numFmtId="0" fontId="13" fillId="0" borderId="0" xfId="0" applyFont="1"/>
    <xf numFmtId="0" fontId="0" fillId="0" borderId="0" xfId="0" applyFont="1"/>
    <xf numFmtId="10" fontId="0" fillId="0" borderId="0" xfId="0" applyNumberFormat="1"/>
    <xf numFmtId="10" fontId="13" fillId="0" borderId="0" xfId="0" applyNumberFormat="1" applyFont="1"/>
    <xf numFmtId="10" fontId="10" fillId="34" borderId="0" xfId="7" applyNumberFormat="1"/>
    <xf numFmtId="10" fontId="10" fillId="35" borderId="0" xfId="8" applyNumberFormat="1"/>
    <xf numFmtId="1" fontId="10" fillId="34" borderId="0" xfId="7" applyNumberFormat="1"/>
    <xf numFmtId="1" fontId="0" fillId="0" borderId="0" xfId="0" applyNumberFormat="1"/>
    <xf numFmtId="1" fontId="10" fillId="35" borderId="0" xfId="8" applyNumberFormat="1"/>
    <xf numFmtId="1" fontId="13" fillId="0" borderId="0" xfId="0" applyNumberFormat="1" applyFont="1"/>
  </cellXfs>
  <cellStyles count="55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Calculation" xfId="15" builtinId="22" hidden="1"/>
    <cellStyle name="Change" xfId="48" xr:uid="{00000000-0005-0000-0000-000012000000}"/>
    <cellStyle name="Check Cell" xfId="17" builtinId="23" hidden="1"/>
    <cellStyle name="Comma" xfId="1" builtinId="3" hidden="1"/>
    <cellStyle name="Comma [0]" xfId="2" builtinId="6" hidden="1"/>
    <cellStyle name="Comment" xfId="52" xr:uid="{00000000-0005-0000-0000-000013000000}"/>
    <cellStyle name="Currency" xfId="3" builtinId="4" hidden="1"/>
    <cellStyle name="Currency [0]" xfId="4" builtinId="7" hidden="1"/>
    <cellStyle name="Data_Long" xfId="53" xr:uid="{00000000-0005-0000-0000-000014000000}"/>
    <cellStyle name="Explanatory Text" xfId="20" builtinId="53" hidden="1"/>
    <cellStyle name="Good" xfId="11" builtinId="26" hidde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Link_%" xfId="46" xr:uid="{00000000-0005-0000-0000-000016000000}"/>
    <cellStyle name="Linked Cell" xfId="16" builtinId="24" hidden="1"/>
    <cellStyle name="Neutral" xfId="13" builtinId="28" hidden="1"/>
    <cellStyle name="Normal" xfId="0" builtinId="0" customBuiltin="1"/>
    <cellStyle name="Note" xfId="19" builtinId="10" hidden="1"/>
    <cellStyle name="Note" xfId="51" builtinId="10" hidden="1"/>
    <cellStyle name="Num" xfId="47" xr:uid="{00000000-0005-0000-0000-000017000000}"/>
    <cellStyle name="Output" xfId="14" builtinId="21" hidden="1"/>
    <cellStyle name="Percent" xfId="5" hidden="1" xr:uid="{00000000-0005-0000-0000-000018000000}"/>
    <cellStyle name="SubTotal" xfId="49" xr:uid="{00000000-0005-0000-0000-000019000000}"/>
    <cellStyle name="SubTotal Bold" xfId="54" xr:uid="{00000000-0005-0000-0000-00001A000000}"/>
    <cellStyle name="Sum" xfId="50" xr:uid="{00000000-0005-0000-0000-00001B000000}"/>
    <cellStyle name="Title" xfId="6" builtinId="15" hidden="1"/>
    <cellStyle name="Total" xfId="21" hidden="1" xr:uid="{00000000-0005-0000-0000-00001C000000}"/>
    <cellStyle name="Warning Text" xfId="18" builtinId="11" hidden="1"/>
  </cellStyles>
  <dxfs count="0"/>
  <tableStyles count="0" defaultTableStyle="TableStyleMedium2" defaultPivotStyle="PivotStyleLight16"/>
  <colors>
    <mruColors>
      <color rgb="FFFFFF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tsaini/AppData/Local/Temp/Rar$DIa0.090/DUTY%20T2%20Import%20Melamine%2010th%20June%202016.xlsx" TargetMode="External"/><Relationship Id="rId1" Type="http://schemas.openxmlformats.org/officeDocument/2006/relationships/externalLinkPath" Target="/Users/tsaini/AppData/Local/Temp/Rar$DIa0.090/DUTY%20T2%20Import%20Melamine%2010th%20June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 Sheet"/>
      <sheetName val="Chartsv"/>
      <sheetName val="Sheet2"/>
      <sheetName val="Sheet1"/>
      <sheetName val="Output"/>
      <sheetName val="excludesheet"/>
      <sheetName val="autovarouttest"/>
      <sheetName val="autovaroutput"/>
      <sheetName val="autovarinput"/>
      <sheetName val="ssss"/>
      <sheetName val="rawsheet"/>
      <sheetName val="Chartsq"/>
      <sheetName val="Chartsup"/>
      <sheetName val="Index"/>
      <sheetName val="Dashboard"/>
      <sheetName val="Dutydata top15"/>
      <sheetName val="Duty Distribution"/>
      <sheetName val="|Summary|"/>
      <sheetName val="|Comparison|"/>
      <sheetName val="|Price Analysis|"/>
      <sheetName val="|Importer Analysis|"/>
      <sheetName val="IMPORTER|EXPORTER|Relationship|"/>
      <sheetName val="MONTH|SUMMARY||"/>
      <sheetName val="EXPORTER|SUMMARY||"/>
      <sheetName val="EXPORTER|MONTH|AVG COST|"/>
      <sheetName val="EXPORTER|MONTH|VALUE|"/>
      <sheetName val="EXPORTER|QTR|VALUE|"/>
      <sheetName val="EXPORTER|MONTH|QTY|"/>
      <sheetName val="EXPORTER|QTR|QTY|"/>
      <sheetName val="IMPORTER|SUMMARY||"/>
      <sheetName val="IMPORTER|MONTH|AVG COST|"/>
      <sheetName val="IMPORTER|MONTH|VALUE|"/>
      <sheetName val="IMPORTER|QTR|VALUE|"/>
      <sheetName val="IMPORTER|MONTH|QTY|"/>
      <sheetName val="IMPORTER|QTR|QTY|"/>
      <sheetName val="HSCODE|SUMMARY||"/>
      <sheetName val="HSCODE|MONTH|AVG COST|"/>
      <sheetName val="HSCODE|MONTH|VALUE|"/>
      <sheetName val="HSCODE|QTR|VALUE|"/>
      <sheetName val="HSCODE|MONTH|QTY|"/>
      <sheetName val="HSCODE|QTR|QTY|"/>
      <sheetName val="DEST PORT|SUMMARY||"/>
      <sheetName val="DEST PORT|MONTH|AVG COST|"/>
      <sheetName val="DEST PORT|MONTH|VALUE|"/>
      <sheetName val="DEST PORT|QTR|VALUE|"/>
      <sheetName val="DEST PORT|MONTH|QTY|"/>
      <sheetName val="DEST PORT|QTR|QTY|"/>
      <sheetName val="ORIGIN PORT|SUMMARY||"/>
      <sheetName val="ORIGIN PORT|MONTH|AVG COST|"/>
      <sheetName val="ORIGIN PORT|MONTH|VALUE|"/>
      <sheetName val="ORIGIN PORT|QTR|VALUE|"/>
      <sheetName val="ORIGIN PORT|MONTH|QTY|"/>
      <sheetName val="ORIGIN PORT|QTR|QTY|"/>
      <sheetName val="DEST COUNTRY|SUMMARY||"/>
      <sheetName val="DEST COUNTRY|MONTH|AVG COST|"/>
      <sheetName val="DEST COUNTRY|MONTH|VALUE|"/>
      <sheetName val="DEST COUNTRY|QTR|VALUE|"/>
      <sheetName val="DEST COUNTRY|MONTH|QTY|"/>
      <sheetName val="DEST COUNTRY|QTR|QTY|"/>
      <sheetName val="ORIGIN COUNTRY|SUMMARY||"/>
      <sheetName val="ORIGIN COUNTRY|MONTH|AVG COST|"/>
      <sheetName val="ORIGIN COUNTRY|MONTH|VALUE|"/>
      <sheetName val="ORIGIN COUNTRY|QTR|VALUE|"/>
      <sheetName val="ORIGIN COUNTRY|MONTH|QTY|"/>
      <sheetName val="ORIGIN COUNTRY|QTR|QTY|"/>
    </sheetNames>
    <sheetDataSet>
      <sheetData sheetId="0"/>
      <sheetData sheetId="1" refreshError="1">
        <row r="2">
          <cell r="HB2" t="str">
            <v>1|Jan|16</v>
          </cell>
          <cell r="HC2">
            <v>1.34</v>
          </cell>
          <cell r="HD2">
            <v>140000</v>
          </cell>
          <cell r="HF2">
            <v>187449.92</v>
          </cell>
        </row>
        <row r="3">
          <cell r="HB3" t="str">
            <v>2|Jan|16</v>
          </cell>
          <cell r="HC3">
            <v>1.27</v>
          </cell>
          <cell r="HD3">
            <v>639000</v>
          </cell>
          <cell r="HF3">
            <v>809127.41</v>
          </cell>
        </row>
        <row r="4">
          <cell r="HB4" t="str">
            <v>9|Jan|16</v>
          </cell>
          <cell r="HC4">
            <v>1.38</v>
          </cell>
          <cell r="HD4">
            <v>421002</v>
          </cell>
          <cell r="HF4">
            <v>582411.34</v>
          </cell>
        </row>
        <row r="5">
          <cell r="HB5" t="str">
            <v>16|Jan|16</v>
          </cell>
          <cell r="HC5">
            <v>1.1200000000000001</v>
          </cell>
          <cell r="HD5">
            <v>682750</v>
          </cell>
          <cell r="HF5">
            <v>766266.92999999993</v>
          </cell>
        </row>
        <row r="6">
          <cell r="HB6" t="str">
            <v>23|Jan|16</v>
          </cell>
          <cell r="HC6">
            <v>1.31</v>
          </cell>
          <cell r="HD6">
            <v>733000</v>
          </cell>
          <cell r="HF6">
            <v>959538.14</v>
          </cell>
        </row>
        <row r="7">
          <cell r="HB7" t="str">
            <v>30|Jan|16</v>
          </cell>
          <cell r="HC7">
            <v>1.28</v>
          </cell>
          <cell r="HD7">
            <v>412000</v>
          </cell>
          <cell r="HF7">
            <v>527814.39999999991</v>
          </cell>
        </row>
        <row r="8">
          <cell r="HB8" t="str">
            <v>6|Feb|16</v>
          </cell>
          <cell r="HC8">
            <v>1.1100000000000001</v>
          </cell>
          <cell r="HD8">
            <v>492000</v>
          </cell>
          <cell r="HF8">
            <v>544873.47000000009</v>
          </cell>
        </row>
        <row r="9">
          <cell r="HB9" t="str">
            <v>13|Feb|16</v>
          </cell>
          <cell r="HC9">
            <v>1.18</v>
          </cell>
          <cell r="HD9">
            <v>1277282.2</v>
          </cell>
          <cell r="HF9">
            <v>1506300.78</v>
          </cell>
        </row>
        <row r="10">
          <cell r="HB10" t="str">
            <v>20|Feb|16</v>
          </cell>
          <cell r="HC10">
            <v>1.1599999999999999</v>
          </cell>
          <cell r="HD10">
            <v>845000</v>
          </cell>
          <cell r="HF10">
            <v>979451.26000000013</v>
          </cell>
        </row>
        <row r="11">
          <cell r="HB11" t="str">
            <v>27|Feb|16</v>
          </cell>
          <cell r="HC11">
            <v>1.1000000000000001</v>
          </cell>
          <cell r="HD11">
            <v>614625</v>
          </cell>
          <cell r="HF11">
            <v>678570.80999999994</v>
          </cell>
        </row>
        <row r="12">
          <cell r="HB12" t="str">
            <v>5|Mar|16</v>
          </cell>
          <cell r="HC12">
            <v>1.04</v>
          </cell>
          <cell r="HD12">
            <v>637025</v>
          </cell>
          <cell r="HF12">
            <v>664446.79</v>
          </cell>
        </row>
        <row r="13">
          <cell r="HB13" t="str">
            <v>12|Mar|16</v>
          </cell>
          <cell r="HC13">
            <v>1.1200000000000001</v>
          </cell>
          <cell r="HD13">
            <v>1193000</v>
          </cell>
          <cell r="HF13">
            <v>1334921.79</v>
          </cell>
        </row>
        <row r="14">
          <cell r="HB14" t="str">
            <v>19|Mar|16</v>
          </cell>
          <cell r="HC14">
            <v>0.97</v>
          </cell>
          <cell r="HD14">
            <v>615000</v>
          </cell>
          <cell r="HF14">
            <v>595602.57999999996</v>
          </cell>
        </row>
        <row r="15">
          <cell r="HB15" t="str">
            <v>26|Mar|16</v>
          </cell>
          <cell r="HC15">
            <v>1.03</v>
          </cell>
          <cell r="HD15">
            <v>738000</v>
          </cell>
          <cell r="HF15">
            <v>759143.80999999994</v>
          </cell>
        </row>
        <row r="16">
          <cell r="HB16" t="str">
            <v>2|Apr|16</v>
          </cell>
          <cell r="HC16">
            <v>0.99</v>
          </cell>
          <cell r="HD16">
            <v>905251</v>
          </cell>
          <cell r="HF16">
            <v>892975.70000000007</v>
          </cell>
        </row>
        <row r="17">
          <cell r="HB17" t="str">
            <v>9|Apr|16</v>
          </cell>
          <cell r="HC17">
            <v>1.05</v>
          </cell>
          <cell r="HD17">
            <v>882256</v>
          </cell>
          <cell r="HF17">
            <v>923757.29</v>
          </cell>
        </row>
        <row r="18">
          <cell r="HB18" t="str">
            <v>16|Apr|16</v>
          </cell>
          <cell r="HC18">
            <v>1.1399999999999999</v>
          </cell>
          <cell r="HD18">
            <v>527725</v>
          </cell>
          <cell r="HF18">
            <v>600134.37000000011</v>
          </cell>
        </row>
        <row r="19">
          <cell r="HB19" t="str">
            <v>23|Apr|16</v>
          </cell>
          <cell r="HC19">
            <v>1.1499999999999999</v>
          </cell>
          <cell r="HD19">
            <v>1099922.5999999999</v>
          </cell>
          <cell r="HF19">
            <v>1261942.5200000003</v>
          </cell>
        </row>
        <row r="20">
          <cell r="HB20" t="str">
            <v>30|Apr|16</v>
          </cell>
          <cell r="HC20">
            <v>1.07</v>
          </cell>
          <cell r="HD20">
            <v>612152.0005024001</v>
          </cell>
          <cell r="HF20">
            <v>655864.6399999999</v>
          </cell>
        </row>
        <row r="21">
          <cell r="HB21" t="str">
            <v>7|May|16</v>
          </cell>
          <cell r="HC21">
            <v>1.03</v>
          </cell>
          <cell r="HD21">
            <v>256000.00099999999</v>
          </cell>
          <cell r="HF21">
            <v>263843.15000000002</v>
          </cell>
        </row>
        <row r="22">
          <cell r="HB22" t="str">
            <v>14|May|16</v>
          </cell>
          <cell r="HC22">
            <v>1.17</v>
          </cell>
          <cell r="HD22">
            <v>929500.00075000001</v>
          </cell>
          <cell r="HF22">
            <v>1088763.4500000002</v>
          </cell>
        </row>
        <row r="23">
          <cell r="HB23" t="str">
            <v>21|May|16</v>
          </cell>
          <cell r="HC23">
            <v>0.98</v>
          </cell>
          <cell r="HD23">
            <v>987919.4</v>
          </cell>
          <cell r="HF23">
            <v>970205.03</v>
          </cell>
        </row>
        <row r="24">
          <cell r="HB24" t="str">
            <v>31|May|16</v>
          </cell>
          <cell r="HC24">
            <v>1.1299999999999999</v>
          </cell>
          <cell r="HD24">
            <v>268000</v>
          </cell>
          <cell r="HF24">
            <v>303935.42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theme/theme1.xml><?xml version="1.0" encoding="utf-8"?>
<a:theme xmlns:a="http://schemas.openxmlformats.org/drawingml/2006/main" name="SP_NEW_2022">
  <a:themeElements>
    <a:clrScheme name="SP_2024">
      <a:dk1>
        <a:srgbClr val="000000"/>
      </a:dk1>
      <a:lt1>
        <a:sysClr val="window" lastClr="FFFFFF"/>
      </a:lt1>
      <a:dk2>
        <a:srgbClr val="C7E0F9"/>
      </a:dk2>
      <a:lt2>
        <a:srgbClr val="504898"/>
      </a:lt2>
      <a:accent1>
        <a:srgbClr val="02CAD4"/>
      </a:accent1>
      <a:accent2>
        <a:srgbClr val="2386E9"/>
      </a:accent2>
      <a:accent3>
        <a:srgbClr val="9AF7FF"/>
      </a:accent3>
      <a:accent4>
        <a:srgbClr val="8E93FE"/>
      </a:accent4>
      <a:accent5>
        <a:srgbClr val="235079"/>
      </a:accent5>
      <a:accent6>
        <a:srgbClr val="1084A9"/>
      </a:accent6>
      <a:hlink>
        <a:srgbClr val="2386E9"/>
      </a:hlink>
      <a:folHlink>
        <a:srgbClr val="1264B6"/>
      </a:folHlink>
    </a:clrScheme>
    <a:fontScheme name="SPG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P_NEW_2022" id="{8C8C5FAD-9B1A-447C-9440-AEA693283D9F}" vid="{D6ADA74F-404A-4FF3-BF44-7D84F70A833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0.79998168889431442"/>
  </sheetPr>
  <dimension ref="A2:H35"/>
  <sheetViews>
    <sheetView showGridLines="0" zoomScaleNormal="100" workbookViewId="0">
      <selection activeCell="B4" sqref="B4"/>
    </sheetView>
  </sheetViews>
  <sheetFormatPr defaultColWidth="0" defaultRowHeight="11.4" x14ac:dyDescent="0.2"/>
  <cols>
    <col min="1" max="1" width="5.59765625" style="5" customWidth="1"/>
    <col min="2" max="2" width="10.59765625" style="5" customWidth="1"/>
    <col min="3" max="3" width="72.5" style="5" customWidth="1"/>
    <col min="4" max="4" width="5.59765625" style="5" customWidth="1"/>
    <col min="5" max="8" width="0" style="5" hidden="1" customWidth="1"/>
    <col min="9" max="16384" width="11" style="5" hidden="1"/>
  </cols>
  <sheetData>
    <row r="2" spans="2:4" x14ac:dyDescent="0.2">
      <c r="B2" s="3" t="s">
        <v>0</v>
      </c>
      <c r="C2" s="3"/>
    </row>
    <row r="4" spans="2:4" x14ac:dyDescent="0.2">
      <c r="B4" s="4" t="s">
        <v>1</v>
      </c>
      <c r="C4" s="4"/>
    </row>
    <row r="5" spans="2:4" x14ac:dyDescent="0.2">
      <c r="C5" s="5" t="s">
        <v>2</v>
      </c>
    </row>
    <row r="7" spans="2:4" x14ac:dyDescent="0.2">
      <c r="C7" s="5" t="s">
        <v>3</v>
      </c>
    </row>
    <row r="8" spans="2:4" x14ac:dyDescent="0.2">
      <c r="C8" s="6" t="s">
        <v>4</v>
      </c>
    </row>
    <row r="9" spans="2:4" x14ac:dyDescent="0.2">
      <c r="C9" s="6" t="s">
        <v>6</v>
      </c>
      <c r="D9" s="6"/>
    </row>
    <row r="10" spans="2:4" x14ac:dyDescent="0.2">
      <c r="C10" s="6" t="s">
        <v>5</v>
      </c>
    </row>
    <row r="11" spans="2:4" x14ac:dyDescent="0.2">
      <c r="C11" s="5" t="s">
        <v>7</v>
      </c>
    </row>
    <row r="13" spans="2:4" x14ac:dyDescent="0.2">
      <c r="C13" s="5" t="s">
        <v>8</v>
      </c>
    </row>
    <row r="14" spans="2:4" x14ac:dyDescent="0.2">
      <c r="C14" s="5" t="s">
        <v>9</v>
      </c>
    </row>
    <row r="15" spans="2:4" x14ac:dyDescent="0.2">
      <c r="C15" s="5" t="s">
        <v>10</v>
      </c>
    </row>
    <row r="16" spans="2:4" x14ac:dyDescent="0.2">
      <c r="C16" s="5" t="s">
        <v>11</v>
      </c>
    </row>
    <row r="18" spans="2:3" x14ac:dyDescent="0.2">
      <c r="B18" s="4" t="s">
        <v>12</v>
      </c>
      <c r="C18" s="4"/>
    </row>
    <row r="19" spans="2:3" ht="22.8" x14ac:dyDescent="0.2">
      <c r="C19" s="35" t="s">
        <v>48</v>
      </c>
    </row>
    <row r="20" spans="2:3" ht="22.8" x14ac:dyDescent="0.2">
      <c r="C20" s="7" t="s">
        <v>46</v>
      </c>
    </row>
    <row r="21" spans="2:3" x14ac:dyDescent="0.2">
      <c r="C21" s="6" t="s">
        <v>13</v>
      </c>
    </row>
    <row r="22" spans="2:3" x14ac:dyDescent="0.2">
      <c r="C22" s="6" t="s">
        <v>14</v>
      </c>
    </row>
    <row r="23" spans="2:3" x14ac:dyDescent="0.2">
      <c r="C23" s="6" t="s">
        <v>15</v>
      </c>
    </row>
    <row r="24" spans="2:3" x14ac:dyDescent="0.2">
      <c r="C24" s="6" t="s">
        <v>16</v>
      </c>
    </row>
    <row r="26" spans="2:3" x14ac:dyDescent="0.2">
      <c r="C26" s="5" t="s">
        <v>17</v>
      </c>
    </row>
    <row r="27" spans="2:3" x14ac:dyDescent="0.2">
      <c r="C27" s="5" t="s">
        <v>43</v>
      </c>
    </row>
    <row r="28" spans="2:3" x14ac:dyDescent="0.2">
      <c r="C28" s="5" t="s">
        <v>18</v>
      </c>
    </row>
    <row r="29" spans="2:3" x14ac:dyDescent="0.2">
      <c r="C29" s="5" t="s">
        <v>45</v>
      </c>
    </row>
    <row r="31" spans="2:3" x14ac:dyDescent="0.2">
      <c r="B31" s="4" t="s">
        <v>19</v>
      </c>
      <c r="C31" s="4"/>
    </row>
    <row r="33" spans="3:3" ht="22.8" x14ac:dyDescent="0.2">
      <c r="C33" s="35" t="s">
        <v>47</v>
      </c>
    </row>
    <row r="34" spans="3:3" x14ac:dyDescent="0.2">
      <c r="C34" s="5" t="s">
        <v>44</v>
      </c>
    </row>
    <row r="35" spans="3:3" x14ac:dyDescent="0.2">
      <c r="C35" s="5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87"/>
  <sheetViews>
    <sheetView showGridLines="0" tabSelected="1" workbookViewId="0">
      <pane xSplit="1" ySplit="1" topLeftCell="B22" activePane="bottomRight" state="frozen"/>
      <selection pane="topRight" activeCell="B1" sqref="B1"/>
      <selection pane="bottomLeft" activeCell="A2" sqref="A2"/>
      <selection pane="bottomRight" activeCell="D52" sqref="D52"/>
    </sheetView>
  </sheetViews>
  <sheetFormatPr defaultRowHeight="11.4" x14ac:dyDescent="0.2"/>
  <cols>
    <col min="1" max="1" width="24.8984375" bestFit="1" customWidth="1"/>
    <col min="4" max="15" width="10.19921875" bestFit="1" customWidth="1"/>
  </cols>
  <sheetData>
    <row r="1" spans="1:15" x14ac:dyDescent="0.2"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  <c r="J1" s="3" t="s">
        <v>62</v>
      </c>
      <c r="K1" s="3" t="s">
        <v>63</v>
      </c>
      <c r="L1" s="3" t="s">
        <v>64</v>
      </c>
      <c r="M1" s="3" t="s">
        <v>65</v>
      </c>
      <c r="N1" s="3" t="s">
        <v>66</v>
      </c>
      <c r="O1" s="3" t="s">
        <v>67</v>
      </c>
    </row>
    <row r="2" spans="1:15" x14ac:dyDescent="0.2">
      <c r="A2" s="37"/>
    </row>
    <row r="3" spans="1:15" x14ac:dyDescent="0.2">
      <c r="A3" s="3" t="s">
        <v>49</v>
      </c>
      <c r="B3" s="3"/>
      <c r="C3" s="3"/>
      <c r="D3" s="43">
        <f>D5+D53</f>
        <v>1995.2290679976716</v>
      </c>
      <c r="E3" s="43">
        <f t="shared" ref="E3:I3" si="0">E5+E53</f>
        <v>2151.5813202939794</v>
      </c>
      <c r="F3" s="43">
        <f t="shared" si="0"/>
        <v>2571.5082567729883</v>
      </c>
      <c r="G3" s="43">
        <f t="shared" si="0"/>
        <v>2578.5663915785453</v>
      </c>
      <c r="H3" s="43">
        <f t="shared" si="0"/>
        <v>2821.3366097824282</v>
      </c>
      <c r="I3" s="43">
        <f t="shared" si="0"/>
        <v>2231.9477678140365</v>
      </c>
      <c r="J3" s="43">
        <f t="shared" ref="J3:O3" si="1">J5+J53</f>
        <v>2546.578009538548</v>
      </c>
      <c r="K3" s="43">
        <f t="shared" si="1"/>
        <v>2607.2524726560086</v>
      </c>
      <c r="L3" s="43">
        <f t="shared" si="1"/>
        <v>2257.9845322091187</v>
      </c>
      <c r="M3" s="43">
        <f t="shared" si="1"/>
        <v>2887.8135723913292</v>
      </c>
      <c r="N3" s="43">
        <f t="shared" si="1"/>
        <v>2684.6801291498068</v>
      </c>
      <c r="O3" s="43">
        <f t="shared" si="1"/>
        <v>2320.8746314403215</v>
      </c>
    </row>
    <row r="4" spans="1:15" x14ac:dyDescent="0.2">
      <c r="A4" s="37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</row>
    <row r="5" spans="1:15" x14ac:dyDescent="0.2">
      <c r="A5" s="3" t="s">
        <v>22</v>
      </c>
      <c r="B5" s="3"/>
      <c r="C5" s="3"/>
      <c r="D5" s="43">
        <f>D6+D29</f>
        <v>919.943812646899</v>
      </c>
      <c r="E5" s="43">
        <f t="shared" ref="E5:I5" si="2">E6+E29</f>
        <v>998.03579322649432</v>
      </c>
      <c r="F5" s="43">
        <f t="shared" si="2"/>
        <v>809.13425914903405</v>
      </c>
      <c r="G5" s="43">
        <f t="shared" si="2"/>
        <v>1056.9312586743995</v>
      </c>
      <c r="H5" s="43">
        <f t="shared" si="2"/>
        <v>1313.3957020626426</v>
      </c>
      <c r="I5" s="43">
        <f t="shared" si="2"/>
        <v>1089.8732556565101</v>
      </c>
      <c r="J5" s="43">
        <f t="shared" ref="J5" si="3">J6+J29</f>
        <v>1223.8685772075853</v>
      </c>
      <c r="K5" s="43">
        <f t="shared" ref="K5" si="4">K6+K29</f>
        <v>1003.0931025434445</v>
      </c>
      <c r="L5" s="43">
        <f t="shared" ref="L5" si="5">L6+L29</f>
        <v>907.97155595079425</v>
      </c>
      <c r="M5" s="43">
        <f t="shared" ref="M5" si="6">M6+M29</f>
        <v>1074.2556331899036</v>
      </c>
      <c r="N5" s="43">
        <f t="shared" ref="N5" si="7">N6+N29</f>
        <v>1195.7864128346635</v>
      </c>
      <c r="O5" s="43">
        <f t="shared" ref="O5" si="8">O6+O29</f>
        <v>1212.1194618539337</v>
      </c>
    </row>
    <row r="6" spans="1:15" x14ac:dyDescent="0.2">
      <c r="A6" s="4" t="s">
        <v>23</v>
      </c>
      <c r="B6" s="4"/>
      <c r="C6" s="4"/>
      <c r="D6" s="45">
        <f>D7+D18</f>
        <v>533.23055624831807</v>
      </c>
      <c r="E6" s="45">
        <f t="shared" ref="E6:I6" si="9">E7+E18</f>
        <v>455.27273835932886</v>
      </c>
      <c r="F6" s="45">
        <f t="shared" si="9"/>
        <v>429.03798702812878</v>
      </c>
      <c r="G6" s="45">
        <f t="shared" si="9"/>
        <v>582.84872214831603</v>
      </c>
      <c r="H6" s="45">
        <f t="shared" si="9"/>
        <v>543.47726505335515</v>
      </c>
      <c r="I6" s="45">
        <f t="shared" si="9"/>
        <v>551.11623496886602</v>
      </c>
      <c r="J6" s="45">
        <f t="shared" ref="J6" si="10">J7+J18</f>
        <v>686.88686255896232</v>
      </c>
      <c r="K6" s="45">
        <f t="shared" ref="K6" si="11">K7+K18</f>
        <v>485.73848890115278</v>
      </c>
      <c r="L6" s="45">
        <f t="shared" ref="L6" si="12">L7+L18</f>
        <v>515.20185894805286</v>
      </c>
      <c r="M6" s="45">
        <f t="shared" ref="M6" si="13">M7+M18</f>
        <v>652.95110706240416</v>
      </c>
      <c r="N6" s="45">
        <f t="shared" ref="N6" si="14">N7+N18</f>
        <v>545.35321916931593</v>
      </c>
      <c r="O6" s="45">
        <f t="shared" ref="O6" si="15">O7+O18</f>
        <v>618.56698950507655</v>
      </c>
    </row>
    <row r="7" spans="1:15" x14ac:dyDescent="0.2">
      <c r="A7" s="37" t="s">
        <v>24</v>
      </c>
      <c r="D7" s="46">
        <f>SUM(D8:D17)</f>
        <v>221.90827419604418</v>
      </c>
      <c r="E7" s="46">
        <f t="shared" ref="E7:I7" si="16">SUM(E8:E17)</f>
        <v>224.12759477874309</v>
      </c>
      <c r="F7" s="46">
        <f t="shared" si="16"/>
        <v>187.02006600020084</v>
      </c>
      <c r="G7" s="46">
        <f t="shared" si="16"/>
        <v>355.95477182418165</v>
      </c>
      <c r="H7" s="46">
        <f t="shared" si="16"/>
        <v>232.46749033085126</v>
      </c>
      <c r="I7" s="46">
        <f t="shared" si="16"/>
        <v>330.94172907244808</v>
      </c>
      <c r="J7" s="46">
        <f t="shared" ref="J7" si="17">SUM(J8:J17)</f>
        <v>408.81102548738465</v>
      </c>
      <c r="K7" s="46">
        <f t="shared" ref="K7" si="18">SUM(K8:K17)</f>
        <v>226.63794767045033</v>
      </c>
      <c r="L7" s="46">
        <f t="shared" ref="L7" si="19">SUM(L8:L17)</f>
        <v>330.86045993869078</v>
      </c>
      <c r="M7" s="46">
        <f t="shared" ref="M7" si="20">SUM(M8:M17)</f>
        <v>360.72646332183228</v>
      </c>
      <c r="N7" s="46">
        <f t="shared" ref="N7" si="21">SUM(N8:N17)</f>
        <v>230.84761367246239</v>
      </c>
      <c r="O7" s="46">
        <f t="shared" ref="O7" si="22">SUM(O8:O17)</f>
        <v>319.43777820125797</v>
      </c>
    </row>
    <row r="8" spans="1:15" x14ac:dyDescent="0.2">
      <c r="A8" s="38" t="s">
        <v>25</v>
      </c>
      <c r="D8" s="44">
        <f>'продажи натураль.'!C7</f>
        <v>2.9205887172428602</v>
      </c>
      <c r="E8" s="44">
        <f>'продажи натураль.'!D7</f>
        <v>9.5115027071103544</v>
      </c>
      <c r="F8" s="44">
        <f>'продажи натураль.'!E7</f>
        <v>2.9569521902624265</v>
      </c>
      <c r="G8" s="44">
        <f>'продажи натураль.'!F7</f>
        <v>29.085695676184454</v>
      </c>
      <c r="H8" s="44">
        <f>'продажи натураль.'!G7</f>
        <v>3.7609401252753587</v>
      </c>
      <c r="I8" s="44">
        <f>'продажи натураль.'!H7</f>
        <v>11.350544046941923</v>
      </c>
      <c r="J8" s="44">
        <f>'продажи натураль.'!I7</f>
        <v>3.8941278514704756</v>
      </c>
      <c r="K8" s="44">
        <f>'продажи натураль.'!J7</f>
        <v>3.6616761280250971</v>
      </c>
      <c r="L8" s="44">
        <f>'продажи натураль.'!K7</f>
        <v>27.888845743936891</v>
      </c>
      <c r="M8" s="44">
        <f>'продажи натураль.'!L7</f>
        <v>14.370095213822221</v>
      </c>
      <c r="N8" s="44">
        <f>'продажи натураль.'!M7</f>
        <v>8.528976288276251</v>
      </c>
      <c r="O8" s="44">
        <f>'продажи натураль.'!N7</f>
        <v>53.665163643369851</v>
      </c>
    </row>
    <row r="9" spans="1:15" x14ac:dyDescent="0.2">
      <c r="A9" s="38" t="s">
        <v>26</v>
      </c>
      <c r="D9" s="44">
        <f>'продажи натураль.'!C8</f>
        <v>63.328306962284294</v>
      </c>
      <c r="E9" s="44">
        <f>'продажи натураль.'!D8</f>
        <v>4.0526806247897094</v>
      </c>
      <c r="F9" s="44">
        <f>'продажи натураль.'!E8</f>
        <v>27.224038520309875</v>
      </c>
      <c r="G9" s="44">
        <f>'продажи натураль.'!F8</f>
        <v>83.106753775591869</v>
      </c>
      <c r="H9" s="44">
        <f>'продажи натураль.'!G8</f>
        <v>22.786039180317342</v>
      </c>
      <c r="I9" s="44">
        <f>'продажи натураль.'!H8</f>
        <v>19.789918350710948</v>
      </c>
      <c r="J9" s="44">
        <f>'продажи натураль.'!I8</f>
        <v>6.322662895540974</v>
      </c>
      <c r="K9" s="44">
        <f>'продажи натураль.'!J8</f>
        <v>5.2214759189553854</v>
      </c>
      <c r="L9" s="44">
        <f>'продажи натураль.'!K8</f>
        <v>61.946695481648078</v>
      </c>
      <c r="M9" s="44">
        <f>'продажи натураль.'!L8</f>
        <v>10.410474543109814</v>
      </c>
      <c r="N9" s="44">
        <f>'продажи натураль.'!M8</f>
        <v>19.612199941168761</v>
      </c>
      <c r="O9" s="44">
        <f>'продажи натураль.'!N8</f>
        <v>7.1655690666251903</v>
      </c>
    </row>
    <row r="10" spans="1:15" x14ac:dyDescent="0.2">
      <c r="A10" s="38" t="s">
        <v>27</v>
      </c>
      <c r="D10" s="44">
        <f>'продажи натураль.'!C9</f>
        <v>16.518392599545084</v>
      </c>
      <c r="E10" s="44">
        <f>'продажи натураль.'!D9</f>
        <v>36.923946957109017</v>
      </c>
      <c r="F10" s="44">
        <f>'продажи натураль.'!E9</f>
        <v>15.942064827404099</v>
      </c>
      <c r="G10" s="44">
        <f>'продажи натураль.'!F9</f>
        <v>20.366599704659944</v>
      </c>
      <c r="H10" s="44">
        <f>'продажи натураль.'!G9</f>
        <v>16.145600785231643</v>
      </c>
      <c r="I10" s="44">
        <f>'продажи натураль.'!H9</f>
        <v>78.158713119228764</v>
      </c>
      <c r="J10" s="44">
        <f>'продажи натураль.'!I9</f>
        <v>1.4517819173945274</v>
      </c>
      <c r="K10" s="44">
        <f>'продажи натураль.'!J9</f>
        <v>34.545600642515907</v>
      </c>
      <c r="L10" s="44">
        <f>'продажи натураль.'!K9</f>
        <v>22.466361570362061</v>
      </c>
      <c r="M10" s="44">
        <f>'продажи натураль.'!L9</f>
        <v>25.188829236008516</v>
      </c>
      <c r="N10" s="44">
        <f>'продажи натураль.'!M9</f>
        <v>25.72262192012434</v>
      </c>
      <c r="O10" s="44">
        <f>'продажи натураль.'!N9</f>
        <v>44.390782666128395</v>
      </c>
    </row>
    <row r="11" spans="1:15" x14ac:dyDescent="0.2">
      <c r="A11" s="38" t="s">
        <v>28</v>
      </c>
      <c r="D11" s="44">
        <f>'продажи натураль.'!C10</f>
        <v>12.874415705019096</v>
      </c>
      <c r="E11" s="44">
        <f>'продажи натураль.'!D10</f>
        <v>1.2416532153793032</v>
      </c>
      <c r="F11" s="44">
        <f>'продажи натураль.'!E10</f>
        <v>2.1283362846948792</v>
      </c>
      <c r="G11" s="44">
        <f>'продажи натураль.'!F10</f>
        <v>12.025692174234436</v>
      </c>
      <c r="H11" s="44">
        <f>'продажи натураль.'!G10</f>
        <v>33.936827100299773</v>
      </c>
      <c r="I11" s="44">
        <f>'продажи натураль.'!H10</f>
        <v>15.260464466635721</v>
      </c>
      <c r="J11" s="44">
        <f>'продажи натураль.'!I10</f>
        <v>62.370071659472792</v>
      </c>
      <c r="K11" s="44">
        <f>'продажи натураль.'!J10</f>
        <v>69.458364953805429</v>
      </c>
      <c r="L11" s="44">
        <f>'продажи натураль.'!K10</f>
        <v>34.454465406783264</v>
      </c>
      <c r="M11" s="44">
        <f>'продажи натураль.'!L10</f>
        <v>64.081954101743037</v>
      </c>
      <c r="N11" s="44">
        <f>'продажи натураль.'!M10</f>
        <v>20.966734096063007</v>
      </c>
      <c r="O11" s="44">
        <f>'продажи натураль.'!N10</f>
        <v>26.896586013493518</v>
      </c>
    </row>
    <row r="12" spans="1:15" x14ac:dyDescent="0.2">
      <c r="A12" s="38" t="s">
        <v>29</v>
      </c>
      <c r="D12" s="44">
        <f>'продажи натураль.'!C11</f>
        <v>47.452926290616091</v>
      </c>
      <c r="E12" s="44">
        <f>'продажи натураль.'!D11</f>
        <v>9.6306633884069157</v>
      </c>
      <c r="F12" s="44">
        <f>'продажи натураль.'!E11</f>
        <v>35.649550834050515</v>
      </c>
      <c r="G12" s="44">
        <f>'продажи натураль.'!F11</f>
        <v>47.427643963294514</v>
      </c>
      <c r="H12" s="44">
        <f>'продажи натураль.'!G11</f>
        <v>43.393758157849049</v>
      </c>
      <c r="I12" s="44">
        <f>'продажи натураль.'!H11</f>
        <v>16.977001108510244</v>
      </c>
      <c r="J12" s="44">
        <f>'продажи натураль.'!I11</f>
        <v>81.981773483910089</v>
      </c>
      <c r="K12" s="44">
        <f>'продажи натураль.'!J11</f>
        <v>41.966993675506984</v>
      </c>
      <c r="L12" s="44">
        <f>'продажи натураль.'!K11</f>
        <v>58.527007017671615</v>
      </c>
      <c r="M12" s="44">
        <f>'продажи натураль.'!L11</f>
        <v>44.811047846320612</v>
      </c>
      <c r="N12" s="44">
        <f>'продажи натураль.'!M11</f>
        <v>24.30559458157019</v>
      </c>
      <c r="O12" s="44">
        <f>'продажи натураль.'!N11</f>
        <v>91.405768862599103</v>
      </c>
    </row>
    <row r="13" spans="1:15" x14ac:dyDescent="0.2">
      <c r="A13" s="38" t="s">
        <v>30</v>
      </c>
      <c r="D13" s="44">
        <f>'продажи натураль.'!C12</f>
        <v>44.872531133376221</v>
      </c>
      <c r="E13" s="44">
        <f>'продажи натураль.'!D12</f>
        <v>30.263069811520669</v>
      </c>
      <c r="F13" s="44">
        <f>'продажи натураль.'!E12</f>
        <v>15.036105902660523</v>
      </c>
      <c r="G13" s="44">
        <f>'продажи натураль.'!F12</f>
        <v>74.064883522124902</v>
      </c>
      <c r="H13" s="44">
        <f>'продажи натураль.'!G12</f>
        <v>21.725135125605018</v>
      </c>
      <c r="I13" s="44">
        <f>'продажи натураль.'!H12</f>
        <v>34.962943960846971</v>
      </c>
      <c r="J13" s="44">
        <f>'продажи натураль.'!I12</f>
        <v>34.955475293291684</v>
      </c>
      <c r="K13" s="44">
        <f>'продажи натураль.'!J12</f>
        <v>8.5644654798112612</v>
      </c>
      <c r="L13" s="44">
        <f>'продажи натураль.'!K12</f>
        <v>1.6553660894428859</v>
      </c>
      <c r="M13" s="44">
        <f>'продажи натураль.'!L12</f>
        <v>3.5663247980297359</v>
      </c>
      <c r="N13" s="44">
        <f>'продажи натураль.'!M12</f>
        <v>3.2240895185108318</v>
      </c>
      <c r="O13" s="44">
        <f>'продажи натураль.'!N12</f>
        <v>1.9500380741565042</v>
      </c>
    </row>
    <row r="14" spans="1:15" x14ac:dyDescent="0.2">
      <c r="A14" s="38" t="s">
        <v>31</v>
      </c>
      <c r="D14" s="44">
        <f>'продажи натураль.'!C13</f>
        <v>0.69506706989403733</v>
      </c>
      <c r="E14" s="44">
        <f>'продажи натураль.'!D13</f>
        <v>53.460415141393348</v>
      </c>
      <c r="F14" s="44">
        <f>'продажи натураль.'!E13</f>
        <v>39.073368223980111</v>
      </c>
      <c r="G14" s="44">
        <f>'продажи натураль.'!F13</f>
        <v>23.516106731272416</v>
      </c>
      <c r="H14" s="44">
        <f>'продажи натураль.'!G13</f>
        <v>47.782670495931661</v>
      </c>
      <c r="I14" s="44">
        <f>'продажи натураль.'!H13</f>
        <v>17.272477515509173</v>
      </c>
      <c r="J14" s="44">
        <f>'продажи натураль.'!I13</f>
        <v>20.560933106885262</v>
      </c>
      <c r="K14" s="44">
        <f>'продажи натураль.'!J13</f>
        <v>21.882708200968871</v>
      </c>
      <c r="L14" s="44">
        <f>'продажи натураль.'!K13</f>
        <v>19.384256033987349</v>
      </c>
      <c r="M14" s="44">
        <f>'продажи натураль.'!L13</f>
        <v>2.0989693833449294</v>
      </c>
      <c r="N14" s="44">
        <f>'продажи натураль.'!M13</f>
        <v>81.819257036387867</v>
      </c>
      <c r="O14" s="44">
        <f>'продажи натураль.'!N13</f>
        <v>62.349358525458896</v>
      </c>
    </row>
    <row r="15" spans="1:15" x14ac:dyDescent="0.2">
      <c r="A15" s="38" t="s">
        <v>32</v>
      </c>
      <c r="D15" s="44">
        <f>'продажи натураль.'!C14</f>
        <v>4.1495720141341472</v>
      </c>
      <c r="E15" s="44">
        <f>'продажи натураль.'!D14</f>
        <v>39.4881092921026</v>
      </c>
      <c r="F15" s="44">
        <f>'продажи натураль.'!E14</f>
        <v>25.265470868501978</v>
      </c>
      <c r="G15" s="44">
        <f>'продажи натураль.'!F14</f>
        <v>22.456329391924747</v>
      </c>
      <c r="H15" s="44">
        <f>'продажи натураль.'!G14</f>
        <v>15.648038931927603</v>
      </c>
      <c r="I15" s="44">
        <f>'продажи натураль.'!H14</f>
        <v>35.713430976566201</v>
      </c>
      <c r="J15" s="44">
        <f>'продажи натураль.'!I14</f>
        <v>52.085633995077451</v>
      </c>
      <c r="K15" s="44">
        <f>'продажи натураль.'!J14</f>
        <v>17.240299304882221</v>
      </c>
      <c r="L15" s="44">
        <f>'продажи натураль.'!K14</f>
        <v>38.592293165387339</v>
      </c>
      <c r="M15" s="44">
        <f>'продажи натураль.'!L14</f>
        <v>38.510076527871377</v>
      </c>
      <c r="N15" s="44">
        <f>'продажи натураль.'!M14</f>
        <v>22.929857515379023</v>
      </c>
      <c r="O15" s="44">
        <f>'продажи натураль.'!N14</f>
        <v>11.967718845768488</v>
      </c>
    </row>
    <row r="16" spans="1:15" x14ac:dyDescent="0.2">
      <c r="A16" s="38" t="s">
        <v>33</v>
      </c>
      <c r="D16" s="44">
        <f>'продажи натураль.'!C15</f>
        <v>21.640558939085633</v>
      </c>
      <c r="E16" s="44">
        <f>'продажи натураль.'!D15</f>
        <v>7.1729900350066158</v>
      </c>
      <c r="F16" s="44">
        <f>'продажи натураль.'!E15</f>
        <v>8.3276977518802404</v>
      </c>
      <c r="G16" s="44">
        <f>'продажи натураль.'!F15</f>
        <v>14.920891139604658</v>
      </c>
      <c r="H16" s="44">
        <f>'продажи натураль.'!G15</f>
        <v>19.478846580376565</v>
      </c>
      <c r="I16" s="44">
        <f>'продажи натураль.'!H15</f>
        <v>33.763381629358115</v>
      </c>
      <c r="J16" s="44">
        <f>'продажи натураль.'!I15</f>
        <v>55.733841120624923</v>
      </c>
      <c r="K16" s="44">
        <f>'продажи натураль.'!J15</f>
        <v>11.745050335841151</v>
      </c>
      <c r="L16" s="44">
        <f>'продажи натураль.'!K15</f>
        <v>12.234241381202148</v>
      </c>
      <c r="M16" s="44">
        <f>'продажи натураль.'!L15</f>
        <v>82.824651734170018</v>
      </c>
      <c r="N16" s="44">
        <f>'продажи натураль.'!M15</f>
        <v>17.504139232469655</v>
      </c>
      <c r="O16" s="44">
        <f>'продажи натураль.'!N15</f>
        <v>1.7100472483141749</v>
      </c>
    </row>
    <row r="17" spans="1:15" x14ac:dyDescent="0.2">
      <c r="A17" s="38" t="s">
        <v>34</v>
      </c>
      <c r="D17" s="44">
        <f>'продажи натураль.'!C16</f>
        <v>7.4559147648467325</v>
      </c>
      <c r="E17" s="44">
        <f>'продажи натураль.'!D16</f>
        <v>32.38256360592456</v>
      </c>
      <c r="F17" s="44">
        <f>'продажи натураль.'!E16</f>
        <v>15.416480596456204</v>
      </c>
      <c r="G17" s="44">
        <f>'продажи натураль.'!F16</f>
        <v>28.98417574528974</v>
      </c>
      <c r="H17" s="44">
        <f>'продажи натураль.'!G16</f>
        <v>7.809633848037258</v>
      </c>
      <c r="I17" s="44">
        <f>'продажи натураль.'!H16</f>
        <v>67.692853898140015</v>
      </c>
      <c r="J17" s="44">
        <f>'продажи натураль.'!I16</f>
        <v>89.454724163716506</v>
      </c>
      <c r="K17" s="44">
        <f>'продажи натураль.'!J16</f>
        <v>12.35131303013805</v>
      </c>
      <c r="L17" s="44">
        <f>'продажи натураль.'!K16</f>
        <v>53.710928048269125</v>
      </c>
      <c r="M17" s="44">
        <f>'продажи натураль.'!L16</f>
        <v>74.864039937412002</v>
      </c>
      <c r="N17" s="44">
        <f>'продажи натураль.'!M16</f>
        <v>6.2341435425124665</v>
      </c>
      <c r="O17" s="44">
        <f>'продажи натураль.'!N16</f>
        <v>17.936745255343823</v>
      </c>
    </row>
    <row r="18" spans="1:15" x14ac:dyDescent="0.2">
      <c r="A18" s="37" t="s">
        <v>35</v>
      </c>
      <c r="D18" s="46">
        <f>SUM(D19:D28)</f>
        <v>311.32228205227386</v>
      </c>
      <c r="E18" s="46">
        <f t="shared" ref="E18:I18" si="23">SUM(E19:E28)</f>
        <v>231.14514358058577</v>
      </c>
      <c r="F18" s="46">
        <f t="shared" si="23"/>
        <v>242.01792102792791</v>
      </c>
      <c r="G18" s="46">
        <f t="shared" si="23"/>
        <v>226.89395032413432</v>
      </c>
      <c r="H18" s="46">
        <f t="shared" si="23"/>
        <v>311.00977472250389</v>
      </c>
      <c r="I18" s="46">
        <f t="shared" si="23"/>
        <v>220.17450589641791</v>
      </c>
      <c r="J18" s="46">
        <f t="shared" ref="J18" si="24">SUM(J19:J28)</f>
        <v>278.07583707157772</v>
      </c>
      <c r="K18" s="46">
        <f t="shared" ref="K18" si="25">SUM(K19:K28)</f>
        <v>259.10054123070245</v>
      </c>
      <c r="L18" s="46">
        <f t="shared" ref="L18" si="26">SUM(L19:L28)</f>
        <v>184.34139900936211</v>
      </c>
      <c r="M18" s="46">
        <f t="shared" ref="M18" si="27">SUM(M19:M28)</f>
        <v>292.22464374057182</v>
      </c>
      <c r="N18" s="46">
        <f t="shared" ref="N18" si="28">SUM(N19:N28)</f>
        <v>314.5056054968536</v>
      </c>
      <c r="O18" s="46">
        <f t="shared" ref="O18" si="29">SUM(O19:O28)</f>
        <v>299.12921130381858</v>
      </c>
    </row>
    <row r="19" spans="1:15" x14ac:dyDescent="0.2">
      <c r="A19" s="38" t="s">
        <v>25</v>
      </c>
      <c r="D19" s="44">
        <f>'продажи натураль.'!C18</f>
        <v>49.34092048337132</v>
      </c>
      <c r="E19" s="44">
        <f>'продажи натураль.'!D18</f>
        <v>27.136100064345047</v>
      </c>
      <c r="F19" s="44">
        <f>'продажи натураль.'!E18</f>
        <v>28.9290569430961</v>
      </c>
      <c r="G19" s="44">
        <f>'продажи натураль.'!F18</f>
        <v>7.746007259013548</v>
      </c>
      <c r="H19" s="44">
        <f>'продажи натураль.'!G18</f>
        <v>37.374258133920591</v>
      </c>
      <c r="I19" s="44">
        <f>'продажи натураль.'!H18</f>
        <v>14.232157628488132</v>
      </c>
      <c r="J19" s="44">
        <f>'продажи натураль.'!I18</f>
        <v>6.590146285032537</v>
      </c>
      <c r="K19" s="44">
        <f>'продажи натураль.'!J18</f>
        <v>11.201432317463389</v>
      </c>
      <c r="L19" s="44">
        <f>'продажи натураль.'!K18</f>
        <v>63.302370905243336</v>
      </c>
      <c r="M19" s="44">
        <f>'продажи натураль.'!L18</f>
        <v>5.2848462141312442</v>
      </c>
      <c r="N19" s="44">
        <f>'продажи натураль.'!M18</f>
        <v>79.377561740516796</v>
      </c>
      <c r="O19" s="44">
        <f>'продажи натураль.'!N18</f>
        <v>35.091957623829828</v>
      </c>
    </row>
    <row r="20" spans="1:15" x14ac:dyDescent="0.2">
      <c r="A20" s="38" t="s">
        <v>26</v>
      </c>
      <c r="D20" s="44">
        <f>'продажи натураль.'!C19</f>
        <v>34.835537706607866</v>
      </c>
      <c r="E20" s="44">
        <f>'продажи натураль.'!D19</f>
        <v>7.616773564241381</v>
      </c>
      <c r="F20" s="44">
        <f>'продажи натураль.'!E19</f>
        <v>27.338799481657496</v>
      </c>
      <c r="G20" s="44">
        <f>'продажи натураль.'!F19</f>
        <v>20.663424974838016</v>
      </c>
      <c r="H20" s="44">
        <f>'продажи натураль.'!G19</f>
        <v>43.786374793037055</v>
      </c>
      <c r="I20" s="44">
        <f>'продажи натураль.'!H19</f>
        <v>40.777536271161857</v>
      </c>
      <c r="J20" s="44">
        <f>'продажи натураль.'!I19</f>
        <v>17.846269069574724</v>
      </c>
      <c r="K20" s="44">
        <f>'продажи натураль.'!J19</f>
        <v>40.9836927611927</v>
      </c>
      <c r="L20" s="44">
        <f>'продажи натураль.'!K19</f>
        <v>24.381704537681028</v>
      </c>
      <c r="M20" s="44">
        <f>'продажи натураль.'!L19</f>
        <v>9.0669675585946106</v>
      </c>
      <c r="N20" s="44">
        <f>'продажи натураль.'!M19</f>
        <v>18.389932753063501</v>
      </c>
      <c r="O20" s="44">
        <f>'продажи натураль.'!N19</f>
        <v>2.1408773134143786</v>
      </c>
    </row>
    <row r="21" spans="1:15" x14ac:dyDescent="0.2">
      <c r="A21" s="38" t="s">
        <v>27</v>
      </c>
      <c r="D21" s="44">
        <f>'продажи натураль.'!C20</f>
        <v>7.1933051585173642</v>
      </c>
      <c r="E21" s="44">
        <f>'продажи натураль.'!D20</f>
        <v>22.143704567758242</v>
      </c>
      <c r="F21" s="44">
        <f>'продажи натураль.'!E20</f>
        <v>34.839174503874681</v>
      </c>
      <c r="G21" s="44">
        <f>'продажи натураль.'!F20</f>
        <v>53.946325905963036</v>
      </c>
      <c r="H21" s="44">
        <f>'продажи натураль.'!G20</f>
        <v>43.407641622184578</v>
      </c>
      <c r="I21" s="44">
        <f>'продажи натураль.'!H20</f>
        <v>22.774956528993673</v>
      </c>
      <c r="J21" s="44">
        <f>'продажи натураль.'!I20</f>
        <v>25.866387710944135</v>
      </c>
      <c r="K21" s="44">
        <f>'продажи натураль.'!J20</f>
        <v>7.1072508161562613</v>
      </c>
      <c r="L21" s="44">
        <f>'продажи натураль.'!K20</f>
        <v>2.9107977394325437</v>
      </c>
      <c r="M21" s="44">
        <f>'продажи натураль.'!L20</f>
        <v>33.000407349784552</v>
      </c>
      <c r="N21" s="44">
        <f>'продажи натураль.'!M20</f>
        <v>22.674710032519041</v>
      </c>
      <c r="O21" s="44">
        <f>'продажи натураль.'!N20</f>
        <v>4.7267329604712875</v>
      </c>
    </row>
    <row r="22" spans="1:15" x14ac:dyDescent="0.2">
      <c r="A22" s="38" t="s">
        <v>28</v>
      </c>
      <c r="D22" s="44">
        <f>'продажи натураль.'!C21</f>
        <v>21.465348003121136</v>
      </c>
      <c r="E22" s="44">
        <f>'продажи натураль.'!D21</f>
        <v>21.723549609443772</v>
      </c>
      <c r="F22" s="44">
        <f>'продажи натураль.'!E21</f>
        <v>47.151724980323642</v>
      </c>
      <c r="G22" s="44">
        <f>'продажи натураль.'!F21</f>
        <v>16.70836537645739</v>
      </c>
      <c r="H22" s="44">
        <f>'продажи натураль.'!G21</f>
        <v>37.951665703145295</v>
      </c>
      <c r="I22" s="44">
        <f>'продажи натураль.'!H21</f>
        <v>21.451109049413251</v>
      </c>
      <c r="J22" s="44">
        <f>'продажи натураль.'!I21</f>
        <v>39.646347491442924</v>
      </c>
      <c r="K22" s="44">
        <f>'продажи натураль.'!J21</f>
        <v>36.893370267637081</v>
      </c>
      <c r="L22" s="44">
        <f>'продажи натураль.'!K21</f>
        <v>2.8911094330926468</v>
      </c>
      <c r="M22" s="44">
        <f>'продажи натураль.'!L21</f>
        <v>59.050528892494043</v>
      </c>
      <c r="N22" s="44">
        <f>'продажи натураль.'!M21</f>
        <v>3.7947341180134004</v>
      </c>
      <c r="O22" s="44">
        <f>'продажи натураль.'!N21</f>
        <v>34.13360324230198</v>
      </c>
    </row>
    <row r="23" spans="1:15" x14ac:dyDescent="0.2">
      <c r="A23" s="38" t="s">
        <v>29</v>
      </c>
      <c r="D23" s="44">
        <f>'продажи натураль.'!C22</f>
        <v>33.786433202535839</v>
      </c>
      <c r="E23" s="44">
        <f>'продажи натураль.'!D22</f>
        <v>6.704885576473651</v>
      </c>
      <c r="F23" s="44">
        <f>'продажи натураль.'!E22</f>
        <v>7.8109237148279878</v>
      </c>
      <c r="G23" s="44">
        <f>'продажи натураль.'!F22</f>
        <v>9.576172854950272</v>
      </c>
      <c r="H23" s="44">
        <f>'продажи натураль.'!G22</f>
        <v>62.906627585280091</v>
      </c>
      <c r="I23" s="44">
        <f>'продажи натураль.'!H22</f>
        <v>6.5363033685615601</v>
      </c>
      <c r="J23" s="44">
        <f>'продажи натураль.'!I22</f>
        <v>30.893021735415545</v>
      </c>
      <c r="K23" s="44">
        <f>'продажи натураль.'!J22</f>
        <v>36.132961689942981</v>
      </c>
      <c r="L23" s="44">
        <f>'продажи натураль.'!K22</f>
        <v>16.605613416694371</v>
      </c>
      <c r="M23" s="44">
        <f>'продажи натураль.'!L22</f>
        <v>50.664063151659818</v>
      </c>
      <c r="N23" s="44">
        <f>'продажи натураль.'!M22</f>
        <v>6.1071164713133461</v>
      </c>
      <c r="O23" s="44">
        <f>'продажи натураль.'!N22</f>
        <v>32.355809391804762</v>
      </c>
    </row>
    <row r="24" spans="1:15" x14ac:dyDescent="0.2">
      <c r="A24" s="38" t="s">
        <v>30</v>
      </c>
      <c r="D24" s="44">
        <f>'продажи натураль.'!C23</f>
        <v>55.979468542972668</v>
      </c>
      <c r="E24" s="44">
        <f>'продажи натураль.'!D23</f>
        <v>38.047686159683522</v>
      </c>
      <c r="F24" s="44">
        <f>'продажи натураль.'!E23</f>
        <v>5.0233745224634276</v>
      </c>
      <c r="G24" s="44">
        <f>'продажи натураль.'!F23</f>
        <v>6.7465642017208154</v>
      </c>
      <c r="H24" s="44">
        <f>'продажи натураль.'!G23</f>
        <v>29.972786894917554</v>
      </c>
      <c r="I24" s="44">
        <f>'продажи натураль.'!H23</f>
        <v>11.702263610775386</v>
      </c>
      <c r="J24" s="44">
        <f>'продажи натураль.'!I23</f>
        <v>39.868941435480629</v>
      </c>
      <c r="K24" s="44">
        <f>'продажи натураль.'!J23</f>
        <v>21.674293247024188</v>
      </c>
      <c r="L24" s="44">
        <f>'продажи натураль.'!K23</f>
        <v>8.3589443320606414</v>
      </c>
      <c r="M24" s="44">
        <f>'продажи натураль.'!L23</f>
        <v>78.722464326370343</v>
      </c>
      <c r="N24" s="44">
        <f>'продажи натураль.'!M23</f>
        <v>18.49092004907682</v>
      </c>
      <c r="O24" s="44">
        <f>'продажи натураль.'!N23</f>
        <v>5.257140143832606</v>
      </c>
    </row>
    <row r="25" spans="1:15" x14ac:dyDescent="0.2">
      <c r="A25" s="38" t="s">
        <v>31</v>
      </c>
      <c r="D25" s="44">
        <f>'продажи натураль.'!C24</f>
        <v>69.839570114951059</v>
      </c>
      <c r="E25" s="44">
        <f>'продажи натураль.'!D24</f>
        <v>14.504757293535002</v>
      </c>
      <c r="F25" s="44">
        <f>'продажи натураль.'!E24</f>
        <v>10.975808168769772</v>
      </c>
      <c r="G25" s="44">
        <f>'продажи натураль.'!F24</f>
        <v>46.648343040069527</v>
      </c>
      <c r="H25" s="44">
        <f>'продажи натураль.'!G24</f>
        <v>18.155248662547272</v>
      </c>
      <c r="I25" s="44">
        <f>'продажи натураль.'!H24</f>
        <v>24.906213766601201</v>
      </c>
      <c r="J25" s="44">
        <f>'продажи натураль.'!I24</f>
        <v>21.569305055801582</v>
      </c>
      <c r="K25" s="44">
        <f>'продажи натураль.'!J24</f>
        <v>10.88470832483303</v>
      </c>
      <c r="L25" s="44">
        <f>'продажи натураль.'!K24</f>
        <v>14.689034484124289</v>
      </c>
      <c r="M25" s="44">
        <f>'продажи натураль.'!L24</f>
        <v>2.8803547435555958</v>
      </c>
      <c r="N25" s="44">
        <f>'продажи натураль.'!M24</f>
        <v>45.574423627014575</v>
      </c>
      <c r="O25" s="44">
        <f>'продажи натураль.'!N24</f>
        <v>91.335335209342986</v>
      </c>
    </row>
    <row r="26" spans="1:15" x14ac:dyDescent="0.2">
      <c r="A26" s="38" t="s">
        <v>32</v>
      </c>
      <c r="D26" s="44">
        <f>'продажи натураль.'!C25</f>
        <v>13.139919492096928</v>
      </c>
      <c r="E26" s="44">
        <f>'продажи натураль.'!D25</f>
        <v>53.046780062832639</v>
      </c>
      <c r="F26" s="44">
        <f>'продажи натураль.'!E25</f>
        <v>20.000865144847126</v>
      </c>
      <c r="G26" s="44">
        <f>'продажи натураль.'!F25</f>
        <v>7.0201953962017489</v>
      </c>
      <c r="H26" s="44">
        <f>'продажи натураль.'!G25</f>
        <v>23.1321224875749</v>
      </c>
      <c r="I26" s="44">
        <f>'продажи натураль.'!H25</f>
        <v>35.823761621201093</v>
      </c>
      <c r="J26" s="44">
        <f>'продажи натураль.'!I25</f>
        <v>17.871672494266619</v>
      </c>
      <c r="K26" s="44">
        <f>'продажи натураль.'!J25</f>
        <v>26.530391221321786</v>
      </c>
      <c r="L26" s="44">
        <f>'продажи натураль.'!K25</f>
        <v>22.215708409107513</v>
      </c>
      <c r="M26" s="44">
        <f>'продажи натураль.'!L25</f>
        <v>30.223977133966649</v>
      </c>
      <c r="N26" s="44">
        <f>'продажи натураль.'!M25</f>
        <v>49.356442611893257</v>
      </c>
      <c r="O26" s="44">
        <f>'продажи натураль.'!N25</f>
        <v>14.863444505348246</v>
      </c>
    </row>
    <row r="27" spans="1:15" x14ac:dyDescent="0.2">
      <c r="A27" s="38" t="s">
        <v>33</v>
      </c>
      <c r="D27" s="44">
        <f>'продажи натураль.'!C26</f>
        <v>25.143286125002994</v>
      </c>
      <c r="E27" s="44">
        <f>'продажи натураль.'!D26</f>
        <v>21.046982363193095</v>
      </c>
      <c r="F27" s="44">
        <f>'продажи натураль.'!E26</f>
        <v>31.331628735852338</v>
      </c>
      <c r="G27" s="44">
        <f>'продажи натураль.'!F26</f>
        <v>38.340068725103841</v>
      </c>
      <c r="H27" s="44">
        <f>'продажи натураль.'!G26</f>
        <v>1.6143338861576959</v>
      </c>
      <c r="I27" s="44">
        <f>'продажи натураль.'!H26</f>
        <v>15.122470943663121</v>
      </c>
      <c r="J27" s="44">
        <f>'продажи натураль.'!I26</f>
        <v>45.607640740189616</v>
      </c>
      <c r="K27" s="44">
        <f>'продажи натураль.'!J26</f>
        <v>39.004328428190917</v>
      </c>
      <c r="L27" s="44">
        <f>'продажи натураль.'!K26</f>
        <v>0.7620596274343967</v>
      </c>
      <c r="M27" s="44">
        <f>'продажи натураль.'!L26</f>
        <v>13.370408220036399</v>
      </c>
      <c r="N27" s="44">
        <f>'продажи натураль.'!M26</f>
        <v>41.166349803452881</v>
      </c>
      <c r="O27" s="44">
        <f>'продажи натураль.'!N26</f>
        <v>10.436921654399901</v>
      </c>
    </row>
    <row r="28" spans="1:15" x14ac:dyDescent="0.2">
      <c r="A28" s="38" t="s">
        <v>34</v>
      </c>
      <c r="D28" s="44">
        <f>'продажи натураль.'!C27</f>
        <v>0.59849322309669384</v>
      </c>
      <c r="E28" s="44">
        <f>'продажи натураль.'!D27</f>
        <v>19.173924319079415</v>
      </c>
      <c r="F28" s="44">
        <f>'продажи натураль.'!E27</f>
        <v>28.616564832215349</v>
      </c>
      <c r="G28" s="44">
        <f>'продажи натураль.'!F27</f>
        <v>19.498482589816113</v>
      </c>
      <c r="H28" s="44">
        <f>'продажи натураль.'!G27</f>
        <v>12.708714953738895</v>
      </c>
      <c r="I28" s="44">
        <f>'продажи натураль.'!H27</f>
        <v>26.8477331075586</v>
      </c>
      <c r="J28" s="44">
        <f>'продажи натураль.'!I27</f>
        <v>32.316105053429389</v>
      </c>
      <c r="K28" s="44">
        <f>'продажи натураль.'!J27</f>
        <v>28.688112156940086</v>
      </c>
      <c r="L28" s="44">
        <f>'продажи натураль.'!K27</f>
        <v>28.224056124491348</v>
      </c>
      <c r="M28" s="44">
        <f>'продажи натураль.'!L27</f>
        <v>9.9606261499786068</v>
      </c>
      <c r="N28" s="44">
        <f>'продажи натураль.'!M27</f>
        <v>29.573414289990012</v>
      </c>
      <c r="O28" s="44">
        <f>'продажи натураль.'!N27</f>
        <v>68.787389259072611</v>
      </c>
    </row>
    <row r="29" spans="1:15" x14ac:dyDescent="0.2">
      <c r="A29" s="4" t="s">
        <v>36</v>
      </c>
      <c r="B29" s="4"/>
      <c r="C29" s="4"/>
      <c r="D29" s="45">
        <f>D30+D41</f>
        <v>386.71325639858088</v>
      </c>
      <c r="E29" s="45">
        <f t="shared" ref="E29:I29" si="30">E30+E41</f>
        <v>542.76305486716547</v>
      </c>
      <c r="F29" s="45">
        <f t="shared" si="30"/>
        <v>380.09627212090527</v>
      </c>
      <c r="G29" s="45">
        <f t="shared" si="30"/>
        <v>474.0825365260834</v>
      </c>
      <c r="H29" s="45">
        <f t="shared" si="30"/>
        <v>769.91843700928735</v>
      </c>
      <c r="I29" s="45">
        <f t="shared" si="30"/>
        <v>538.75702068764406</v>
      </c>
      <c r="J29" s="45">
        <f t="shared" ref="J29" si="31">J30+J41</f>
        <v>536.98171464862298</v>
      </c>
      <c r="K29" s="45">
        <f t="shared" ref="K29" si="32">K30+K41</f>
        <v>517.35461364229172</v>
      </c>
      <c r="L29" s="45">
        <f t="shared" ref="L29" si="33">L30+L41</f>
        <v>392.7696970027414</v>
      </c>
      <c r="M29" s="45">
        <f t="shared" ref="M29" si="34">M30+M41</f>
        <v>421.30452612749946</v>
      </c>
      <c r="N29" s="45">
        <f t="shared" ref="N29" si="35">N30+N41</f>
        <v>650.43319366534752</v>
      </c>
      <c r="O29" s="45">
        <f t="shared" ref="O29" si="36">O30+O41</f>
        <v>593.55247234885712</v>
      </c>
    </row>
    <row r="30" spans="1:15" x14ac:dyDescent="0.2">
      <c r="A30" s="37" t="s">
        <v>24</v>
      </c>
      <c r="D30" s="46">
        <f>SUM(D31:D40)</f>
        <v>193.72660389281742</v>
      </c>
      <c r="E30" s="46">
        <f t="shared" ref="E30:I30" si="37">SUM(E31:E40)</f>
        <v>285.48050964388784</v>
      </c>
      <c r="F30" s="46">
        <f t="shared" si="37"/>
        <v>223.86191691520023</v>
      </c>
      <c r="G30" s="46">
        <f t="shared" si="37"/>
        <v>242.80088691211998</v>
      </c>
      <c r="H30" s="46">
        <f t="shared" si="37"/>
        <v>392.9331426633849</v>
      </c>
      <c r="I30" s="46">
        <f t="shared" si="37"/>
        <v>292.4562521918142</v>
      </c>
      <c r="J30" s="46">
        <f t="shared" ref="J30" si="38">SUM(J31:J40)</f>
        <v>311.66475239605046</v>
      </c>
      <c r="K30" s="46">
        <f t="shared" ref="K30" si="39">SUM(K31:K40)</f>
        <v>235.88980265895671</v>
      </c>
      <c r="L30" s="46">
        <f t="shared" ref="L30" si="40">SUM(L31:L40)</f>
        <v>160.43873501532988</v>
      </c>
      <c r="M30" s="46">
        <f t="shared" ref="M30" si="41">SUM(M31:M40)</f>
        <v>188.85356542213242</v>
      </c>
      <c r="N30" s="46">
        <f t="shared" ref="N30" si="42">SUM(N31:N40)</f>
        <v>336.82307950417129</v>
      </c>
      <c r="O30" s="46">
        <f t="shared" ref="O30" si="43">SUM(O31:O40)</f>
        <v>282.71653906601227</v>
      </c>
    </row>
    <row r="31" spans="1:15" x14ac:dyDescent="0.2">
      <c r="A31" s="38" t="s">
        <v>25</v>
      </c>
      <c r="D31" s="44">
        <f>'продажи натураль.'!C30</f>
        <v>49.917382019919415</v>
      </c>
      <c r="E31" s="44">
        <f>'продажи натураль.'!D30</f>
        <v>19.49622237437508</v>
      </c>
      <c r="F31" s="44">
        <f>'продажи натураль.'!E30</f>
        <v>52.013128434969389</v>
      </c>
      <c r="G31" s="44">
        <f>'продажи натураль.'!F30</f>
        <v>68.587236249260329</v>
      </c>
      <c r="H31" s="44">
        <f>'продажи натураль.'!G30</f>
        <v>42.340017787695103</v>
      </c>
      <c r="I31" s="44">
        <f>'продажи натураль.'!H30</f>
        <v>8.4116197939572768</v>
      </c>
      <c r="J31" s="44">
        <f>'продажи натураль.'!I30</f>
        <v>84.294353988309993</v>
      </c>
      <c r="K31" s="44">
        <f>'продажи натураль.'!J30</f>
        <v>44.322937835567892</v>
      </c>
      <c r="L31" s="44">
        <f>'продажи натураль.'!K30</f>
        <v>3.8462412433900814</v>
      </c>
      <c r="M31" s="44">
        <f>'продажи натураль.'!L30</f>
        <v>19.041215861863112</v>
      </c>
      <c r="N31" s="44">
        <f>'продажи натураль.'!M30</f>
        <v>22.478554457332365</v>
      </c>
      <c r="O31" s="44">
        <f>'продажи натураль.'!N30</f>
        <v>58.237275847289702</v>
      </c>
    </row>
    <row r="32" spans="1:15" x14ac:dyDescent="0.2">
      <c r="A32" s="38" t="s">
        <v>26</v>
      </c>
      <c r="D32" s="44">
        <f>'продажи натураль.'!C31</f>
        <v>16.233440668264642</v>
      </c>
      <c r="E32" s="44">
        <f>'продажи натураль.'!D31</f>
        <v>59.924532395928402</v>
      </c>
      <c r="F32" s="44">
        <f>'продажи натураль.'!E31</f>
        <v>19.906030082054784</v>
      </c>
      <c r="G32" s="44">
        <f>'продажи натураль.'!F31</f>
        <v>4.5558990460081308</v>
      </c>
      <c r="H32" s="44">
        <f>'продажи натураль.'!G31</f>
        <v>4.2701580530431142</v>
      </c>
      <c r="I32" s="44">
        <f>'продажи натураль.'!H31</f>
        <v>22.937889302531854</v>
      </c>
      <c r="J32" s="44">
        <f>'продажи натураль.'!I31</f>
        <v>31.466098314932708</v>
      </c>
      <c r="K32" s="44">
        <f>'продажи натураль.'!J31</f>
        <v>42.51094481568267</v>
      </c>
      <c r="L32" s="44">
        <f>'продажи натураль.'!K31</f>
        <v>3.1933020327804105</v>
      </c>
      <c r="M32" s="44">
        <f>'продажи натураль.'!L31</f>
        <v>34.584154899245419</v>
      </c>
      <c r="N32" s="44">
        <f>'продажи натураль.'!M31</f>
        <v>67.847532362638603</v>
      </c>
      <c r="O32" s="44">
        <f>'продажи натураль.'!N31</f>
        <v>63.37667178724984</v>
      </c>
    </row>
    <row r="33" spans="1:15" x14ac:dyDescent="0.2">
      <c r="A33" s="38" t="s">
        <v>27</v>
      </c>
      <c r="D33" s="44">
        <f>'продажи натураль.'!C32</f>
        <v>18.987399098279756</v>
      </c>
      <c r="E33" s="44">
        <f>'продажи натураль.'!D32</f>
        <v>44.326873980659293</v>
      </c>
      <c r="F33" s="44">
        <f>'продажи натураль.'!E32</f>
        <v>26.350136669126904</v>
      </c>
      <c r="G33" s="44">
        <f>'продажи натураль.'!F32</f>
        <v>31.989536012369527</v>
      </c>
      <c r="H33" s="44">
        <f>'продажи натураль.'!G32</f>
        <v>28.458299614844638</v>
      </c>
      <c r="I33" s="44">
        <f>'продажи натураль.'!H32</f>
        <v>40.816891060130658</v>
      </c>
      <c r="J33" s="44">
        <f>'продажи натураль.'!I32</f>
        <v>31.239174356065266</v>
      </c>
      <c r="K33" s="44">
        <f>'продажи натураль.'!J32</f>
        <v>4.7939377472099434</v>
      </c>
      <c r="L33" s="44">
        <f>'продажи натураль.'!K32</f>
        <v>40.316188035577504</v>
      </c>
      <c r="M33" s="44">
        <f>'продажи натураль.'!L32</f>
        <v>19.694181932905757</v>
      </c>
      <c r="N33" s="44">
        <f>'продажи натураль.'!M32</f>
        <v>18.248065435774897</v>
      </c>
      <c r="O33" s="44">
        <f>'продажи натураль.'!N32</f>
        <v>46.102108208679809</v>
      </c>
    </row>
    <row r="34" spans="1:15" x14ac:dyDescent="0.2">
      <c r="A34" s="38" t="s">
        <v>28</v>
      </c>
      <c r="D34" s="44">
        <f>'продажи натураль.'!C33</f>
        <v>16.36433403263451</v>
      </c>
      <c r="E34" s="44">
        <f>'продажи натураль.'!D33</f>
        <v>15.335891807036097</v>
      </c>
      <c r="F34" s="44">
        <f>'продажи натураль.'!E33</f>
        <v>8.4046870365234572</v>
      </c>
      <c r="G34" s="44">
        <f>'продажи натураль.'!F33</f>
        <v>32.038148884586391</v>
      </c>
      <c r="H34" s="44">
        <f>'продажи натураль.'!G33</f>
        <v>34.607623537383759</v>
      </c>
      <c r="I34" s="44">
        <f>'продажи натураль.'!H33</f>
        <v>3.553954597956495</v>
      </c>
      <c r="J34" s="44">
        <f>'продажи натураль.'!I33</f>
        <v>31.802752906979631</v>
      </c>
      <c r="K34" s="44">
        <f>'продажи натураль.'!J33</f>
        <v>28.201080429168893</v>
      </c>
      <c r="L34" s="44">
        <f>'продажи натураль.'!K33</f>
        <v>3.425135962062051</v>
      </c>
      <c r="M34" s="44">
        <f>'продажи натураль.'!L33</f>
        <v>1.9040393281764267</v>
      </c>
      <c r="N34" s="44">
        <f>'продажи натураль.'!M33</f>
        <v>45.417471597036887</v>
      </c>
      <c r="O34" s="44">
        <f>'продажи натураль.'!N33</f>
        <v>38.167434050597159</v>
      </c>
    </row>
    <row r="35" spans="1:15" x14ac:dyDescent="0.2">
      <c r="A35" s="38" t="s">
        <v>29</v>
      </c>
      <c r="D35" s="44">
        <f>'продажи натураль.'!C34</f>
        <v>13.637636402037177</v>
      </c>
      <c r="E35" s="44">
        <f>'продажи натураль.'!D34</f>
        <v>48.574489642917406</v>
      </c>
      <c r="F35" s="44">
        <f>'продажи натураль.'!E34</f>
        <v>42.490844574172499</v>
      </c>
      <c r="G35" s="44">
        <f>'продажи натураль.'!F34</f>
        <v>2.9217132175005993</v>
      </c>
      <c r="H35" s="44">
        <f>'продажи натураль.'!G34</f>
        <v>38.029841365689471</v>
      </c>
      <c r="I35" s="44">
        <f>'продажи натураль.'!H34</f>
        <v>7.0081389412225938</v>
      </c>
      <c r="J35" s="44">
        <f>'продажи натураль.'!I34</f>
        <v>15.693007757970708</v>
      </c>
      <c r="K35" s="44">
        <f>'продажи натураль.'!J34</f>
        <v>63.979767102336361</v>
      </c>
      <c r="L35" s="44">
        <f>'продажи натураль.'!K34</f>
        <v>34.424047664202511</v>
      </c>
      <c r="M35" s="44">
        <f>'продажи натураль.'!L34</f>
        <v>9.448418474026024</v>
      </c>
      <c r="N35" s="44">
        <f>'продажи натураль.'!M34</f>
        <v>40.043730848854558</v>
      </c>
      <c r="O35" s="44">
        <f>'продажи натураль.'!N34</f>
        <v>9.54055377034007</v>
      </c>
    </row>
    <row r="36" spans="1:15" x14ac:dyDescent="0.2">
      <c r="A36" s="38" t="s">
        <v>30</v>
      </c>
      <c r="D36" s="44">
        <f>'продажи натураль.'!C35</f>
        <v>7.0767586456517195</v>
      </c>
      <c r="E36" s="44">
        <f>'продажи натураль.'!D35</f>
        <v>30.799147508218386</v>
      </c>
      <c r="F36" s="44">
        <f>'продажи натураль.'!E35</f>
        <v>12.222887605435165</v>
      </c>
      <c r="G36" s="44">
        <f>'продажи натураль.'!F35</f>
        <v>1.5269010033761974</v>
      </c>
      <c r="H36" s="44">
        <f>'продажи натураль.'!G35</f>
        <v>95.014158232712759</v>
      </c>
      <c r="I36" s="44">
        <f>'продажи натураль.'!H35</f>
        <v>70.066664060304703</v>
      </c>
      <c r="J36" s="44">
        <f>'продажи натураль.'!I35</f>
        <v>17.469463070189796</v>
      </c>
      <c r="K36" s="44">
        <f>'продажи натураль.'!J35</f>
        <v>2.1070230286473595</v>
      </c>
      <c r="L36" s="44">
        <f>'продажи натураль.'!K35</f>
        <v>7.6002282984169689</v>
      </c>
      <c r="M36" s="44">
        <f>'продажи натураль.'!L35</f>
        <v>20.227802853418634</v>
      </c>
      <c r="N36" s="44">
        <f>'продажи натураль.'!M35</f>
        <v>55.755777726085739</v>
      </c>
      <c r="O36" s="44">
        <f>'продажи натураль.'!N35</f>
        <v>16.134280285693727</v>
      </c>
    </row>
    <row r="37" spans="1:15" x14ac:dyDescent="0.2">
      <c r="A37" s="38" t="s">
        <v>31</v>
      </c>
      <c r="D37" s="44">
        <f>'продажи натураль.'!C36</f>
        <v>43.727239161959567</v>
      </c>
      <c r="E37" s="44">
        <f>'продажи натураль.'!D36</f>
        <v>13.24152622666718</v>
      </c>
      <c r="F37" s="44">
        <f>'продажи натураль.'!E36</f>
        <v>1.1989394560506073</v>
      </c>
      <c r="G37" s="44">
        <f>'продажи натураль.'!F36</f>
        <v>15.734061438647585</v>
      </c>
      <c r="H37" s="44">
        <f>'продажи натураль.'!G36</f>
        <v>3.2742199718435403</v>
      </c>
      <c r="I37" s="44">
        <f>'продажи натураль.'!H36</f>
        <v>12.604853982082297</v>
      </c>
      <c r="J37" s="44">
        <f>'продажи натураль.'!I36</f>
        <v>41.284093457654542</v>
      </c>
      <c r="K37" s="44">
        <f>'продажи натураль.'!J36</f>
        <v>9.5499197005210625</v>
      </c>
      <c r="L37" s="44">
        <f>'продажи натураль.'!K36</f>
        <v>20.849990447827551</v>
      </c>
      <c r="M37" s="44">
        <f>'продажи натураль.'!L36</f>
        <v>20.330541354055029</v>
      </c>
      <c r="N37" s="44">
        <f>'продажи натураль.'!M36</f>
        <v>45.13856274190497</v>
      </c>
      <c r="O37" s="44">
        <f>'продажи натураль.'!N36</f>
        <v>2.961621947353489</v>
      </c>
    </row>
    <row r="38" spans="1:15" x14ac:dyDescent="0.2">
      <c r="A38" s="38" t="s">
        <v>32</v>
      </c>
      <c r="D38" s="44">
        <f>'продажи натураль.'!C37</f>
        <v>0.30706463824549557</v>
      </c>
      <c r="E38" s="44">
        <f>'продажи натураль.'!D37</f>
        <v>5.7483138790383776</v>
      </c>
      <c r="F38" s="44">
        <f>'продажи натураль.'!E37</f>
        <v>41.475679832316366</v>
      </c>
      <c r="G38" s="44">
        <f>'продажи натураль.'!F37</f>
        <v>42.531873044997035</v>
      </c>
      <c r="H38" s="44">
        <f>'продажи натураль.'!G37</f>
        <v>34.901549999768733</v>
      </c>
      <c r="I38" s="44">
        <f>'продажи натураль.'!H37</f>
        <v>29.54454891581112</v>
      </c>
      <c r="J38" s="44">
        <f>'продажи натураль.'!I37</f>
        <v>6.5543440882821953</v>
      </c>
      <c r="K38" s="44">
        <f>'продажи натураль.'!J37</f>
        <v>12.867844056634926</v>
      </c>
      <c r="L38" s="44">
        <f>'продажи натураль.'!K37</f>
        <v>12.890696063377817</v>
      </c>
      <c r="M38" s="44">
        <f>'продажи натураль.'!L37</f>
        <v>34.535340888140389</v>
      </c>
      <c r="N38" s="44">
        <f>'продажи натураль.'!M37</f>
        <v>22.366368185277537</v>
      </c>
      <c r="O38" s="44">
        <f>'продажи натураль.'!N37</f>
        <v>31.537032865644438</v>
      </c>
    </row>
    <row r="39" spans="1:15" x14ac:dyDescent="0.2">
      <c r="A39" s="38" t="s">
        <v>33</v>
      </c>
      <c r="D39" s="44">
        <f>'продажи натураль.'!C38</f>
        <v>16.641579248034606</v>
      </c>
      <c r="E39" s="44">
        <f>'продажи натураль.'!D38</f>
        <v>8.4269745340639286</v>
      </c>
      <c r="F39" s="44">
        <f>'продажи натураль.'!E38</f>
        <v>1.4194516427935173</v>
      </c>
      <c r="G39" s="44">
        <f>'продажи натураль.'!F38</f>
        <v>33.023209457669658</v>
      </c>
      <c r="H39" s="44">
        <f>'продажи натураль.'!G38</f>
        <v>48.384808587626999</v>
      </c>
      <c r="I39" s="44">
        <f>'продажи натураль.'!H38</f>
        <v>16.690174112828352</v>
      </c>
      <c r="J39" s="44">
        <f>'продажи натураль.'!I38</f>
        <v>33.292311096226236</v>
      </c>
      <c r="K39" s="44">
        <f>'продажи натураль.'!J38</f>
        <v>8.1760035753963187</v>
      </c>
      <c r="L39" s="44">
        <f>'продажи натураль.'!K38</f>
        <v>5.4364535191230452</v>
      </c>
      <c r="M39" s="44">
        <f>'продажи натураль.'!L38</f>
        <v>7.6269869053812922</v>
      </c>
      <c r="N39" s="44">
        <f>'продажи натураль.'!M38</f>
        <v>13.804760934812579</v>
      </c>
      <c r="O39" s="44">
        <f>'продажи натураль.'!N38</f>
        <v>1.824976210946476</v>
      </c>
    </row>
    <row r="40" spans="1:15" x14ac:dyDescent="0.2">
      <c r="A40" s="38" t="s">
        <v>34</v>
      </c>
      <c r="D40" s="44">
        <f>'продажи натураль.'!C39</f>
        <v>10.833769977790519</v>
      </c>
      <c r="E40" s="44">
        <f>'продажи натураль.'!D39</f>
        <v>39.606537294983688</v>
      </c>
      <c r="F40" s="44">
        <f>'продажи натураль.'!E39</f>
        <v>18.380131581757542</v>
      </c>
      <c r="G40" s="44">
        <f>'продажи натураль.'!F39</f>
        <v>9.8923085577045171</v>
      </c>
      <c r="H40" s="44">
        <f>'продажи натураль.'!G39</f>
        <v>63.652465512776836</v>
      </c>
      <c r="I40" s="44">
        <f>'продажи натураль.'!H39</f>
        <v>80.821517424988883</v>
      </c>
      <c r="J40" s="44">
        <f>'продажи натураль.'!I39</f>
        <v>18.569153359439387</v>
      </c>
      <c r="K40" s="44">
        <f>'продажи натураль.'!J39</f>
        <v>19.380344367791285</v>
      </c>
      <c r="L40" s="44">
        <f>'продажи натураль.'!K39</f>
        <v>28.456451748571947</v>
      </c>
      <c r="M40" s="44">
        <f>'продажи натураль.'!L39</f>
        <v>21.460882924920341</v>
      </c>
      <c r="N40" s="44">
        <f>'продажи натураль.'!M39</f>
        <v>5.7222552144531758</v>
      </c>
      <c r="O40" s="44">
        <f>'продажи натураль.'!N39</f>
        <v>14.834584092217513</v>
      </c>
    </row>
    <row r="41" spans="1:15" x14ac:dyDescent="0.2">
      <c r="A41" s="37" t="s">
        <v>35</v>
      </c>
      <c r="D41" s="46">
        <f>SUM(D42:D51)</f>
        <v>192.98665250576346</v>
      </c>
      <c r="E41" s="46">
        <f t="shared" ref="E41:I41" si="44">SUM(E42:E51)</f>
        <v>257.28254522327762</v>
      </c>
      <c r="F41" s="46">
        <f t="shared" si="44"/>
        <v>156.23435520570504</v>
      </c>
      <c r="G41" s="46">
        <f t="shared" si="44"/>
        <v>231.28164961396342</v>
      </c>
      <c r="H41" s="46">
        <f t="shared" si="44"/>
        <v>376.9852943459025</v>
      </c>
      <c r="I41" s="46">
        <f t="shared" si="44"/>
        <v>246.30076849582989</v>
      </c>
      <c r="J41" s="46">
        <f t="shared" ref="J41" si="45">SUM(J42:J51)</f>
        <v>225.31696225257255</v>
      </c>
      <c r="K41" s="46">
        <f t="shared" ref="K41" si="46">SUM(K42:K51)</f>
        <v>281.46481098333504</v>
      </c>
      <c r="L41" s="46">
        <f t="shared" ref="L41" si="47">SUM(L42:L51)</f>
        <v>232.33096198741154</v>
      </c>
      <c r="M41" s="46">
        <f t="shared" ref="M41" si="48">SUM(M42:M51)</f>
        <v>232.45096070536704</v>
      </c>
      <c r="N41" s="46">
        <f t="shared" ref="N41" si="49">SUM(N42:N51)</f>
        <v>313.61011416117617</v>
      </c>
      <c r="O41" s="46">
        <f t="shared" ref="O41" si="50">SUM(O42:O51)</f>
        <v>310.83593328284485</v>
      </c>
    </row>
    <row r="42" spans="1:15" x14ac:dyDescent="0.2">
      <c r="A42" s="38" t="s">
        <v>25</v>
      </c>
      <c r="D42" s="44">
        <f>'продажи натураль.'!C41</f>
        <v>68.509686785916401</v>
      </c>
      <c r="E42" s="44">
        <f>'продажи натураль.'!D41</f>
        <v>23.311880029749375</v>
      </c>
      <c r="F42" s="44">
        <f>'продажи натураль.'!E41</f>
        <v>10.848903230243655</v>
      </c>
      <c r="G42" s="44">
        <f>'продажи натураль.'!F41</f>
        <v>6.7080717988203062</v>
      </c>
      <c r="H42" s="44">
        <f>'продажи натураль.'!G41</f>
        <v>25.103329718828888</v>
      </c>
      <c r="I42" s="44">
        <f>'продажи натураль.'!H41</f>
        <v>37.58680924311431</v>
      </c>
      <c r="J42" s="44">
        <f>'продажи натураль.'!I41</f>
        <v>13.732024706935515</v>
      </c>
      <c r="K42" s="44">
        <f>'продажи натураль.'!J41</f>
        <v>1.3284247918719709</v>
      </c>
      <c r="L42" s="44">
        <f>'продажи натураль.'!K41</f>
        <v>55.606627494305449</v>
      </c>
      <c r="M42" s="44">
        <f>'продажи натураль.'!L41</f>
        <v>23.004258733056616</v>
      </c>
      <c r="N42" s="44">
        <f>'продажи натураль.'!M41</f>
        <v>79.496722353064243</v>
      </c>
      <c r="O42" s="44">
        <f>'продажи натураль.'!N41</f>
        <v>34.096283347173078</v>
      </c>
    </row>
    <row r="43" spans="1:15" x14ac:dyDescent="0.2">
      <c r="A43" s="38" t="s">
        <v>26</v>
      </c>
      <c r="D43" s="44">
        <f>'продажи натураль.'!C42</f>
        <v>13.041432566965621</v>
      </c>
      <c r="E43" s="44">
        <f>'продажи натураль.'!D42</f>
        <v>41.767808583823609</v>
      </c>
      <c r="F43" s="44">
        <f>'продажи натураль.'!E42</f>
        <v>21.916558190603652</v>
      </c>
      <c r="G43" s="44">
        <f>'продажи натураль.'!F42</f>
        <v>21.745064682742495</v>
      </c>
      <c r="H43" s="44">
        <f>'продажи натураль.'!G42</f>
        <v>5.7966299785866964</v>
      </c>
      <c r="I43" s="44">
        <f>'продажи натураль.'!H42</f>
        <v>75.296316192098033</v>
      </c>
      <c r="J43" s="44">
        <f>'продажи натураль.'!I42</f>
        <v>7.285966022883561E-2</v>
      </c>
      <c r="K43" s="44">
        <f>'продажи натураль.'!J42</f>
        <v>11.438010483736869</v>
      </c>
      <c r="L43" s="44">
        <f>'продажи натураль.'!K42</f>
        <v>9.7964947096887212</v>
      </c>
      <c r="M43" s="44">
        <f>'продажи натураль.'!L42</f>
        <v>30.271905696904838</v>
      </c>
      <c r="N43" s="44">
        <f>'продажи натураль.'!M42</f>
        <v>62.049582898088055</v>
      </c>
      <c r="O43" s="44">
        <f>'продажи натураль.'!N42</f>
        <v>30.479229947871712</v>
      </c>
    </row>
    <row r="44" spans="1:15" x14ac:dyDescent="0.2">
      <c r="A44" s="38" t="s">
        <v>27</v>
      </c>
      <c r="D44" s="44">
        <f>'продажи натураль.'!C43</f>
        <v>23.423771171719036</v>
      </c>
      <c r="E44" s="44">
        <f>'продажи натураль.'!D43</f>
        <v>8.791199936968777</v>
      </c>
      <c r="F44" s="44">
        <f>'продажи натураль.'!E43</f>
        <v>31.00332657464919</v>
      </c>
      <c r="G44" s="44">
        <f>'продажи натураль.'!F43</f>
        <v>16.064309797418293</v>
      </c>
      <c r="H44" s="44">
        <f>'продажи натураль.'!G43</f>
        <v>4.0700671706274258</v>
      </c>
      <c r="I44" s="44">
        <f>'продажи натураль.'!H43</f>
        <v>23.717039414417975</v>
      </c>
      <c r="J44" s="44">
        <f>'продажи натураль.'!I43</f>
        <v>5.9420175019570349</v>
      </c>
      <c r="K44" s="44">
        <f>'продажи натураль.'!J43</f>
        <v>57.728833120865751</v>
      </c>
      <c r="L44" s="44">
        <f>'продажи натураль.'!K43</f>
        <v>4.2172150485687441</v>
      </c>
      <c r="M44" s="44">
        <f>'продажи натураль.'!L43</f>
        <v>13.751772534902216</v>
      </c>
      <c r="N44" s="44">
        <f>'продажи натураль.'!M43</f>
        <v>8.7114613030077415</v>
      </c>
      <c r="O44" s="44">
        <f>'продажи натураль.'!N43</f>
        <v>29.622102118794693</v>
      </c>
    </row>
    <row r="45" spans="1:15" x14ac:dyDescent="0.2">
      <c r="A45" s="38" t="s">
        <v>28</v>
      </c>
      <c r="D45" s="44">
        <f>'продажи натураль.'!C44</f>
        <v>13.250760825797991</v>
      </c>
      <c r="E45" s="44">
        <f>'продажи натураль.'!D44</f>
        <v>4.493911902596408</v>
      </c>
      <c r="F45" s="44">
        <f>'продажи натураль.'!E44</f>
        <v>3.893264243937951</v>
      </c>
      <c r="G45" s="44">
        <f>'продажи натураль.'!F44</f>
        <v>33.939907455893163</v>
      </c>
      <c r="H45" s="44">
        <f>'продажи натураль.'!G44</f>
        <v>86.766471466695734</v>
      </c>
      <c r="I45" s="44">
        <f>'продажи натураль.'!H44</f>
        <v>6.8734428403645698</v>
      </c>
      <c r="J45" s="44">
        <f>'продажи натураль.'!I44</f>
        <v>46.775530525142251</v>
      </c>
      <c r="K45" s="44">
        <f>'продажи натураль.'!J44</f>
        <v>11.847216702484827</v>
      </c>
      <c r="L45" s="44">
        <f>'продажи натураль.'!K44</f>
        <v>25.392694133357367</v>
      </c>
      <c r="M45" s="44">
        <f>'продажи натураль.'!L44</f>
        <v>3.0383255574134473</v>
      </c>
      <c r="N45" s="44">
        <f>'продажи натураль.'!M44</f>
        <v>20.065623939644752</v>
      </c>
      <c r="O45" s="44">
        <f>'продажи натураль.'!N44</f>
        <v>2.107931499945126</v>
      </c>
    </row>
    <row r="46" spans="1:15" x14ac:dyDescent="0.2">
      <c r="A46" s="38" t="s">
        <v>29</v>
      </c>
      <c r="D46" s="44">
        <f>'продажи натураль.'!C45</f>
        <v>17.026083204565523</v>
      </c>
      <c r="E46" s="44">
        <f>'продажи натураль.'!D45</f>
        <v>35.378308060865336</v>
      </c>
      <c r="F46" s="44">
        <f>'продажи натураль.'!E45</f>
        <v>23.895634103934142</v>
      </c>
      <c r="G46" s="44">
        <f>'продажи натураль.'!F45</f>
        <v>15.797447624990575</v>
      </c>
      <c r="H46" s="44">
        <f>'продажи натураль.'!G45</f>
        <v>10.834598770137029</v>
      </c>
      <c r="I46" s="44">
        <f>'продажи натураль.'!H45</f>
        <v>8.9376842523974602</v>
      </c>
      <c r="J46" s="44">
        <f>'продажи натураль.'!I45</f>
        <v>50.272364534731615</v>
      </c>
      <c r="K46" s="44">
        <f>'продажи натураль.'!J45</f>
        <v>47.80189856145364</v>
      </c>
      <c r="L46" s="44">
        <f>'продажи натураль.'!K45</f>
        <v>47.245688620816658</v>
      </c>
      <c r="M46" s="44">
        <f>'продажи натураль.'!L45</f>
        <v>13.593619970175817</v>
      </c>
      <c r="N46" s="44">
        <f>'продажи натураль.'!M45</f>
        <v>11.003716948984874</v>
      </c>
      <c r="O46" s="44">
        <f>'продажи натураль.'!N45</f>
        <v>25.607743932766418</v>
      </c>
    </row>
    <row r="47" spans="1:15" x14ac:dyDescent="0.2">
      <c r="A47" s="38" t="s">
        <v>30</v>
      </c>
      <c r="D47" s="44">
        <f>'продажи натураль.'!C46</f>
        <v>15.253932049860996</v>
      </c>
      <c r="E47" s="44">
        <f>'продажи натураль.'!D46</f>
        <v>18.313636629402264</v>
      </c>
      <c r="F47" s="44">
        <f>'продажи натураль.'!E46</f>
        <v>6.6909946162179672</v>
      </c>
      <c r="G47" s="44">
        <f>'продажи натураль.'!F46</f>
        <v>66.021619125332933</v>
      </c>
      <c r="H47" s="44">
        <f>'продажи натураль.'!G46</f>
        <v>80.885698917485612</v>
      </c>
      <c r="I47" s="44">
        <f>'продажи натураль.'!H46</f>
        <v>18.865710812234649</v>
      </c>
      <c r="J47" s="44">
        <f>'продажи натураль.'!I46</f>
        <v>18.876499161239632</v>
      </c>
      <c r="K47" s="44">
        <f>'продажи натураль.'!J46</f>
        <v>43.609843404713132</v>
      </c>
      <c r="L47" s="44">
        <f>'продажи натураль.'!K46</f>
        <v>15.037882421181624</v>
      </c>
      <c r="M47" s="44">
        <f>'продажи натураль.'!L46</f>
        <v>18.828159850761878</v>
      </c>
      <c r="N47" s="44">
        <f>'продажи натураль.'!M46</f>
        <v>14.187903718651203</v>
      </c>
      <c r="O47" s="44">
        <f>'продажи натураль.'!N46</f>
        <v>9.3492326188098041</v>
      </c>
    </row>
    <row r="48" spans="1:15" x14ac:dyDescent="0.2">
      <c r="A48" s="38" t="s">
        <v>31</v>
      </c>
      <c r="D48" s="44">
        <f>'продажи натураль.'!C47</f>
        <v>7.920459456861197</v>
      </c>
      <c r="E48" s="44">
        <f>'продажи натураль.'!D47</f>
        <v>12.191389490765587</v>
      </c>
      <c r="F48" s="44">
        <f>'продажи натураль.'!E47</f>
        <v>17.18474749164384</v>
      </c>
      <c r="G48" s="44">
        <f>'продажи натураль.'!F47</f>
        <v>29.880711734422192</v>
      </c>
      <c r="H48" s="44">
        <f>'продажи натураль.'!G47</f>
        <v>46.879948286757426</v>
      </c>
      <c r="I48" s="44">
        <f>'продажи натураль.'!H47</f>
        <v>17.148379605651254</v>
      </c>
      <c r="J48" s="44">
        <f>'продажи натураль.'!I47</f>
        <v>64.213243135491055</v>
      </c>
      <c r="K48" s="44">
        <f>'продажи натураль.'!J47</f>
        <v>20.510381993339706</v>
      </c>
      <c r="L48" s="44">
        <f>'продажи натураль.'!K47</f>
        <v>41.126539815844275</v>
      </c>
      <c r="M48" s="44">
        <f>'продажи натураль.'!L47</f>
        <v>41.408460874770626</v>
      </c>
      <c r="N48" s="44">
        <f>'продажи натураль.'!M47</f>
        <v>30.454449805024741</v>
      </c>
      <c r="O48" s="44">
        <f>'продажи натураль.'!N47</f>
        <v>25.963746972586979</v>
      </c>
    </row>
    <row r="49" spans="1:15" x14ac:dyDescent="0.2">
      <c r="A49" s="38" t="s">
        <v>32</v>
      </c>
      <c r="D49" s="44">
        <f>'продажи натураль.'!C48</f>
        <v>10.633948796915389</v>
      </c>
      <c r="E49" s="44">
        <f>'продажи натураль.'!D48</f>
        <v>37.597192154092085</v>
      </c>
      <c r="F49" s="44">
        <f>'продажи натураль.'!E48</f>
        <v>3.1503660914237779</v>
      </c>
      <c r="G49" s="44">
        <f>'продажи натураль.'!F48</f>
        <v>6.3502823094472411</v>
      </c>
      <c r="H49" s="44">
        <f>'продажи натураль.'!G48</f>
        <v>31.704284562831653</v>
      </c>
      <c r="I49" s="44">
        <f>'продажи натураль.'!H48</f>
        <v>1.4383767261199054E-2</v>
      </c>
      <c r="J49" s="44">
        <f>'продажи натураль.'!I48</f>
        <v>16.015244693541622</v>
      </c>
      <c r="K49" s="44">
        <f>'продажи натураль.'!J48</f>
        <v>4.7454770891727787</v>
      </c>
      <c r="L49" s="44">
        <f>'продажи натураль.'!K48</f>
        <v>18.213627821505533</v>
      </c>
      <c r="M49" s="44">
        <f>'продажи натураль.'!L48</f>
        <v>18.124370837901015</v>
      </c>
      <c r="N49" s="44">
        <f>'продажи натураль.'!M48</f>
        <v>18.189547407786197</v>
      </c>
      <c r="O49" s="44">
        <f>'продажи натураль.'!N48</f>
        <v>40.309296795576934</v>
      </c>
    </row>
    <row r="50" spans="1:15" x14ac:dyDescent="0.2">
      <c r="A50" s="38" t="s">
        <v>33</v>
      </c>
      <c r="D50" s="44">
        <f>'продажи натураль.'!C49</f>
        <v>13.907426382459686</v>
      </c>
      <c r="E50" s="44">
        <f>'продажи натураль.'!D49</f>
        <v>27.618581669391737</v>
      </c>
      <c r="F50" s="44">
        <f>'продажи натураль.'!E49</f>
        <v>25.345884049550993</v>
      </c>
      <c r="G50" s="44">
        <f>'продажи натураль.'!F49</f>
        <v>28.142297828005603</v>
      </c>
      <c r="H50" s="44">
        <f>'продажи натураль.'!G49</f>
        <v>7.0283778950727518</v>
      </c>
      <c r="I50" s="44">
        <f>'продажи натураль.'!H49</f>
        <v>24.382734321330737</v>
      </c>
      <c r="J50" s="44">
        <f>'продажи натураль.'!I49</f>
        <v>1.8688867547196455</v>
      </c>
      <c r="K50" s="44">
        <f>'продажи натураль.'!J49</f>
        <v>19.187332284409031</v>
      </c>
      <c r="L50" s="44">
        <f>'продажи натураль.'!K49</f>
        <v>7.8630546642846522</v>
      </c>
      <c r="M50" s="44">
        <f>'продажи натураль.'!L49</f>
        <v>67.754529234200731</v>
      </c>
      <c r="N50" s="44">
        <f>'продажи натураль.'!M49</f>
        <v>7.4347555638770402</v>
      </c>
      <c r="O50" s="44">
        <f>'продажи натураль.'!N49</f>
        <v>31.016746864420305</v>
      </c>
    </row>
    <row r="51" spans="1:15" x14ac:dyDescent="0.2">
      <c r="A51" s="38" t="s">
        <v>34</v>
      </c>
      <c r="D51" s="44">
        <f>'продажи натураль.'!C50</f>
        <v>10.019151264701627</v>
      </c>
      <c r="E51" s="44">
        <f>'продажи натураль.'!D50</f>
        <v>47.818636765622394</v>
      </c>
      <c r="F51" s="44">
        <f>'продажи натураль.'!E50</f>
        <v>12.304676613499884</v>
      </c>
      <c r="G51" s="44">
        <f>'продажи натураль.'!F50</f>
        <v>6.631937256890617</v>
      </c>
      <c r="H51" s="44">
        <f>'продажи натураль.'!G50</f>
        <v>77.915887578879222</v>
      </c>
      <c r="I51" s="44">
        <f>'продажи натураль.'!H50</f>
        <v>33.47826804695972</v>
      </c>
      <c r="J51" s="44">
        <f>'продажи натураль.'!I50</f>
        <v>7.5482915785853484</v>
      </c>
      <c r="K51" s="44">
        <f>'продажи натураль.'!J50</f>
        <v>63.267392551287358</v>
      </c>
      <c r="L51" s="44">
        <f>'продажи натураль.'!K50</f>
        <v>7.8311372578585372</v>
      </c>
      <c r="M51" s="44">
        <f>'продажи натураль.'!L50</f>
        <v>2.6755574152798496</v>
      </c>
      <c r="N51" s="44">
        <f>'продажи натураль.'!M50</f>
        <v>62.016350223047297</v>
      </c>
      <c r="O51" s="44">
        <f>'продажи натураль.'!N50</f>
        <v>82.283619184899834</v>
      </c>
    </row>
    <row r="52" spans="1:15" x14ac:dyDescent="0.2">
      <c r="A52" s="38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</row>
    <row r="53" spans="1:15" x14ac:dyDescent="0.2">
      <c r="A53" s="3" t="s">
        <v>37</v>
      </c>
      <c r="B53" s="3"/>
      <c r="C53" s="3"/>
      <c r="D53" s="43">
        <f>D54+D77</f>
        <v>1075.2852553507726</v>
      </c>
      <c r="E53" s="43">
        <f t="shared" ref="E53:I53" si="51">E54+E77</f>
        <v>1153.5455270674852</v>
      </c>
      <c r="F53" s="43">
        <f t="shared" si="51"/>
        <v>1762.3739976239542</v>
      </c>
      <c r="G53" s="43">
        <f t="shared" si="51"/>
        <v>1521.6351329041458</v>
      </c>
      <c r="H53" s="43">
        <f t="shared" si="51"/>
        <v>1507.9409077197856</v>
      </c>
      <c r="I53" s="43">
        <f t="shared" si="51"/>
        <v>1142.0745121575264</v>
      </c>
      <c r="J53" s="43">
        <f t="shared" ref="J53" si="52">J54+J77</f>
        <v>1322.7094323309627</v>
      </c>
      <c r="K53" s="43">
        <f t="shared" ref="K53" si="53">K54+K77</f>
        <v>1604.1593701125644</v>
      </c>
      <c r="L53" s="43">
        <f t="shared" ref="L53" si="54">L54+L77</f>
        <v>1350.0129762583247</v>
      </c>
      <c r="M53" s="43">
        <f t="shared" ref="M53" si="55">M54+M77</f>
        <v>1813.5579392014256</v>
      </c>
      <c r="N53" s="43">
        <f t="shared" ref="N53" si="56">N54+N77</f>
        <v>1488.8937163151431</v>
      </c>
      <c r="O53" s="43">
        <f t="shared" ref="O53" si="57">O54+O77</f>
        <v>1108.7551695863881</v>
      </c>
    </row>
    <row r="54" spans="1:15" x14ac:dyDescent="0.2">
      <c r="A54" s="4" t="s">
        <v>23</v>
      </c>
      <c r="B54" s="4"/>
      <c r="C54" s="4"/>
      <c r="D54" s="45">
        <f>D55+D66</f>
        <v>429.01237080984606</v>
      </c>
      <c r="E54" s="45">
        <f t="shared" ref="E54:I54" si="58">E55+E66</f>
        <v>521.78334398432787</v>
      </c>
      <c r="F54" s="45">
        <f t="shared" si="58"/>
        <v>641.30919456800916</v>
      </c>
      <c r="G54" s="45">
        <f t="shared" si="58"/>
        <v>531.86452715966993</v>
      </c>
      <c r="H54" s="45">
        <f t="shared" si="58"/>
        <v>603.55109904283995</v>
      </c>
      <c r="I54" s="45">
        <f t="shared" si="58"/>
        <v>441.3044611489147</v>
      </c>
      <c r="J54" s="45">
        <f t="shared" ref="J54" si="59">J55+J66</f>
        <v>535.61208270592363</v>
      </c>
      <c r="K54" s="45">
        <f t="shared" ref="K54" si="60">K55+K66</f>
        <v>595.24075922149939</v>
      </c>
      <c r="L54" s="45">
        <f t="shared" ref="L54" si="61">L55+L66</f>
        <v>541.50468929593706</v>
      </c>
      <c r="M54" s="45">
        <f t="shared" ref="M54" si="62">M55+M66</f>
        <v>708.60542700280325</v>
      </c>
      <c r="N54" s="45">
        <f t="shared" ref="N54" si="63">N55+N66</f>
        <v>586.8513362765093</v>
      </c>
      <c r="O54" s="45">
        <f t="shared" ref="O54" si="64">O55+O66</f>
        <v>452.46089455021411</v>
      </c>
    </row>
    <row r="55" spans="1:15" x14ac:dyDescent="0.2">
      <c r="A55" s="37" t="s">
        <v>24</v>
      </c>
      <c r="D55" s="46">
        <f>SUM(D56:D65)</f>
        <v>164.50864445747922</v>
      </c>
      <c r="E55" s="46">
        <f t="shared" ref="E55:I55" si="65">SUM(E56:E65)</f>
        <v>238.58800939863869</v>
      </c>
      <c r="F55" s="46">
        <f t="shared" si="65"/>
        <v>323.25906307616179</v>
      </c>
      <c r="G55" s="46">
        <f t="shared" si="65"/>
        <v>196.03272046469408</v>
      </c>
      <c r="H55" s="46">
        <f t="shared" si="65"/>
        <v>344.96263648897104</v>
      </c>
      <c r="I55" s="46">
        <f t="shared" si="65"/>
        <v>204.67803145705764</v>
      </c>
      <c r="J55" s="46">
        <f t="shared" ref="J55" si="66">SUM(J56:J65)</f>
        <v>272.7116829365869</v>
      </c>
      <c r="K55" s="46">
        <f t="shared" ref="K55" si="67">SUM(K56:K65)</f>
        <v>270.14438427069854</v>
      </c>
      <c r="L55" s="46">
        <f t="shared" ref="L55" si="68">SUM(L56:L65)</f>
        <v>258.44966913826897</v>
      </c>
      <c r="M55" s="46">
        <f t="shared" ref="M55" si="69">SUM(M56:M65)</f>
        <v>352.79026011252245</v>
      </c>
      <c r="N55" s="46">
        <f t="shared" ref="N55" si="70">SUM(N56:N65)</f>
        <v>282.88535424491766</v>
      </c>
      <c r="O55" s="46">
        <f t="shared" ref="O55" si="71">SUM(O56:O65)</f>
        <v>295.01212613102956</v>
      </c>
    </row>
    <row r="56" spans="1:15" x14ac:dyDescent="0.2">
      <c r="A56" s="38" t="s">
        <v>25</v>
      </c>
      <c r="D56" s="44">
        <f>'продажи натураль.'!C55</f>
        <v>14.741586095684205</v>
      </c>
      <c r="E56" s="44">
        <f>'продажи натураль.'!D55</f>
        <v>0.2225291211880448</v>
      </c>
      <c r="F56" s="44">
        <f>'продажи натураль.'!E55</f>
        <v>29.058089666441056</v>
      </c>
      <c r="G56" s="44">
        <f>'продажи натураль.'!F55</f>
        <v>15.446215770346749</v>
      </c>
      <c r="H56" s="44">
        <f>'продажи натураль.'!G55</f>
        <v>28.229551648338777</v>
      </c>
      <c r="I56" s="44">
        <f>'продажи натураль.'!H55</f>
        <v>4.3920225737513841</v>
      </c>
      <c r="J56" s="44">
        <f>'продажи натураль.'!I55</f>
        <v>9.9694973872321686</v>
      </c>
      <c r="K56" s="44">
        <f>'продажи натураль.'!J55</f>
        <v>16.236112734485665</v>
      </c>
      <c r="L56" s="44">
        <f>'продажи натураль.'!K55</f>
        <v>11.746536016914407</v>
      </c>
      <c r="M56" s="44">
        <f>'продажи натураль.'!L55</f>
        <v>7.9047830075188479</v>
      </c>
      <c r="N56" s="44">
        <f>'продажи натураль.'!M55</f>
        <v>19.466813850539022</v>
      </c>
      <c r="O56" s="44">
        <f>'продажи натураль.'!N55</f>
        <v>30.43084307054583</v>
      </c>
    </row>
    <row r="57" spans="1:15" x14ac:dyDescent="0.2">
      <c r="A57" s="38" t="s">
        <v>26</v>
      </c>
      <c r="D57" s="44">
        <f>'продажи натураль.'!C56</f>
        <v>34.885628362616202</v>
      </c>
      <c r="E57" s="44">
        <f>'продажи натураль.'!D56</f>
        <v>23.642576363282892</v>
      </c>
      <c r="F57" s="44">
        <f>'продажи натураль.'!E56</f>
        <v>38.08095499501129</v>
      </c>
      <c r="G57" s="44">
        <f>'продажи натураль.'!F56</f>
        <v>11.666726707226644</v>
      </c>
      <c r="H57" s="44">
        <f>'продажи натураль.'!G56</f>
        <v>49.219159579902076</v>
      </c>
      <c r="I57" s="44">
        <f>'продажи натураль.'!H56</f>
        <v>2.3095820496723714</v>
      </c>
      <c r="J57" s="44">
        <f>'продажи натураль.'!I56</f>
        <v>34.998755790639933</v>
      </c>
      <c r="K57" s="44">
        <f>'продажи натураль.'!J56</f>
        <v>9.531144336564644</v>
      </c>
      <c r="L57" s="44">
        <f>'продажи натураль.'!K56</f>
        <v>27.788370513368498</v>
      </c>
      <c r="M57" s="44">
        <f>'продажи натураль.'!L56</f>
        <v>9.3936630581137948</v>
      </c>
      <c r="N57" s="44">
        <f>'продажи натураль.'!M56</f>
        <v>53.023202360322713</v>
      </c>
      <c r="O57" s="44">
        <f>'продажи натураль.'!N56</f>
        <v>19.487806620398381</v>
      </c>
    </row>
    <row r="58" spans="1:15" x14ac:dyDescent="0.2">
      <c r="A58" s="38" t="s">
        <v>27</v>
      </c>
      <c r="D58" s="44">
        <f>'продажи натураль.'!C57</f>
        <v>4.0909481014330726</v>
      </c>
      <c r="E58" s="44">
        <f>'продажи натураль.'!D57</f>
        <v>80.303957530120627</v>
      </c>
      <c r="F58" s="44">
        <f>'продажи натураль.'!E57</f>
        <v>31.751146917507644</v>
      </c>
      <c r="G58" s="44">
        <f>'продажи натураль.'!F57</f>
        <v>43.699102009385065</v>
      </c>
      <c r="H58" s="44">
        <f>'продажи натураль.'!G57</f>
        <v>24.478209812614143</v>
      </c>
      <c r="I58" s="44">
        <f>'продажи натураль.'!H57</f>
        <v>49.214539620361869</v>
      </c>
      <c r="J58" s="44">
        <f>'продажи натураль.'!I57</f>
        <v>1.3908029731877001</v>
      </c>
      <c r="K58" s="44">
        <f>'продажи натураль.'!J57</f>
        <v>13.911101512084372</v>
      </c>
      <c r="L58" s="44">
        <f>'продажи натураль.'!K57</f>
        <v>0.71733015396803546</v>
      </c>
      <c r="M58" s="44">
        <f>'продажи натураль.'!L57</f>
        <v>39.505965257485954</v>
      </c>
      <c r="N58" s="44">
        <f>'продажи натураль.'!M57</f>
        <v>71.734219449255733</v>
      </c>
      <c r="O58" s="44">
        <f>'продажи натураль.'!N57</f>
        <v>10.276514232526061</v>
      </c>
    </row>
    <row r="59" spans="1:15" x14ac:dyDescent="0.2">
      <c r="A59" s="38" t="s">
        <v>28</v>
      </c>
      <c r="D59" s="44">
        <f>'продажи натураль.'!C58</f>
        <v>9.8472747531810327</v>
      </c>
      <c r="E59" s="44">
        <f>'продажи натураль.'!D58</f>
        <v>2.8020327358977171</v>
      </c>
      <c r="F59" s="44">
        <f>'продажи натураль.'!E58</f>
        <v>31.886020640370759</v>
      </c>
      <c r="G59" s="44">
        <f>'продажи натураль.'!F58</f>
        <v>26.419944821589063</v>
      </c>
      <c r="H59" s="44">
        <f>'продажи натураль.'!G58</f>
        <v>29.730123381185724</v>
      </c>
      <c r="I59" s="44">
        <f>'продажи натураль.'!H58</f>
        <v>11.945942757251961</v>
      </c>
      <c r="J59" s="44">
        <f>'продажи натураль.'!I58</f>
        <v>33.161864328153392</v>
      </c>
      <c r="K59" s="44">
        <f>'продажи натураль.'!J58</f>
        <v>49.330399827375714</v>
      </c>
      <c r="L59" s="44">
        <f>'продажи натураль.'!K58</f>
        <v>9.3467845059109642</v>
      </c>
      <c r="M59" s="44">
        <f>'продажи натураль.'!L58</f>
        <v>72.309926945561074</v>
      </c>
      <c r="N59" s="44">
        <f>'продажи натураль.'!M58</f>
        <v>9.2646484598303118</v>
      </c>
      <c r="O59" s="44">
        <f>'продажи натураль.'!N58</f>
        <v>4.2236140592427454</v>
      </c>
    </row>
    <row r="60" spans="1:15" x14ac:dyDescent="0.2">
      <c r="A60" s="38" t="s">
        <v>29</v>
      </c>
      <c r="D60" s="44">
        <f>'продажи натураль.'!C59</f>
        <v>9.320179798805496</v>
      </c>
      <c r="E60" s="44">
        <f>'продажи натураль.'!D59</f>
        <v>76.171961193713116</v>
      </c>
      <c r="F60" s="44">
        <f>'продажи натураль.'!E59</f>
        <v>45.467435846853085</v>
      </c>
      <c r="G60" s="44">
        <f>'продажи натураль.'!F59</f>
        <v>13.629793200671116</v>
      </c>
      <c r="H60" s="44">
        <f>'продажи натураль.'!G59</f>
        <v>13.396950117879939</v>
      </c>
      <c r="I60" s="44">
        <f>'продажи натураль.'!H59</f>
        <v>1.033599849414325</v>
      </c>
      <c r="J60" s="44">
        <f>'продажи натураль.'!I59</f>
        <v>13.691993387478441</v>
      </c>
      <c r="K60" s="44">
        <f>'продажи натураль.'!J59</f>
        <v>23.424455588770975</v>
      </c>
      <c r="L60" s="44">
        <f>'продажи натураль.'!K59</f>
        <v>1.1933014904681105</v>
      </c>
      <c r="M60" s="44">
        <f>'продажи натураль.'!L59</f>
        <v>44.150740723251459</v>
      </c>
      <c r="N60" s="44">
        <f>'продажи натураль.'!M59</f>
        <v>42.886423413449108</v>
      </c>
      <c r="O60" s="44">
        <f>'продажи натураль.'!N59</f>
        <v>73.370169538576334</v>
      </c>
    </row>
    <row r="61" spans="1:15" x14ac:dyDescent="0.2">
      <c r="A61" s="38" t="s">
        <v>30</v>
      </c>
      <c r="D61" s="44">
        <f>'продажи натураль.'!C60</f>
        <v>1.2818039963477879</v>
      </c>
      <c r="E61" s="44">
        <f>'продажи натураль.'!D60</f>
        <v>3.8409131510313861</v>
      </c>
      <c r="F61" s="44">
        <f>'продажи натураль.'!E60</f>
        <v>1.486846687551074</v>
      </c>
      <c r="G61" s="44">
        <f>'продажи натураль.'!F60</f>
        <v>30.651766921606331</v>
      </c>
      <c r="H61" s="44">
        <f>'продажи натураль.'!G60</f>
        <v>35.972381427609278</v>
      </c>
      <c r="I61" s="44">
        <f>'продажи натураль.'!H60</f>
        <v>2.503926039673634</v>
      </c>
      <c r="J61" s="44">
        <f>'продажи натураль.'!I60</f>
        <v>22.183524139347721</v>
      </c>
      <c r="K61" s="44">
        <f>'продажи натураль.'!J60</f>
        <v>51.734182577416007</v>
      </c>
      <c r="L61" s="44">
        <f>'продажи натураль.'!K60</f>
        <v>68.934654533716454</v>
      </c>
      <c r="M61" s="44">
        <f>'продажи натураль.'!L60</f>
        <v>72.723700284901966</v>
      </c>
      <c r="N61" s="44">
        <f>'продажи натураль.'!M60</f>
        <v>3.1699729983285359</v>
      </c>
      <c r="O61" s="44">
        <f>'продажи натураль.'!N60</f>
        <v>87.189585584263313</v>
      </c>
    </row>
    <row r="62" spans="1:15" x14ac:dyDescent="0.2">
      <c r="A62" s="38" t="s">
        <v>31</v>
      </c>
      <c r="D62" s="44">
        <f>'продажи натураль.'!C61</f>
        <v>7.7981467314828521</v>
      </c>
      <c r="E62" s="44">
        <f>'продажи натураль.'!D61</f>
        <v>4.5447555755175681</v>
      </c>
      <c r="F62" s="44">
        <f>'продажи натураль.'!E61</f>
        <v>76.202485808755824</v>
      </c>
      <c r="G62" s="44">
        <f>'продажи натураль.'!F61</f>
        <v>25.939220234797745</v>
      </c>
      <c r="H62" s="44">
        <f>'продажи натураль.'!G61</f>
        <v>65.142959262136401</v>
      </c>
      <c r="I62" s="44">
        <f>'продажи натураль.'!H61</f>
        <v>46.861588652617002</v>
      </c>
      <c r="J62" s="44">
        <f>'продажи натураль.'!I61</f>
        <v>27.029351134086998</v>
      </c>
      <c r="K62" s="44">
        <f>'продажи натураль.'!J61</f>
        <v>6.781004521019895</v>
      </c>
      <c r="L62" s="44">
        <f>'продажи натураль.'!K61</f>
        <v>22.283893445728754</v>
      </c>
      <c r="M62" s="44">
        <f>'продажи натураль.'!L61</f>
        <v>36.554048024394007</v>
      </c>
      <c r="N62" s="44">
        <f>'продажи натураль.'!M61</f>
        <v>19.42209155501336</v>
      </c>
      <c r="O62" s="44">
        <f>'продажи натураль.'!N61</f>
        <v>37.579403018533895</v>
      </c>
    </row>
    <row r="63" spans="1:15" x14ac:dyDescent="0.2">
      <c r="A63" s="38" t="s">
        <v>32</v>
      </c>
      <c r="D63" s="44">
        <f>'продажи натураль.'!C62</f>
        <v>32.431888105370163</v>
      </c>
      <c r="E63" s="44">
        <f>'продажи натураль.'!D62</f>
        <v>8.6217364189934855</v>
      </c>
      <c r="F63" s="44">
        <f>'продажи натураль.'!E62</f>
        <v>18.020063432899672</v>
      </c>
      <c r="G63" s="44">
        <f>'продажи натураль.'!F62</f>
        <v>9.6450071938101711</v>
      </c>
      <c r="H63" s="44">
        <f>'продажи натураль.'!G62</f>
        <v>8.181542237238288</v>
      </c>
      <c r="I63" s="44">
        <f>'продажи натураль.'!H62</f>
        <v>45.5217705938474</v>
      </c>
      <c r="J63" s="44">
        <f>'продажи натураль.'!I62</f>
        <v>44.313484689369382</v>
      </c>
      <c r="K63" s="44">
        <f>'продажи натураль.'!J62</f>
        <v>20.531002805429665</v>
      </c>
      <c r="L63" s="44">
        <f>'продажи натураль.'!K62</f>
        <v>59.709412353388068</v>
      </c>
      <c r="M63" s="44">
        <f>'продажи натураль.'!L62</f>
        <v>31.465266250669341</v>
      </c>
      <c r="N63" s="44">
        <f>'продажи натураль.'!M62</f>
        <v>34.053863078560596</v>
      </c>
      <c r="O63" s="44">
        <f>'продажи натураль.'!N62</f>
        <v>3.7273893645856004</v>
      </c>
    </row>
    <row r="64" spans="1:15" x14ac:dyDescent="0.2">
      <c r="A64" s="38" t="s">
        <v>33</v>
      </c>
      <c r="D64" s="44">
        <f>'продажи натураль.'!C63</f>
        <v>48.893271775432311</v>
      </c>
      <c r="E64" s="44">
        <f>'продажи натураль.'!D63</f>
        <v>32.952903187333476</v>
      </c>
      <c r="F64" s="44">
        <f>'продажи натураль.'!E63</f>
        <v>27.493833835092396</v>
      </c>
      <c r="G64" s="44">
        <f>'продажи натураль.'!F63</f>
        <v>12.560585155000849</v>
      </c>
      <c r="H64" s="44">
        <f>'продажи натураль.'!G63</f>
        <v>37.525543612101487</v>
      </c>
      <c r="I64" s="44">
        <f>'продажи натураль.'!H63</f>
        <v>10.837921208825309</v>
      </c>
      <c r="J64" s="44">
        <f>'продажи натураль.'!I63</f>
        <v>60.002689839465553</v>
      </c>
      <c r="K64" s="44">
        <f>'продажи натураль.'!J63</f>
        <v>19.947383016227718</v>
      </c>
      <c r="L64" s="44">
        <f>'продажи натураль.'!K63</f>
        <v>17.221395861092756</v>
      </c>
      <c r="M64" s="44">
        <f>'продажи натураль.'!L63</f>
        <v>36.693061673442465</v>
      </c>
      <c r="N64" s="44">
        <f>'продажи натураль.'!M63</f>
        <v>7.9434256657621702</v>
      </c>
      <c r="O64" s="44">
        <f>'продажи натураль.'!N63</f>
        <v>21.122722543731353</v>
      </c>
    </row>
    <row r="65" spans="1:15" x14ac:dyDescent="0.2">
      <c r="A65" s="38" t="s">
        <v>34</v>
      </c>
      <c r="D65" s="44">
        <f>'продажи натураль.'!C64</f>
        <v>1.2179167371261033</v>
      </c>
      <c r="E65" s="44">
        <f>'продажи натураль.'!D64</f>
        <v>5.484644121560402</v>
      </c>
      <c r="F65" s="44">
        <f>'продажи натураль.'!E64</f>
        <v>23.812185245679036</v>
      </c>
      <c r="G65" s="44">
        <f>'продажи натураль.'!F64</f>
        <v>6.3743584502603596</v>
      </c>
      <c r="H65" s="44">
        <f>'продажи натураль.'!G64</f>
        <v>53.08621540996495</v>
      </c>
      <c r="I65" s="44">
        <f>'продажи натураль.'!H64</f>
        <v>30.057138111642377</v>
      </c>
      <c r="J65" s="44">
        <f>'продажи натураль.'!I64</f>
        <v>25.969719267625599</v>
      </c>
      <c r="K65" s="44">
        <f>'продажи натураль.'!J64</f>
        <v>58.717597351323846</v>
      </c>
      <c r="L65" s="44">
        <f>'продажи натураль.'!K64</f>
        <v>39.507990263712919</v>
      </c>
      <c r="M65" s="44">
        <f>'продажи натураль.'!L64</f>
        <v>2.0891048871835323</v>
      </c>
      <c r="N65" s="44">
        <f>'продажи натураль.'!M64</f>
        <v>21.920693413856114</v>
      </c>
      <c r="O65" s="44">
        <f>'продажи натураль.'!N64</f>
        <v>7.604078098626081</v>
      </c>
    </row>
    <row r="66" spans="1:15" x14ac:dyDescent="0.2">
      <c r="A66" s="37" t="s">
        <v>35</v>
      </c>
      <c r="D66" s="46">
        <f>SUM(D67:D76)</f>
        <v>264.50372635236681</v>
      </c>
      <c r="E66" s="46">
        <f t="shared" ref="E66:I66" si="72">SUM(E67:E76)</f>
        <v>283.19533458568918</v>
      </c>
      <c r="F66" s="46">
        <f t="shared" si="72"/>
        <v>318.05013149184742</v>
      </c>
      <c r="G66" s="46">
        <f t="shared" si="72"/>
        <v>335.83180669497591</v>
      </c>
      <c r="H66" s="46">
        <f t="shared" si="72"/>
        <v>258.58846255386885</v>
      </c>
      <c r="I66" s="46">
        <f t="shared" si="72"/>
        <v>236.62642969185708</v>
      </c>
      <c r="J66" s="46">
        <f t="shared" ref="J66" si="73">SUM(J67:J76)</f>
        <v>262.90039976933673</v>
      </c>
      <c r="K66" s="46">
        <f t="shared" ref="K66" si="74">SUM(K67:K76)</f>
        <v>325.09637495080085</v>
      </c>
      <c r="L66" s="46">
        <f t="shared" ref="L66" si="75">SUM(L67:L76)</f>
        <v>283.05502015766808</v>
      </c>
      <c r="M66" s="46">
        <f t="shared" ref="M66" si="76">SUM(M67:M76)</f>
        <v>355.81516689028081</v>
      </c>
      <c r="N66" s="46">
        <f t="shared" ref="N66" si="77">SUM(N67:N76)</f>
        <v>303.96598203159169</v>
      </c>
      <c r="O66" s="46">
        <f t="shared" ref="O66" si="78">SUM(O67:O76)</f>
        <v>157.44876841918457</v>
      </c>
    </row>
    <row r="67" spans="1:15" x14ac:dyDescent="0.2">
      <c r="A67" s="38" t="s">
        <v>25</v>
      </c>
      <c r="D67" s="44">
        <f>'продажи натураль.'!C66</f>
        <v>16.87876644141436</v>
      </c>
      <c r="E67" s="44">
        <f>'продажи натураль.'!D66</f>
        <v>65.805172875300045</v>
      </c>
      <c r="F67" s="44">
        <f>'продажи натураль.'!E66</f>
        <v>25.394737412505954</v>
      </c>
      <c r="G67" s="44">
        <f>'продажи натураль.'!F66</f>
        <v>25.238270291531563</v>
      </c>
      <c r="H67" s="44">
        <f>'продажи натураль.'!G66</f>
        <v>4.9644413369715421</v>
      </c>
      <c r="I67" s="44">
        <f>'продажи натураль.'!H66</f>
        <v>10.576248028316165</v>
      </c>
      <c r="J67" s="44">
        <f>'продажи натураль.'!I66</f>
        <v>13.450354919432082</v>
      </c>
      <c r="K67" s="44">
        <f>'продажи натураль.'!J66</f>
        <v>1.4732017998943112</v>
      </c>
      <c r="L67" s="44">
        <f>'продажи натураль.'!K66</f>
        <v>18.584183967988025</v>
      </c>
      <c r="M67" s="44">
        <f>'продажи натураль.'!L66</f>
        <v>31.45186840583175</v>
      </c>
      <c r="N67" s="44">
        <f>'продажи натураль.'!M66</f>
        <v>22.675749190766162</v>
      </c>
      <c r="O67" s="44">
        <f>'продажи натураль.'!N66</f>
        <v>17.394592881554907</v>
      </c>
    </row>
    <row r="68" spans="1:15" x14ac:dyDescent="0.2">
      <c r="A68" s="38" t="s">
        <v>26</v>
      </c>
      <c r="D68" s="44">
        <f>'продажи натураль.'!C67</f>
        <v>62.900420247689873</v>
      </c>
      <c r="E68" s="44">
        <f>'продажи натураль.'!D67</f>
        <v>34.122020144647195</v>
      </c>
      <c r="F68" s="44">
        <f>'продажи натураль.'!E67</f>
        <v>39.19856636109413</v>
      </c>
      <c r="G68" s="44">
        <f>'продажи натураль.'!F67</f>
        <v>44.721616572186448</v>
      </c>
      <c r="H68" s="44">
        <f>'продажи натураль.'!G67</f>
        <v>6.1578118733423368</v>
      </c>
      <c r="I68" s="44">
        <f>'продажи натураль.'!H67</f>
        <v>56.992293471833648</v>
      </c>
      <c r="J68" s="44">
        <f>'продажи натураль.'!I67</f>
        <v>3.2060801396733885</v>
      </c>
      <c r="K68" s="44">
        <f>'продажи натураль.'!J67</f>
        <v>40.535083391883944</v>
      </c>
      <c r="L68" s="44">
        <f>'продажи натураль.'!K67</f>
        <v>43.183130667135131</v>
      </c>
      <c r="M68" s="44">
        <f>'продажи натураль.'!L67</f>
        <v>41.914110306434416</v>
      </c>
      <c r="N68" s="44">
        <f>'продажи натураль.'!M67</f>
        <v>18.1511046716988</v>
      </c>
      <c r="O68" s="44">
        <f>'продажи натураль.'!N67</f>
        <v>28.823068153663755</v>
      </c>
    </row>
    <row r="69" spans="1:15" x14ac:dyDescent="0.2">
      <c r="A69" s="38" t="s">
        <v>27</v>
      </c>
      <c r="D69" s="44">
        <f>'продажи натураль.'!C68</f>
        <v>40.459711072027787</v>
      </c>
      <c r="E69" s="44">
        <f>'продажи натураль.'!D68</f>
        <v>16.406949811446278</v>
      </c>
      <c r="F69" s="44">
        <f>'продажи натураль.'!E68</f>
        <v>2.64159757978635</v>
      </c>
      <c r="G69" s="44">
        <f>'продажи натураль.'!F68</f>
        <v>15.232877355498498</v>
      </c>
      <c r="H69" s="44">
        <f>'продажи натураль.'!G68</f>
        <v>32.526064624941476</v>
      </c>
      <c r="I69" s="44">
        <f>'продажи натураль.'!H68</f>
        <v>48.217740353696421</v>
      </c>
      <c r="J69" s="44">
        <f>'продажи натураль.'!I68</f>
        <v>6.8242805396269102</v>
      </c>
      <c r="K69" s="44">
        <f>'продажи натураль.'!J68</f>
        <v>12.652772721174006</v>
      </c>
      <c r="L69" s="44">
        <f>'продажи натураль.'!K68</f>
        <v>10.323215310911706</v>
      </c>
      <c r="M69" s="44">
        <f>'продажи натураль.'!L68</f>
        <v>49.785610660137529</v>
      </c>
      <c r="N69" s="44">
        <f>'продажи натураль.'!M68</f>
        <v>26.424340078583498</v>
      </c>
      <c r="O69" s="44">
        <f>'продажи натураль.'!N68</f>
        <v>23.167603360160303</v>
      </c>
    </row>
    <row r="70" spans="1:15" x14ac:dyDescent="0.2">
      <c r="A70" s="38" t="s">
        <v>28</v>
      </c>
      <c r="D70" s="44">
        <f>'продажи натураль.'!C69</f>
        <v>34.706566221408579</v>
      </c>
      <c r="E70" s="44">
        <f>'продажи натураль.'!D69</f>
        <v>26.740013515614486</v>
      </c>
      <c r="F70" s="44">
        <f>'продажи натураль.'!E69</f>
        <v>31.615372952399834</v>
      </c>
      <c r="G70" s="44">
        <f>'продажи натураль.'!F69</f>
        <v>90.026236493484717</v>
      </c>
      <c r="H70" s="44">
        <f>'продажи натураль.'!G69</f>
        <v>4.418127847812424</v>
      </c>
      <c r="I70" s="44">
        <f>'продажи натураль.'!H69</f>
        <v>15.740854330394418</v>
      </c>
      <c r="J70" s="44">
        <f>'продажи натураль.'!I69</f>
        <v>50.565902662881747</v>
      </c>
      <c r="K70" s="44">
        <f>'продажи натураль.'!J69</f>
        <v>55.014552198266976</v>
      </c>
      <c r="L70" s="44">
        <f>'продажи натураль.'!K69</f>
        <v>23.210360722574105</v>
      </c>
      <c r="M70" s="44">
        <f>'продажи натураль.'!L69</f>
        <v>82.672406668271591</v>
      </c>
      <c r="N70" s="44">
        <f>'продажи натураль.'!M69</f>
        <v>50.320556357431016</v>
      </c>
      <c r="O70" s="44">
        <f>'продажи натураль.'!N69</f>
        <v>31.588361786202341</v>
      </c>
    </row>
    <row r="71" spans="1:15" x14ac:dyDescent="0.2">
      <c r="A71" s="38" t="s">
        <v>29</v>
      </c>
      <c r="D71" s="44">
        <f>'продажи натураль.'!C70</f>
        <v>7.41234652979389</v>
      </c>
      <c r="E71" s="44">
        <f>'продажи натураль.'!D70</f>
        <v>8.1565618162394706</v>
      </c>
      <c r="F71" s="44">
        <f>'продажи натураль.'!E70</f>
        <v>4.20141899068184</v>
      </c>
      <c r="G71" s="44">
        <f>'продажи натураль.'!F70</f>
        <v>40.239172722548894</v>
      </c>
      <c r="H71" s="44">
        <f>'продажи натураль.'!G70</f>
        <v>38.24202075225233</v>
      </c>
      <c r="I71" s="44">
        <f>'продажи натураль.'!H70</f>
        <v>32.758209610296106</v>
      </c>
      <c r="J71" s="44">
        <f>'продажи натураль.'!I70</f>
        <v>64.598713647316458</v>
      </c>
      <c r="K71" s="44">
        <f>'продажи натураль.'!J70</f>
        <v>36.349326477669649</v>
      </c>
      <c r="L71" s="44">
        <f>'продажи натураль.'!K70</f>
        <v>2.2495956616202406</v>
      </c>
      <c r="M71" s="44">
        <f>'продажи натураль.'!L70</f>
        <v>20.102252406704121</v>
      </c>
      <c r="N71" s="44">
        <f>'продажи натураль.'!M70</f>
        <v>71.142318793802644</v>
      </c>
      <c r="O71" s="44">
        <f>'продажи натураль.'!N70</f>
        <v>7.1723749137082571</v>
      </c>
    </row>
    <row r="72" spans="1:15" x14ac:dyDescent="0.2">
      <c r="A72" s="38" t="s">
        <v>30</v>
      </c>
      <c r="D72" s="44">
        <f>'продажи натураль.'!C71</f>
        <v>41.215924999556236</v>
      </c>
      <c r="E72" s="44">
        <f>'продажи натураль.'!D71</f>
        <v>13.651169002292924</v>
      </c>
      <c r="F72" s="44">
        <f>'продажи натураль.'!E71</f>
        <v>28.606664025908188</v>
      </c>
      <c r="G72" s="44">
        <f>'продажи натураль.'!F71</f>
        <v>0.11968484689769499</v>
      </c>
      <c r="H72" s="44">
        <f>'продажи натураль.'!G71</f>
        <v>17.767860834824695</v>
      </c>
      <c r="I72" s="44">
        <f>'продажи натураль.'!H71</f>
        <v>8.8095265314794506</v>
      </c>
      <c r="J72" s="44">
        <f>'продажи натураль.'!I71</f>
        <v>6.8743386926721692</v>
      </c>
      <c r="K72" s="44">
        <f>'продажи натураль.'!J71</f>
        <v>11.181274134029771</v>
      </c>
      <c r="L72" s="44">
        <f>'продажи натураль.'!K71</f>
        <v>4.0036676721781728</v>
      </c>
      <c r="M72" s="44">
        <f>'продажи натураль.'!L71</f>
        <v>46.54648002838946</v>
      </c>
      <c r="N72" s="44">
        <f>'продажи натураль.'!M71</f>
        <v>48.37448823917785</v>
      </c>
      <c r="O72" s="44">
        <f>'продажи натураль.'!N71</f>
        <v>16.964918539184247</v>
      </c>
    </row>
    <row r="73" spans="1:15" x14ac:dyDescent="0.2">
      <c r="A73" s="38" t="s">
        <v>31</v>
      </c>
      <c r="D73" s="44">
        <f>'продажи натураль.'!C72</f>
        <v>0.92663594314479369</v>
      </c>
      <c r="E73" s="44">
        <f>'продажи натураль.'!D72</f>
        <v>44.632069250173643</v>
      </c>
      <c r="F73" s="44">
        <f>'продажи натураль.'!E72</f>
        <v>33.804651967948701</v>
      </c>
      <c r="G73" s="44">
        <f>'продажи натураль.'!F72</f>
        <v>40.62821732311992</v>
      </c>
      <c r="H73" s="44">
        <f>'продажи натураль.'!G72</f>
        <v>16.772940395292828</v>
      </c>
      <c r="I73" s="44">
        <f>'продажи натураль.'!H72</f>
        <v>12.433186936964249</v>
      </c>
      <c r="J73" s="44">
        <f>'продажи натураль.'!I72</f>
        <v>51.195785706568728</v>
      </c>
      <c r="K73" s="44">
        <f>'продажи натураль.'!J72</f>
        <v>13.929852646955421</v>
      </c>
      <c r="L73" s="44">
        <f>'продажи натураль.'!K72</f>
        <v>0.93885519271407925</v>
      </c>
      <c r="M73" s="44">
        <f>'продажи натураль.'!L72</f>
        <v>19.097792280216076</v>
      </c>
      <c r="N73" s="44">
        <f>'продажи натураль.'!M72</f>
        <v>33.536428334781903</v>
      </c>
      <c r="O73" s="44">
        <f>'продажи натураль.'!N72</f>
        <v>6.5351085023590008</v>
      </c>
    </row>
    <row r="74" spans="1:15" x14ac:dyDescent="0.2">
      <c r="A74" s="38" t="s">
        <v>32</v>
      </c>
      <c r="D74" s="44">
        <f>'продажи натураль.'!C73</f>
        <v>3.3150677048614017</v>
      </c>
      <c r="E74" s="44">
        <f>'продажи натураль.'!D73</f>
        <v>27.363792271724876</v>
      </c>
      <c r="F74" s="44">
        <f>'продажи натураль.'!E73</f>
        <v>75.388426147002193</v>
      </c>
      <c r="G74" s="44">
        <f>'продажи натураль.'!F73</f>
        <v>5.5710419856899813</v>
      </c>
      <c r="H74" s="44">
        <f>'продажи натураль.'!G73</f>
        <v>79.585908611199798</v>
      </c>
      <c r="I74" s="44">
        <f>'продажи натураль.'!H73</f>
        <v>12.970164930960895</v>
      </c>
      <c r="J74" s="44">
        <f>'продажи натураль.'!I73</f>
        <v>16.593010050782944</v>
      </c>
      <c r="K74" s="44">
        <f>'продажи натураль.'!J73</f>
        <v>92.704456946369092</v>
      </c>
      <c r="L74" s="44">
        <f>'продажи натураль.'!K73</f>
        <v>16.417150570876274</v>
      </c>
      <c r="M74" s="44">
        <f>'продажи натураль.'!L73</f>
        <v>25.849781826083099</v>
      </c>
      <c r="N74" s="44">
        <f>'продажи натураль.'!M73</f>
        <v>7.8886018357323602</v>
      </c>
      <c r="O74" s="44">
        <f>'продажи натураль.'!N73</f>
        <v>14.832285477624936</v>
      </c>
    </row>
    <row r="75" spans="1:15" x14ac:dyDescent="0.2">
      <c r="A75" s="38" t="s">
        <v>33</v>
      </c>
      <c r="D75" s="44">
        <f>'продажи натураль.'!C74</f>
        <v>42.586865961213498</v>
      </c>
      <c r="E75" s="44">
        <f>'продажи натураль.'!D74</f>
        <v>5.4990086416944024</v>
      </c>
      <c r="F75" s="44">
        <f>'продажи натураль.'!E74</f>
        <v>6.0565050893990451</v>
      </c>
      <c r="G75" s="44">
        <f>'продажи натураль.'!F74</f>
        <v>62.340037074458436</v>
      </c>
      <c r="H75" s="44">
        <f>'продажи натураль.'!G74</f>
        <v>13.698388564195172</v>
      </c>
      <c r="I75" s="44">
        <f>'продажи натураль.'!H74</f>
        <v>16.881794129505479</v>
      </c>
      <c r="J75" s="44">
        <f>'продажи натураль.'!I74</f>
        <v>28.312885740918116</v>
      </c>
      <c r="K75" s="44">
        <f>'продажи натураль.'!J74</f>
        <v>43.921669932871644</v>
      </c>
      <c r="L75" s="44">
        <f>'продажи натураль.'!K74</f>
        <v>81.742231249184755</v>
      </c>
      <c r="M75" s="44">
        <f>'продажи натураль.'!L74</f>
        <v>28.377685405002254</v>
      </c>
      <c r="N75" s="44">
        <f>'продажи натураль.'!M74</f>
        <v>23.37399531084338</v>
      </c>
      <c r="O75" s="44">
        <f>'продажи натураль.'!N74</f>
        <v>7.1324289359326833</v>
      </c>
    </row>
    <row r="76" spans="1:15" x14ac:dyDescent="0.2">
      <c r="A76" s="38" t="s">
        <v>34</v>
      </c>
      <c r="D76" s="44">
        <f>'продажи натураль.'!C75</f>
        <v>14.101421231256378</v>
      </c>
      <c r="E76" s="44">
        <f>'продажи натураль.'!D75</f>
        <v>40.818577256555834</v>
      </c>
      <c r="F76" s="44">
        <f>'продажи натураль.'!E75</f>
        <v>71.142190965121131</v>
      </c>
      <c r="G76" s="44">
        <f>'продажи натураль.'!F75</f>
        <v>11.714652029559742</v>
      </c>
      <c r="H76" s="44">
        <f>'продажи натураль.'!G75</f>
        <v>44.454897713036253</v>
      </c>
      <c r="I76" s="44">
        <f>'продажи натураль.'!H75</f>
        <v>21.246411368410186</v>
      </c>
      <c r="J76" s="44">
        <f>'продажи натураль.'!I75</f>
        <v>21.279047669464152</v>
      </c>
      <c r="K76" s="44">
        <f>'продажи натураль.'!J75</f>
        <v>17.334184701686073</v>
      </c>
      <c r="L76" s="44">
        <f>'продажи натураль.'!K75</f>
        <v>82.402629142485623</v>
      </c>
      <c r="M76" s="44">
        <f>'продажи натураль.'!L75</f>
        <v>10.017178903210567</v>
      </c>
      <c r="N76" s="44">
        <f>'продажи натураль.'!M75</f>
        <v>2.0783992187741331</v>
      </c>
      <c r="O76" s="44">
        <f>'продажи натураль.'!N75</f>
        <v>3.8380258687941264</v>
      </c>
    </row>
    <row r="77" spans="1:15" x14ac:dyDescent="0.2">
      <c r="A77" s="4" t="s">
        <v>36</v>
      </c>
      <c r="B77" s="4"/>
      <c r="C77" s="4"/>
      <c r="D77" s="45">
        <f>D78+D89</f>
        <v>646.2728845409265</v>
      </c>
      <c r="E77" s="45">
        <f t="shared" ref="E77:I77" si="79">E78+E89</f>
        <v>631.76218308315742</v>
      </c>
      <c r="F77" s="45">
        <f t="shared" si="79"/>
        <v>1121.064803055945</v>
      </c>
      <c r="G77" s="45">
        <f t="shared" si="79"/>
        <v>989.77060574447603</v>
      </c>
      <c r="H77" s="45">
        <f t="shared" si="79"/>
        <v>904.38980867694568</v>
      </c>
      <c r="I77" s="45">
        <f t="shared" si="79"/>
        <v>700.77005100861174</v>
      </c>
      <c r="J77" s="45">
        <f t="shared" ref="J77" si="80">J78+J89</f>
        <v>787.0973496250391</v>
      </c>
      <c r="K77" s="45">
        <f t="shared" ref="K77" si="81">K78+K89</f>
        <v>1008.9186108910651</v>
      </c>
      <c r="L77" s="45">
        <f t="shared" ref="L77" si="82">L78+L89</f>
        <v>808.5082869623875</v>
      </c>
      <c r="M77" s="45">
        <f t="shared" ref="M77" si="83">M78+M89</f>
        <v>1104.9525121986223</v>
      </c>
      <c r="N77" s="45">
        <f t="shared" ref="N77" si="84">N78+N89</f>
        <v>902.04238003863384</v>
      </c>
      <c r="O77" s="45">
        <f t="shared" ref="O77" si="85">O78+O89</f>
        <v>656.29427503617399</v>
      </c>
    </row>
    <row r="78" spans="1:15" x14ac:dyDescent="0.2">
      <c r="A78" s="37" t="s">
        <v>24</v>
      </c>
      <c r="D78" s="46">
        <f>SUM(D79:D88)</f>
        <v>281.84381471390407</v>
      </c>
      <c r="E78" s="46">
        <f t="shared" ref="E78:I78" si="86">SUM(E79:E88)</f>
        <v>278.88770089738745</v>
      </c>
      <c r="F78" s="46">
        <f t="shared" si="86"/>
        <v>527.4672947093843</v>
      </c>
      <c r="G78" s="46">
        <f t="shared" si="86"/>
        <v>358.5781400015544</v>
      </c>
      <c r="H78" s="46">
        <f t="shared" si="86"/>
        <v>485.32984906284929</v>
      </c>
      <c r="I78" s="46">
        <f t="shared" si="86"/>
        <v>325.69236260835964</v>
      </c>
      <c r="J78" s="46">
        <f t="shared" ref="J78" si="87">SUM(J79:J88)</f>
        <v>447.45604229358901</v>
      </c>
      <c r="K78" s="46">
        <f t="shared" ref="K78" si="88">SUM(K79:K88)</f>
        <v>496.91692993639833</v>
      </c>
      <c r="L78" s="46">
        <f t="shared" ref="L78" si="89">SUM(L79:L88)</f>
        <v>310.41882461597294</v>
      </c>
      <c r="M78" s="46">
        <f t="shared" ref="M78" si="90">SUM(M79:M88)</f>
        <v>621.47671028659749</v>
      </c>
      <c r="N78" s="46">
        <f t="shared" ref="N78" si="91">SUM(N79:N88)</f>
        <v>462.13505373188173</v>
      </c>
      <c r="O78" s="46">
        <f t="shared" ref="O78" si="92">SUM(O79:O88)</f>
        <v>418.87951578147869</v>
      </c>
    </row>
    <row r="79" spans="1:15" x14ac:dyDescent="0.2">
      <c r="A79" s="38" t="s">
        <v>25</v>
      </c>
      <c r="D79" s="44">
        <f>'продажи натураль.'!C78</f>
        <v>14.741586095684205</v>
      </c>
      <c r="E79" s="44">
        <f>'продажи натураль.'!D78</f>
        <v>0.2225291211880448</v>
      </c>
      <c r="F79" s="44">
        <f>'продажи натураль.'!E78</f>
        <v>58.116179332882112</v>
      </c>
      <c r="G79" s="44">
        <f>'продажи натураль.'!F78</f>
        <v>15.446215770346749</v>
      </c>
      <c r="H79" s="44">
        <f>'продажи натураль.'!G78</f>
        <v>28.229551648338777</v>
      </c>
      <c r="I79" s="44">
        <f>'продажи натураль.'!H78</f>
        <v>4.3920225737513841</v>
      </c>
      <c r="J79" s="44">
        <f>'продажи натураль.'!I78</f>
        <v>9.9694973872321686</v>
      </c>
      <c r="K79" s="44">
        <f>'продажи натураль.'!J78</f>
        <v>32.472225468971331</v>
      </c>
      <c r="L79" s="44">
        <f>'продажи натураль.'!K78</f>
        <v>23.493072033828813</v>
      </c>
      <c r="M79" s="44">
        <f>'продажи натураль.'!L78</f>
        <v>7.9047830075188479</v>
      </c>
      <c r="N79" s="44">
        <f>'продажи натураль.'!M78</f>
        <v>19.466813850539022</v>
      </c>
      <c r="O79" s="44">
        <f>'продажи натураль.'!N78</f>
        <v>30.43084307054583</v>
      </c>
    </row>
    <row r="80" spans="1:15" x14ac:dyDescent="0.2">
      <c r="A80" s="38" t="s">
        <v>26</v>
      </c>
      <c r="D80" s="44">
        <f>'продажи натураль.'!C79</f>
        <v>69.771256725232405</v>
      </c>
      <c r="E80" s="44">
        <f>'продажи натураль.'!D79</f>
        <v>23.642576363282892</v>
      </c>
      <c r="F80" s="44">
        <f>'продажи натураль.'!E79</f>
        <v>76.161909990022579</v>
      </c>
      <c r="G80" s="44">
        <f>'продажи натураль.'!F79</f>
        <v>11.666726707226644</v>
      </c>
      <c r="H80" s="44">
        <f>'продажи натураль.'!G79</f>
        <v>49.219159579902076</v>
      </c>
      <c r="I80" s="44">
        <f>'продажи натураль.'!H79</f>
        <v>4.6191640993447427</v>
      </c>
      <c r="J80" s="44">
        <f>'продажи натураль.'!I79</f>
        <v>34.998755790639933</v>
      </c>
      <c r="K80" s="44">
        <f>'продажи натураль.'!J79</f>
        <v>19.062288673129288</v>
      </c>
      <c r="L80" s="44">
        <f>'продажи натураль.'!K79</f>
        <v>27.788370513368498</v>
      </c>
      <c r="M80" s="44">
        <f>'продажи натураль.'!L79</f>
        <v>18.78732611622759</v>
      </c>
      <c r="N80" s="44">
        <f>'продажи натураль.'!M79</f>
        <v>106.04640472064543</v>
      </c>
      <c r="O80" s="44">
        <f>'продажи натураль.'!N79</f>
        <v>19.487806620398381</v>
      </c>
    </row>
    <row r="81" spans="1:15" x14ac:dyDescent="0.2">
      <c r="A81" s="38" t="s">
        <v>27</v>
      </c>
      <c r="D81" s="44">
        <f>'продажи натураль.'!C80</f>
        <v>8.1818962028661453</v>
      </c>
      <c r="E81" s="44">
        <f>'продажи натураль.'!D80</f>
        <v>80.303957530120627</v>
      </c>
      <c r="F81" s="44">
        <f>'продажи натураль.'!E80</f>
        <v>31.751146917507644</v>
      </c>
      <c r="G81" s="44">
        <f>'продажи натураль.'!F80</f>
        <v>87.39820401877013</v>
      </c>
      <c r="H81" s="44">
        <f>'продажи натураль.'!G80</f>
        <v>24.478209812614143</v>
      </c>
      <c r="I81" s="44">
        <f>'продажи натураль.'!H80</f>
        <v>49.214539620361869</v>
      </c>
      <c r="J81" s="44">
        <f>'продажи натураль.'!I80</f>
        <v>2.7816059463754002</v>
      </c>
      <c r="K81" s="44">
        <f>'продажи натураль.'!J80</f>
        <v>27.822203024168743</v>
      </c>
      <c r="L81" s="44">
        <f>'продажи натураль.'!K80</f>
        <v>1.4346603079360709</v>
      </c>
      <c r="M81" s="44">
        <f>'продажи натураль.'!L80</f>
        <v>39.505965257485954</v>
      </c>
      <c r="N81" s="44">
        <f>'продажи натураль.'!M80</f>
        <v>71.734219449255733</v>
      </c>
      <c r="O81" s="44">
        <f>'продажи натураль.'!N80</f>
        <v>10.276514232526061</v>
      </c>
    </row>
    <row r="82" spans="1:15" x14ac:dyDescent="0.2">
      <c r="A82" s="38" t="s">
        <v>28</v>
      </c>
      <c r="D82" s="44">
        <f>'продажи натураль.'!C81</f>
        <v>19.694549506362065</v>
      </c>
      <c r="E82" s="44">
        <f>'продажи натураль.'!D81</f>
        <v>5.6040654717954341</v>
      </c>
      <c r="F82" s="44">
        <f>'продажи натураль.'!E81</f>
        <v>63.772041280741519</v>
      </c>
      <c r="G82" s="44">
        <f>'продажи натураль.'!F81</f>
        <v>52.839889643178125</v>
      </c>
      <c r="H82" s="44">
        <f>'продажи натураль.'!G81</f>
        <v>59.460246762371447</v>
      </c>
      <c r="I82" s="44">
        <f>'продажи натураль.'!H81</f>
        <v>23.891885514503922</v>
      </c>
      <c r="J82" s="44">
        <f>'продажи натураль.'!I81</f>
        <v>66.323728656306784</v>
      </c>
      <c r="K82" s="44">
        <f>'продажи натураль.'!J81</f>
        <v>98.660799654751429</v>
      </c>
      <c r="L82" s="44">
        <f>'продажи натураль.'!K81</f>
        <v>9.3467845059109642</v>
      </c>
      <c r="M82" s="44">
        <f>'продажи натураль.'!L81</f>
        <v>144.61985389112215</v>
      </c>
      <c r="N82" s="44">
        <f>'продажи натураль.'!M81</f>
        <v>9.2646484598303118</v>
      </c>
      <c r="O82" s="44">
        <f>'продажи натураль.'!N81</f>
        <v>8.4472281184854907</v>
      </c>
    </row>
    <row r="83" spans="1:15" x14ac:dyDescent="0.2">
      <c r="A83" s="38" t="s">
        <v>29</v>
      </c>
      <c r="D83" s="44">
        <f>'продажи натураль.'!C82</f>
        <v>18.640359597610992</v>
      </c>
      <c r="E83" s="44">
        <f>'продажи натураль.'!D82</f>
        <v>76.171961193713116</v>
      </c>
      <c r="F83" s="44">
        <f>'продажи натураль.'!E82</f>
        <v>45.467435846853085</v>
      </c>
      <c r="G83" s="44">
        <f>'продажи натураль.'!F82</f>
        <v>27.259586401342233</v>
      </c>
      <c r="H83" s="44">
        <f>'продажи натураль.'!G82</f>
        <v>26.793900235759878</v>
      </c>
      <c r="I83" s="44">
        <f>'продажи натураль.'!H82</f>
        <v>2.0671996988286501</v>
      </c>
      <c r="J83" s="44">
        <f>'продажи натураль.'!I82</f>
        <v>27.383986774956881</v>
      </c>
      <c r="K83" s="44">
        <f>'продажи натураль.'!J82</f>
        <v>23.424455588770975</v>
      </c>
      <c r="L83" s="44">
        <f>'продажи натураль.'!K82</f>
        <v>1.1933014904681105</v>
      </c>
      <c r="M83" s="44">
        <f>'продажи натураль.'!L82</f>
        <v>88.301481446502919</v>
      </c>
      <c r="N83" s="44">
        <f>'продажи натураль.'!M82</f>
        <v>85.772846826898217</v>
      </c>
      <c r="O83" s="44">
        <f>'продажи натураль.'!N82</f>
        <v>73.370169538576334</v>
      </c>
    </row>
    <row r="84" spans="1:15" x14ac:dyDescent="0.2">
      <c r="A84" s="38" t="s">
        <v>30</v>
      </c>
      <c r="D84" s="44">
        <f>'продажи натураль.'!C83</f>
        <v>2.5636079926955757</v>
      </c>
      <c r="E84" s="44">
        <f>'продажи натураль.'!D83</f>
        <v>3.8409131510313861</v>
      </c>
      <c r="F84" s="44">
        <f>'продажи натураль.'!E83</f>
        <v>2.9736933751021479</v>
      </c>
      <c r="G84" s="44">
        <f>'продажи натураль.'!F83</f>
        <v>61.303533843212662</v>
      </c>
      <c r="H84" s="44">
        <f>'продажи натураль.'!G83</f>
        <v>71.944762855218556</v>
      </c>
      <c r="I84" s="44">
        <f>'продажи натураль.'!H83</f>
        <v>5.0078520793472681</v>
      </c>
      <c r="J84" s="44">
        <f>'продажи натураль.'!I83</f>
        <v>44.367048278695442</v>
      </c>
      <c r="K84" s="44">
        <f>'продажи натураль.'!J83</f>
        <v>103.46836515483201</v>
      </c>
      <c r="L84" s="44">
        <f>'продажи натураль.'!K83</f>
        <v>68.934654533716454</v>
      </c>
      <c r="M84" s="44">
        <f>'продажи натураль.'!L83</f>
        <v>145.44740056980393</v>
      </c>
      <c r="N84" s="44">
        <f>'продажи натураль.'!M83</f>
        <v>3.1699729983285359</v>
      </c>
      <c r="O84" s="44">
        <f>'продажи натураль.'!N83</f>
        <v>174.37917116852663</v>
      </c>
    </row>
    <row r="85" spans="1:15" x14ac:dyDescent="0.2">
      <c r="A85" s="38" t="s">
        <v>31</v>
      </c>
      <c r="D85" s="44">
        <f>'продажи натураль.'!C84</f>
        <v>15.596293462965704</v>
      </c>
      <c r="E85" s="44">
        <f>'продажи натураль.'!D84</f>
        <v>9.0895111510351363</v>
      </c>
      <c r="F85" s="44">
        <f>'продажи натураль.'!E84</f>
        <v>152.40497161751165</v>
      </c>
      <c r="G85" s="44">
        <f>'продажи натураль.'!F84</f>
        <v>51.878440469595489</v>
      </c>
      <c r="H85" s="44">
        <f>'продажи натураль.'!G84</f>
        <v>65.142959262136401</v>
      </c>
      <c r="I85" s="44">
        <f>'продажи натураль.'!H84</f>
        <v>93.723177305234003</v>
      </c>
      <c r="J85" s="44">
        <f>'продажи натураль.'!I84</f>
        <v>27.029351134086998</v>
      </c>
      <c r="K85" s="44">
        <f>'продажи натураль.'!J84</f>
        <v>13.56200904203979</v>
      </c>
      <c r="L85" s="44">
        <f>'продажи натураль.'!K84</f>
        <v>44.567786891457509</v>
      </c>
      <c r="M85" s="44">
        <f>'продажи натураль.'!L84</f>
        <v>73.108096048788013</v>
      </c>
      <c r="N85" s="44">
        <f>'продажи натураль.'!M84</f>
        <v>38.844183110026719</v>
      </c>
      <c r="O85" s="44">
        <f>'продажи натураль.'!N84</f>
        <v>37.579403018533895</v>
      </c>
    </row>
    <row r="86" spans="1:15" x14ac:dyDescent="0.2">
      <c r="A86" s="38" t="s">
        <v>32</v>
      </c>
      <c r="D86" s="44">
        <f>'продажи натураль.'!C85</f>
        <v>32.431888105370163</v>
      </c>
      <c r="E86" s="44">
        <f>'продажи натураль.'!D85</f>
        <v>8.6217364189934855</v>
      </c>
      <c r="F86" s="44">
        <f>'продажи натураль.'!E85</f>
        <v>18.020063432899672</v>
      </c>
      <c r="G86" s="44">
        <f>'продажи натураль.'!F85</f>
        <v>19.290014387620342</v>
      </c>
      <c r="H86" s="44">
        <f>'продажи натураль.'!G85</f>
        <v>16.363084474476576</v>
      </c>
      <c r="I86" s="44">
        <f>'продажи натураль.'!H85</f>
        <v>91.0435411876948</v>
      </c>
      <c r="J86" s="44">
        <f>'продажи натураль.'!I85</f>
        <v>88.626969378738764</v>
      </c>
      <c r="K86" s="44">
        <f>'продажи натураль.'!J85</f>
        <v>41.06200561085933</v>
      </c>
      <c r="L86" s="44">
        <f>'продажи натураль.'!K85</f>
        <v>59.709412353388068</v>
      </c>
      <c r="M86" s="44">
        <f>'продажи натураль.'!L85</f>
        <v>62.930532501338682</v>
      </c>
      <c r="N86" s="44">
        <f>'продажи натураль.'!M85</f>
        <v>68.107726157121192</v>
      </c>
      <c r="O86" s="44">
        <f>'продажи натураль.'!N85</f>
        <v>7.4547787291712009</v>
      </c>
    </row>
    <row r="87" spans="1:15" x14ac:dyDescent="0.2">
      <c r="A87" s="38" t="s">
        <v>33</v>
      </c>
      <c r="D87" s="44">
        <f>'продажи натураль.'!C86</f>
        <v>97.786543550864621</v>
      </c>
      <c r="E87" s="44">
        <f>'продажи натураль.'!D86</f>
        <v>65.905806374666952</v>
      </c>
      <c r="F87" s="44">
        <f>'продажи натураль.'!E86</f>
        <v>54.987667670184791</v>
      </c>
      <c r="G87" s="44">
        <f>'продажи натураль.'!F86</f>
        <v>25.121170310001698</v>
      </c>
      <c r="H87" s="44">
        <f>'продажи натураль.'!G86</f>
        <v>37.525543612101487</v>
      </c>
      <c r="I87" s="44">
        <f>'продажи натураль.'!H86</f>
        <v>21.675842417650617</v>
      </c>
      <c r="J87" s="44">
        <f>'продажи натураль.'!I86</f>
        <v>120.00537967893111</v>
      </c>
      <c r="K87" s="44">
        <f>'продажи натураль.'!J86</f>
        <v>19.947383016227718</v>
      </c>
      <c r="L87" s="44">
        <f>'продажи натураль.'!K86</f>
        <v>34.442791722185511</v>
      </c>
      <c r="M87" s="44">
        <f>'продажи натураль.'!L86</f>
        <v>36.693061673442465</v>
      </c>
      <c r="N87" s="44">
        <f>'продажи натураль.'!M86</f>
        <v>15.88685133152434</v>
      </c>
      <c r="O87" s="44">
        <f>'продажи натураль.'!N86</f>
        <v>42.245445087462706</v>
      </c>
    </row>
    <row r="88" spans="1:15" x14ac:dyDescent="0.2">
      <c r="A88" s="38" t="s">
        <v>34</v>
      </c>
      <c r="D88" s="44">
        <f>'продажи натураль.'!C87</f>
        <v>2.4358334742522065</v>
      </c>
      <c r="E88" s="44">
        <f>'продажи натураль.'!D87</f>
        <v>5.484644121560402</v>
      </c>
      <c r="F88" s="44">
        <f>'продажи натураль.'!E87</f>
        <v>23.812185245679036</v>
      </c>
      <c r="G88" s="44">
        <f>'продажи натураль.'!F87</f>
        <v>6.3743584502603596</v>
      </c>
      <c r="H88" s="44">
        <f>'продажи натураль.'!G87</f>
        <v>106.1724308199299</v>
      </c>
      <c r="I88" s="44">
        <f>'продажи натураль.'!H87</f>
        <v>30.057138111642377</v>
      </c>
      <c r="J88" s="44">
        <f>'продажи натураль.'!I87</f>
        <v>25.969719267625599</v>
      </c>
      <c r="K88" s="44">
        <f>'продажи натураль.'!J87</f>
        <v>117.43519470264769</v>
      </c>
      <c r="L88" s="44">
        <f>'продажи натураль.'!K87</f>
        <v>39.507990263712919</v>
      </c>
      <c r="M88" s="44">
        <f>'продажи натураль.'!L87</f>
        <v>4.1782097743670645</v>
      </c>
      <c r="N88" s="44">
        <f>'продажи натураль.'!M87</f>
        <v>43.841386827712228</v>
      </c>
      <c r="O88" s="44">
        <f>'продажи натураль.'!N87</f>
        <v>15.208156197252162</v>
      </c>
    </row>
    <row r="89" spans="1:15" x14ac:dyDescent="0.2">
      <c r="A89" s="37" t="s">
        <v>35</v>
      </c>
      <c r="D89" s="46">
        <f>SUM(D90:D99)</f>
        <v>364.42906982702243</v>
      </c>
      <c r="E89" s="46">
        <f t="shared" ref="E89:I89" si="93">SUM(E90:E99)</f>
        <v>352.87448218577003</v>
      </c>
      <c r="F89" s="46">
        <f t="shared" si="93"/>
        <v>593.59750834656063</v>
      </c>
      <c r="G89" s="46">
        <f t="shared" si="93"/>
        <v>631.19246574292163</v>
      </c>
      <c r="H89" s="46">
        <f t="shared" si="93"/>
        <v>419.05995961409633</v>
      </c>
      <c r="I89" s="46">
        <f t="shared" si="93"/>
        <v>375.07768840025216</v>
      </c>
      <c r="J89" s="46">
        <f t="shared" ref="J89" si="94">SUM(J90:J99)</f>
        <v>339.64130733145009</v>
      </c>
      <c r="K89" s="46">
        <f t="shared" ref="K89" si="95">SUM(K90:K99)</f>
        <v>512.00168095466677</v>
      </c>
      <c r="L89" s="46">
        <f t="shared" ref="L89" si="96">SUM(L90:L99)</f>
        <v>498.08946234641462</v>
      </c>
      <c r="M89" s="46">
        <f t="shared" ref="M89" si="97">SUM(M90:M99)</f>
        <v>483.47580191202485</v>
      </c>
      <c r="N89" s="46">
        <f t="shared" ref="N89" si="98">SUM(N90:N99)</f>
        <v>439.90732630675205</v>
      </c>
      <c r="O89" s="46">
        <f t="shared" ref="O89" si="99">SUM(O90:O99)</f>
        <v>237.41475925469524</v>
      </c>
    </row>
    <row r="90" spans="1:15" x14ac:dyDescent="0.2">
      <c r="A90" s="38" t="s">
        <v>25</v>
      </c>
      <c r="D90" s="44">
        <f>'продажи натураль.'!C89</f>
        <v>33.75753288282872</v>
      </c>
      <c r="E90" s="44">
        <f>'продажи натураль.'!D89</f>
        <v>65.805172875300045</v>
      </c>
      <c r="F90" s="44">
        <f>'продажи натураль.'!E89</f>
        <v>50.789474825011908</v>
      </c>
      <c r="G90" s="44">
        <f>'продажи натураль.'!F89</f>
        <v>25.238270291531563</v>
      </c>
      <c r="H90" s="44">
        <f>'продажи натураль.'!G89</f>
        <v>9.9288826739430842</v>
      </c>
      <c r="I90" s="44">
        <f>'продажи натураль.'!H89</f>
        <v>21.15249605663233</v>
      </c>
      <c r="J90" s="44">
        <f>'продажи натураль.'!I89</f>
        <v>26.900709838864163</v>
      </c>
      <c r="K90" s="44">
        <f>'продажи натураль.'!J89</f>
        <v>1.4732017998943112</v>
      </c>
      <c r="L90" s="44">
        <f>'продажи натураль.'!K89</f>
        <v>18.584183967988025</v>
      </c>
      <c r="M90" s="44">
        <f>'продажи натураль.'!L89</f>
        <v>31.45186840583175</v>
      </c>
      <c r="N90" s="44">
        <f>'продажи натураль.'!M89</f>
        <v>22.675749190766162</v>
      </c>
      <c r="O90" s="44">
        <f>'продажи натураль.'!N89</f>
        <v>17.394592881554907</v>
      </c>
    </row>
    <row r="91" spans="1:15" x14ac:dyDescent="0.2">
      <c r="A91" s="38" t="s">
        <v>26</v>
      </c>
      <c r="D91" s="44">
        <f>'продажи натураль.'!C90</f>
        <v>62.900420247689873</v>
      </c>
      <c r="E91" s="44">
        <f>'продажи натураль.'!D90</f>
        <v>68.244040289294389</v>
      </c>
      <c r="F91" s="44">
        <f>'продажи натураль.'!E90</f>
        <v>78.39713272218826</v>
      </c>
      <c r="G91" s="44">
        <f>'продажи натураль.'!F90</f>
        <v>89.443233144372897</v>
      </c>
      <c r="H91" s="44">
        <f>'продажи натураль.'!G90</f>
        <v>6.1578118733423368</v>
      </c>
      <c r="I91" s="44">
        <f>'продажи натураль.'!H90</f>
        <v>113.9845869436673</v>
      </c>
      <c r="J91" s="44">
        <f>'продажи натураль.'!I90</f>
        <v>3.2060801396733885</v>
      </c>
      <c r="K91" s="44">
        <f>'продажи натураль.'!J90</f>
        <v>40.535083391883944</v>
      </c>
      <c r="L91" s="44">
        <f>'продажи натураль.'!K90</f>
        <v>43.183130667135131</v>
      </c>
      <c r="M91" s="44">
        <f>'продажи натураль.'!L90</f>
        <v>83.828220612868833</v>
      </c>
      <c r="N91" s="44">
        <f>'продажи натураль.'!M90</f>
        <v>18.1511046716988</v>
      </c>
      <c r="O91" s="44">
        <f>'продажи натураль.'!N90</f>
        <v>57.646136307327509</v>
      </c>
    </row>
    <row r="92" spans="1:15" x14ac:dyDescent="0.2">
      <c r="A92" s="38" t="s">
        <v>27</v>
      </c>
      <c r="D92" s="44">
        <f>'продажи натураль.'!C91</f>
        <v>80.919422144055574</v>
      </c>
      <c r="E92" s="44">
        <f>'продажи натураль.'!D91</f>
        <v>32.813899622892556</v>
      </c>
      <c r="F92" s="44">
        <f>'продажи натураль.'!E91</f>
        <v>2.64159757978635</v>
      </c>
      <c r="G92" s="44">
        <f>'продажи натураль.'!F91</f>
        <v>15.232877355498498</v>
      </c>
      <c r="H92" s="44">
        <f>'продажи натураль.'!G91</f>
        <v>32.526064624941476</v>
      </c>
      <c r="I92" s="44">
        <f>'продажи натураль.'!H91</f>
        <v>48.217740353696421</v>
      </c>
      <c r="J92" s="44">
        <f>'продажи натураль.'!I91</f>
        <v>13.64856107925382</v>
      </c>
      <c r="K92" s="44">
        <f>'продажи натураль.'!J91</f>
        <v>12.652772721174006</v>
      </c>
      <c r="L92" s="44">
        <f>'продажи натураль.'!K91</f>
        <v>20.646430621823413</v>
      </c>
      <c r="M92" s="44">
        <f>'продажи натураль.'!L91</f>
        <v>49.785610660137529</v>
      </c>
      <c r="N92" s="44">
        <f>'продажи натураль.'!M91</f>
        <v>26.424340078583498</v>
      </c>
      <c r="O92" s="44">
        <f>'продажи натураль.'!N91</f>
        <v>46.335206720320606</v>
      </c>
    </row>
    <row r="93" spans="1:15" x14ac:dyDescent="0.2">
      <c r="A93" s="38" t="s">
        <v>28</v>
      </c>
      <c r="D93" s="44">
        <f>'продажи натураль.'!C92</f>
        <v>34.706566221408579</v>
      </c>
      <c r="E93" s="44">
        <f>'продажи натураль.'!D92</f>
        <v>26.740013515614486</v>
      </c>
      <c r="F93" s="44">
        <f>'продажи натураль.'!E92</f>
        <v>63.230745904799669</v>
      </c>
      <c r="G93" s="44">
        <f>'продажи натураль.'!F92</f>
        <v>180.05247298696943</v>
      </c>
      <c r="H93" s="44">
        <f>'продажи натураль.'!G92</f>
        <v>4.418127847812424</v>
      </c>
      <c r="I93" s="44">
        <f>'продажи натураль.'!H92</f>
        <v>15.740854330394418</v>
      </c>
      <c r="J93" s="44">
        <f>'продажи натураль.'!I92</f>
        <v>50.565902662881747</v>
      </c>
      <c r="K93" s="44">
        <f>'продажи натураль.'!J92</f>
        <v>55.014552198266976</v>
      </c>
      <c r="L93" s="44">
        <f>'продажи натураль.'!K92</f>
        <v>46.42072144514821</v>
      </c>
      <c r="M93" s="44">
        <f>'продажи натураль.'!L92</f>
        <v>82.672406668271591</v>
      </c>
      <c r="N93" s="44">
        <f>'продажи натураль.'!M92</f>
        <v>50.320556357431016</v>
      </c>
      <c r="O93" s="44">
        <f>'продажи натураль.'!N92</f>
        <v>31.588361786202341</v>
      </c>
    </row>
    <row r="94" spans="1:15" x14ac:dyDescent="0.2">
      <c r="A94" s="38" t="s">
        <v>29</v>
      </c>
      <c r="D94" s="44">
        <f>'продажи натураль.'!C93</f>
        <v>7.41234652979389</v>
      </c>
      <c r="E94" s="44">
        <f>'продажи натураль.'!D93</f>
        <v>8.1565618162394706</v>
      </c>
      <c r="F94" s="44">
        <f>'продажи натураль.'!E93</f>
        <v>8.40283798136368</v>
      </c>
      <c r="G94" s="44">
        <f>'продажи натураль.'!F93</f>
        <v>80.478345445097787</v>
      </c>
      <c r="H94" s="44">
        <f>'продажи натураль.'!G93</f>
        <v>38.24202075225233</v>
      </c>
      <c r="I94" s="44">
        <f>'продажи натураль.'!H93</f>
        <v>65.516419220592212</v>
      </c>
      <c r="J94" s="44">
        <f>'продажи натураль.'!I93</f>
        <v>64.598713647316458</v>
      </c>
      <c r="K94" s="44">
        <f>'продажи натураль.'!J93</f>
        <v>72.698652955339298</v>
      </c>
      <c r="L94" s="44">
        <f>'продажи натураль.'!K93</f>
        <v>2.2495956616202406</v>
      </c>
      <c r="M94" s="44">
        <f>'продажи натураль.'!L93</f>
        <v>40.204504813408242</v>
      </c>
      <c r="N94" s="44">
        <f>'продажи натураль.'!M93</f>
        <v>142.28463758760529</v>
      </c>
      <c r="O94" s="44">
        <f>'продажи натураль.'!N93</f>
        <v>14.344749827416514</v>
      </c>
    </row>
    <row r="95" spans="1:15" x14ac:dyDescent="0.2">
      <c r="A95" s="38" t="s">
        <v>30</v>
      </c>
      <c r="D95" s="44">
        <f>'продажи натураль.'!C94</f>
        <v>41.215924999556236</v>
      </c>
      <c r="E95" s="44">
        <f>'продажи натураль.'!D94</f>
        <v>27.302338004585849</v>
      </c>
      <c r="F95" s="44">
        <f>'продажи натураль.'!E94</f>
        <v>57.213328051816376</v>
      </c>
      <c r="G95" s="44">
        <f>'продажи натураль.'!F94</f>
        <v>0.23936969379538997</v>
      </c>
      <c r="H95" s="44">
        <f>'продажи натураль.'!G94</f>
        <v>35.535721669649391</v>
      </c>
      <c r="I95" s="44">
        <f>'продажи натураль.'!H94</f>
        <v>17.619053062958901</v>
      </c>
      <c r="J95" s="44">
        <f>'продажи натураль.'!I94</f>
        <v>13.748677385344338</v>
      </c>
      <c r="K95" s="44">
        <f>'продажи натураль.'!J94</f>
        <v>11.181274134029771</v>
      </c>
      <c r="L95" s="44">
        <f>'продажи натураль.'!K94</f>
        <v>4.0036676721781728</v>
      </c>
      <c r="M95" s="44">
        <f>'продажи натураль.'!L94</f>
        <v>93.092960056778921</v>
      </c>
      <c r="N95" s="44">
        <f>'продажи натураль.'!M94</f>
        <v>48.37448823917785</v>
      </c>
      <c r="O95" s="44">
        <f>'продажи натураль.'!N94</f>
        <v>33.929837078368493</v>
      </c>
    </row>
    <row r="96" spans="1:15" x14ac:dyDescent="0.2">
      <c r="A96" s="38" t="s">
        <v>31</v>
      </c>
      <c r="D96" s="44">
        <f>'продажи натураль.'!C95</f>
        <v>0.92663594314479369</v>
      </c>
      <c r="E96" s="44">
        <f>'продажи натураль.'!D95</f>
        <v>44.632069250173643</v>
      </c>
      <c r="F96" s="44">
        <f>'продажи натураль.'!E95</f>
        <v>33.804651967948701</v>
      </c>
      <c r="G96" s="44">
        <f>'продажи натураль.'!F95</f>
        <v>81.256434646239839</v>
      </c>
      <c r="H96" s="44">
        <f>'продажи натураль.'!G95</f>
        <v>16.772940395292828</v>
      </c>
      <c r="I96" s="44">
        <f>'продажи натураль.'!H95</f>
        <v>24.866373873928499</v>
      </c>
      <c r="J96" s="44">
        <f>'продажи натураль.'!I95</f>
        <v>51.195785706568728</v>
      </c>
      <c r="K96" s="44">
        <f>'продажи натураль.'!J95</f>
        <v>27.859705293910842</v>
      </c>
      <c r="L96" s="44">
        <f>'продажи натураль.'!K95</f>
        <v>1.8777103854281585</v>
      </c>
      <c r="M96" s="44">
        <f>'продажи натураль.'!L95</f>
        <v>38.195584560432152</v>
      </c>
      <c r="N96" s="44">
        <f>'продажи натураль.'!M95</f>
        <v>67.072856669563805</v>
      </c>
      <c r="O96" s="44">
        <f>'продажи натураль.'!N95</f>
        <v>6.5351085023590008</v>
      </c>
    </row>
    <row r="97" spans="1:15" x14ac:dyDescent="0.2">
      <c r="A97" s="38" t="s">
        <v>32</v>
      </c>
      <c r="D97" s="44">
        <f>'продажи натураль.'!C96</f>
        <v>3.3150677048614017</v>
      </c>
      <c r="E97" s="44">
        <f>'продажи натураль.'!D96</f>
        <v>27.363792271724876</v>
      </c>
      <c r="F97" s="44">
        <f>'продажи натураль.'!E96</f>
        <v>150.77685229400439</v>
      </c>
      <c r="G97" s="44">
        <f>'продажи натураль.'!F96</f>
        <v>11.142083971379963</v>
      </c>
      <c r="H97" s="44">
        <f>'продажи натураль.'!G96</f>
        <v>159.1718172223996</v>
      </c>
      <c r="I97" s="44">
        <f>'продажи натураль.'!H96</f>
        <v>12.970164930960895</v>
      </c>
      <c r="J97" s="44">
        <f>'продажи натураль.'!I96</f>
        <v>16.593010050782944</v>
      </c>
      <c r="K97" s="44">
        <f>'продажи натураль.'!J96</f>
        <v>185.40891389273818</v>
      </c>
      <c r="L97" s="44">
        <f>'продажи натураль.'!K96</f>
        <v>32.834301141752547</v>
      </c>
      <c r="M97" s="44">
        <f>'продажи натураль.'!L96</f>
        <v>25.849781826083099</v>
      </c>
      <c r="N97" s="44">
        <f>'продажи натураль.'!M96</f>
        <v>15.77720367146472</v>
      </c>
      <c r="O97" s="44">
        <f>'продажи натураль.'!N96</f>
        <v>14.832285477624936</v>
      </c>
    </row>
    <row r="98" spans="1:15" x14ac:dyDescent="0.2">
      <c r="A98" s="38" t="s">
        <v>33</v>
      </c>
      <c r="D98" s="44">
        <f>'продажи натураль.'!C97</f>
        <v>85.173731922426995</v>
      </c>
      <c r="E98" s="44">
        <f>'продажи натураль.'!D97</f>
        <v>10.998017283388805</v>
      </c>
      <c r="F98" s="44">
        <f>'продажи натураль.'!E97</f>
        <v>6.0565050893990451</v>
      </c>
      <c r="G98" s="44">
        <f>'продажи натураль.'!F97</f>
        <v>124.68007414891687</v>
      </c>
      <c r="H98" s="44">
        <f>'продажи натураль.'!G97</f>
        <v>27.396777128390344</v>
      </c>
      <c r="I98" s="44">
        <f>'продажи натураль.'!H97</f>
        <v>33.763588259010959</v>
      </c>
      <c r="J98" s="44">
        <f>'продажи натураль.'!I97</f>
        <v>56.625771481836232</v>
      </c>
      <c r="K98" s="44">
        <f>'продажи натураль.'!J97</f>
        <v>87.843339865743289</v>
      </c>
      <c r="L98" s="44">
        <f>'продажи натураль.'!K97</f>
        <v>163.48446249836951</v>
      </c>
      <c r="M98" s="44">
        <f>'продажи натураль.'!L97</f>
        <v>28.377685405002254</v>
      </c>
      <c r="N98" s="44">
        <f>'продажи натураль.'!M97</f>
        <v>46.74799062168676</v>
      </c>
      <c r="O98" s="44">
        <f>'продажи натураль.'!N97</f>
        <v>7.1324289359326833</v>
      </c>
    </row>
    <row r="99" spans="1:15" x14ac:dyDescent="0.2">
      <c r="A99" s="38" t="s">
        <v>34</v>
      </c>
      <c r="D99" s="44">
        <f>'продажи натураль.'!C98</f>
        <v>14.101421231256378</v>
      </c>
      <c r="E99" s="44">
        <f>'продажи натураль.'!D98</f>
        <v>40.818577256555834</v>
      </c>
      <c r="F99" s="44">
        <f>'продажи натураль.'!E98</f>
        <v>142.28438193024226</v>
      </c>
      <c r="G99" s="44">
        <f>'продажи натураль.'!F98</f>
        <v>23.429304059119485</v>
      </c>
      <c r="H99" s="44">
        <f>'продажи натураль.'!G98</f>
        <v>88.909795426072506</v>
      </c>
      <c r="I99" s="44">
        <f>'продажи натураль.'!H98</f>
        <v>21.246411368410186</v>
      </c>
      <c r="J99" s="44">
        <f>'продажи натураль.'!I98</f>
        <v>42.558095338928304</v>
      </c>
      <c r="K99" s="44">
        <f>'продажи натураль.'!J98</f>
        <v>17.334184701686073</v>
      </c>
      <c r="L99" s="44">
        <f>'продажи натураль.'!K98</f>
        <v>164.80525828497125</v>
      </c>
      <c r="M99" s="44">
        <f>'продажи натураль.'!L98</f>
        <v>10.017178903210567</v>
      </c>
      <c r="N99" s="44">
        <f>'продажи натураль.'!M98</f>
        <v>2.0783992187741331</v>
      </c>
      <c r="O99" s="44">
        <f>'продажи натураль.'!N98</f>
        <v>7.6760517375882529</v>
      </c>
    </row>
    <row r="100" spans="1:15" x14ac:dyDescent="0.2"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</row>
    <row r="101" spans="1:15" x14ac:dyDescent="0.2">
      <c r="A101" s="3" t="s">
        <v>50</v>
      </c>
      <c r="B101" s="3"/>
      <c r="C101" s="3"/>
      <c r="D101" s="43">
        <f>D297/D3</f>
        <v>263.37698590384798</v>
      </c>
      <c r="E101" s="43">
        <f t="shared" ref="E101:I101" si="100">E297/E3</f>
        <v>249.18929799670616</v>
      </c>
      <c r="F101" s="43">
        <f t="shared" si="100"/>
        <v>256.50196882313412</v>
      </c>
      <c r="G101" s="43">
        <f t="shared" si="100"/>
        <v>263.05271665754469</v>
      </c>
      <c r="H101" s="43">
        <f t="shared" si="100"/>
        <v>246.14183668979726</v>
      </c>
      <c r="I101" s="43">
        <f t="shared" si="100"/>
        <v>253.85050568804019</v>
      </c>
      <c r="J101" s="43">
        <f t="shared" ref="J101:O101" si="101">J297/J3</f>
        <v>238.96406308360534</v>
      </c>
      <c r="K101" s="43">
        <f t="shared" si="101"/>
        <v>253.67041997290463</v>
      </c>
      <c r="L101" s="43">
        <f t="shared" si="101"/>
        <v>257.33916663563355</v>
      </c>
      <c r="M101" s="43">
        <f t="shared" si="101"/>
        <v>242.24849178131245</v>
      </c>
      <c r="N101" s="43">
        <f t="shared" si="101"/>
        <v>254.85958569718295</v>
      </c>
      <c r="O101" s="43">
        <f t="shared" si="101"/>
        <v>238.10439123302962</v>
      </c>
    </row>
    <row r="102" spans="1:15" x14ac:dyDescent="0.2">
      <c r="A102" s="37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</row>
    <row r="103" spans="1:15" x14ac:dyDescent="0.2">
      <c r="A103" s="3" t="s">
        <v>22</v>
      </c>
      <c r="B103" s="3"/>
      <c r="C103" s="3"/>
      <c r="D103" s="43">
        <f>D299/D5</f>
        <v>260.95418873873552</v>
      </c>
      <c r="E103" s="43">
        <f t="shared" ref="E103:I103" si="102">E299/E5</f>
        <v>238.06467420700605</v>
      </c>
      <c r="F103" s="43">
        <f t="shared" si="102"/>
        <v>242.67049532079423</v>
      </c>
      <c r="G103" s="43">
        <f t="shared" si="102"/>
        <v>232.71307003471082</v>
      </c>
      <c r="H103" s="43">
        <f t="shared" si="102"/>
        <v>251.62562812356234</v>
      </c>
      <c r="I103" s="43">
        <f t="shared" si="102"/>
        <v>250.10691886130539</v>
      </c>
      <c r="J103" s="43">
        <f t="shared" ref="J103:O103" si="103">J299/J5</f>
        <v>234.01874571174338</v>
      </c>
      <c r="K103" s="43">
        <f t="shared" si="103"/>
        <v>258.76250648679047</v>
      </c>
      <c r="L103" s="43">
        <f t="shared" si="103"/>
        <v>241.34282954401758</v>
      </c>
      <c r="M103" s="43">
        <f t="shared" si="103"/>
        <v>250.17240631860884</v>
      </c>
      <c r="N103" s="43">
        <f t="shared" si="103"/>
        <v>258.7604784637598</v>
      </c>
      <c r="O103" s="43">
        <f t="shared" si="103"/>
        <v>243.48222696816123</v>
      </c>
    </row>
    <row r="104" spans="1:15" x14ac:dyDescent="0.2">
      <c r="A104" s="4" t="s">
        <v>23</v>
      </c>
      <c r="B104" s="4"/>
      <c r="C104" s="4"/>
      <c r="D104" s="45">
        <f>D300/D6</f>
        <v>273.78560276698346</v>
      </c>
      <c r="E104" s="45">
        <f t="shared" ref="E104:I104" si="104">E300/E6</f>
        <v>247.44300672811917</v>
      </c>
      <c r="F104" s="45">
        <f t="shared" si="104"/>
        <v>263.74872560245956</v>
      </c>
      <c r="G104" s="45">
        <f t="shared" si="104"/>
        <v>216.24660649828709</v>
      </c>
      <c r="H104" s="45">
        <f t="shared" si="104"/>
        <v>261.37406664923481</v>
      </c>
      <c r="I104" s="45">
        <f t="shared" si="104"/>
        <v>233.06480052518742</v>
      </c>
      <c r="J104" s="45">
        <f t="shared" ref="J104:O104" si="105">J300/J6</f>
        <v>240.28307433428137</v>
      </c>
      <c r="K104" s="45">
        <f t="shared" si="105"/>
        <v>263.73987889840572</v>
      </c>
      <c r="L104" s="45">
        <f t="shared" si="105"/>
        <v>216.31753945946753</v>
      </c>
      <c r="M104" s="45">
        <f t="shared" si="105"/>
        <v>242.58112380620906</v>
      </c>
      <c r="N104" s="45">
        <f t="shared" si="105"/>
        <v>254.96642361872404</v>
      </c>
      <c r="O104" s="45">
        <f t="shared" si="105"/>
        <v>233.21088200429361</v>
      </c>
    </row>
    <row r="105" spans="1:15" x14ac:dyDescent="0.2">
      <c r="A105" s="37" t="s">
        <v>24</v>
      </c>
      <c r="D105" s="46">
        <f>D301/D7</f>
        <v>156.82141821555766</v>
      </c>
      <c r="E105" s="46">
        <f t="shared" ref="E105:I105" si="106">E301/E7</f>
        <v>150.4751879907804</v>
      </c>
      <c r="F105" s="46">
        <f t="shared" si="106"/>
        <v>146.79070063742137</v>
      </c>
      <c r="G105" s="46">
        <f t="shared" si="106"/>
        <v>133.50011781282518</v>
      </c>
      <c r="H105" s="46">
        <f t="shared" si="106"/>
        <v>137.38351161907579</v>
      </c>
      <c r="I105" s="46">
        <f t="shared" si="106"/>
        <v>147.73510883751595</v>
      </c>
      <c r="J105" s="46">
        <f t="shared" ref="J105:O105" si="107">J301/J7</f>
        <v>168.39169027329137</v>
      </c>
      <c r="K105" s="46">
        <f t="shared" si="107"/>
        <v>180.80321475306891</v>
      </c>
      <c r="L105" s="46">
        <f t="shared" si="107"/>
        <v>141.01127908615229</v>
      </c>
      <c r="M105" s="46">
        <f t="shared" si="107"/>
        <v>157.52673014032624</v>
      </c>
      <c r="N105" s="46">
        <f t="shared" si="107"/>
        <v>151.65870707580029</v>
      </c>
      <c r="O105" s="46">
        <f t="shared" si="107"/>
        <v>141.12680403409777</v>
      </c>
    </row>
    <row r="106" spans="1:15" x14ac:dyDescent="0.2">
      <c r="A106" s="38" t="s">
        <v>25</v>
      </c>
      <c r="D106" s="44">
        <f>'цены 1 полуг'!B22</f>
        <v>113</v>
      </c>
      <c r="E106" s="44">
        <f>'цены 1 полуг'!C22</f>
        <v>110</v>
      </c>
      <c r="F106" s="44">
        <f>'цены 1 полуг'!D22</f>
        <v>104</v>
      </c>
      <c r="G106" s="44">
        <f>'цены 1 полуг'!E22</f>
        <v>164</v>
      </c>
      <c r="H106" s="44">
        <f>'цены 1 полуг'!F22</f>
        <v>162</v>
      </c>
      <c r="I106" s="44">
        <f>'цены 1 полуг'!G22</f>
        <v>136</v>
      </c>
      <c r="J106" s="44">
        <f>'цены 2 полуг'!M12</f>
        <v>117</v>
      </c>
      <c r="K106" s="44">
        <f>'цены 2 полуг'!N12</f>
        <v>198</v>
      </c>
      <c r="L106" s="44">
        <f>'цены 2 полуг'!O12</f>
        <v>118</v>
      </c>
      <c r="M106" s="44">
        <f>'цены 2 полуг'!P12</f>
        <v>147</v>
      </c>
      <c r="N106" s="44">
        <f>'цены 2 полуг'!Q12</f>
        <v>159</v>
      </c>
      <c r="O106" s="44">
        <f>'цены 2 полуг'!R12</f>
        <v>118</v>
      </c>
    </row>
    <row r="107" spans="1:15" x14ac:dyDescent="0.2">
      <c r="A107" s="38" t="s">
        <v>26</v>
      </c>
      <c r="D107" s="44">
        <f>'цены 1 полуг'!B23</f>
        <v>114</v>
      </c>
      <c r="E107" s="44">
        <f>'цены 1 полуг'!C23</f>
        <v>181</v>
      </c>
      <c r="F107" s="44">
        <f>'цены 1 полуг'!D23</f>
        <v>126</v>
      </c>
      <c r="G107" s="44">
        <f>'цены 1 полуг'!E23</f>
        <v>113</v>
      </c>
      <c r="H107" s="44">
        <f>'цены 1 полуг'!F23</f>
        <v>156</v>
      </c>
      <c r="I107" s="44">
        <f>'цены 1 полуг'!G23</f>
        <v>144</v>
      </c>
      <c r="J107" s="44">
        <f>'цены 2 полуг'!M13</f>
        <v>137</v>
      </c>
      <c r="K107" s="44">
        <f>'цены 2 полуг'!N13</f>
        <v>183</v>
      </c>
      <c r="L107" s="44">
        <f>'цены 2 полуг'!O13</f>
        <v>124</v>
      </c>
      <c r="M107" s="44">
        <f>'цены 2 полуг'!P13</f>
        <v>158</v>
      </c>
      <c r="N107" s="44">
        <f>'цены 2 полуг'!Q13</f>
        <v>168</v>
      </c>
      <c r="O107" s="44">
        <f>'цены 2 полуг'!R13</f>
        <v>188</v>
      </c>
    </row>
    <row r="108" spans="1:15" x14ac:dyDescent="0.2">
      <c r="A108" s="38" t="s">
        <v>27</v>
      </c>
      <c r="D108" s="44">
        <f>'цены 1 полуг'!B24</f>
        <v>157</v>
      </c>
      <c r="E108" s="44">
        <f>'цены 1 полуг'!C24</f>
        <v>129</v>
      </c>
      <c r="F108" s="44">
        <f>'цены 1 полуг'!D24</f>
        <v>120</v>
      </c>
      <c r="G108" s="44">
        <f>'цены 1 полуг'!E24</f>
        <v>111</v>
      </c>
      <c r="H108" s="44">
        <f>'цены 1 полуг'!F24</f>
        <v>124</v>
      </c>
      <c r="I108" s="44">
        <f>'цены 1 полуг'!G24</f>
        <v>177</v>
      </c>
      <c r="J108" s="44">
        <f>'цены 2 полуг'!M14</f>
        <v>117</v>
      </c>
      <c r="K108" s="44">
        <f>'цены 2 полуг'!N14</f>
        <v>189</v>
      </c>
      <c r="L108" s="44">
        <f>'цены 2 полуг'!O14</f>
        <v>150</v>
      </c>
      <c r="M108" s="44">
        <f>'цены 2 полуг'!P14</f>
        <v>136</v>
      </c>
      <c r="N108" s="44">
        <f>'цены 2 полуг'!Q14</f>
        <v>121</v>
      </c>
      <c r="O108" s="44">
        <f>'цены 2 полуг'!R14</f>
        <v>113</v>
      </c>
    </row>
    <row r="109" spans="1:15" x14ac:dyDescent="0.2">
      <c r="A109" s="38" t="s">
        <v>28</v>
      </c>
      <c r="D109" s="44">
        <f>'цены 1 полуг'!B25</f>
        <v>153</v>
      </c>
      <c r="E109" s="44">
        <f>'цены 1 полуг'!C25</f>
        <v>190</v>
      </c>
      <c r="F109" s="44">
        <f>'цены 1 полуг'!D25</f>
        <v>186</v>
      </c>
      <c r="G109" s="44">
        <f>'цены 1 полуг'!E25</f>
        <v>124</v>
      </c>
      <c r="H109" s="44">
        <f>'цены 1 полуг'!F25</f>
        <v>164</v>
      </c>
      <c r="I109" s="44">
        <f>'цены 1 полуг'!G25</f>
        <v>112</v>
      </c>
      <c r="J109" s="44">
        <f>'цены 2 полуг'!M15</f>
        <v>162</v>
      </c>
      <c r="K109" s="44">
        <f>'цены 2 полуг'!N15</f>
        <v>190</v>
      </c>
      <c r="L109" s="44">
        <f>'цены 2 полуг'!O15</f>
        <v>153</v>
      </c>
      <c r="M109" s="44">
        <f>'цены 2 полуг'!P15</f>
        <v>139</v>
      </c>
      <c r="N109" s="44">
        <f>'цены 2 полуг'!Q15</f>
        <v>165</v>
      </c>
      <c r="O109" s="44">
        <f>'цены 2 полуг'!R15</f>
        <v>196</v>
      </c>
    </row>
    <row r="110" spans="1:15" x14ac:dyDescent="0.2">
      <c r="A110" s="38" t="s">
        <v>29</v>
      </c>
      <c r="D110" s="44">
        <f>'цены 1 полуг'!B26</f>
        <v>182</v>
      </c>
      <c r="E110" s="44">
        <f>'цены 1 полуг'!C26</f>
        <v>174</v>
      </c>
      <c r="F110" s="44">
        <f>'цены 1 полуг'!D26</f>
        <v>171</v>
      </c>
      <c r="G110" s="44">
        <f>'цены 1 полуг'!E26</f>
        <v>186</v>
      </c>
      <c r="H110" s="44">
        <f>'цены 1 полуг'!F26</f>
        <v>104</v>
      </c>
      <c r="I110" s="44">
        <f>'цены 1 полуг'!G26</f>
        <v>187</v>
      </c>
      <c r="J110" s="44">
        <f>'цены 2 полуг'!M16</f>
        <v>177</v>
      </c>
      <c r="K110" s="44">
        <f>'цены 2 полуг'!N16</f>
        <v>193</v>
      </c>
      <c r="L110" s="44">
        <f>'цены 2 полуг'!O16</f>
        <v>198</v>
      </c>
      <c r="M110" s="44">
        <f>'цены 2 полуг'!P16</f>
        <v>137</v>
      </c>
      <c r="N110" s="44">
        <f>'цены 2 полуг'!Q16</f>
        <v>176</v>
      </c>
      <c r="O110" s="44">
        <f>'цены 2 полуг'!R16</f>
        <v>166</v>
      </c>
    </row>
    <row r="111" spans="1:15" x14ac:dyDescent="0.2">
      <c r="A111" s="38" t="s">
        <v>30</v>
      </c>
      <c r="D111" s="44">
        <f>'цены 1 полуг'!B27</f>
        <v>190</v>
      </c>
      <c r="E111" s="44">
        <f>'цены 1 полуг'!C27</f>
        <v>130</v>
      </c>
      <c r="F111" s="44">
        <f>'цены 1 полуг'!D27</f>
        <v>162</v>
      </c>
      <c r="G111" s="44">
        <f>'цены 1 полуг'!E27</f>
        <v>120</v>
      </c>
      <c r="H111" s="44">
        <f>'цены 1 полуг'!F27</f>
        <v>143</v>
      </c>
      <c r="I111" s="44">
        <f>'цены 1 полуг'!G27</f>
        <v>101</v>
      </c>
      <c r="J111" s="44">
        <f>'цены 2 полуг'!M17</f>
        <v>149</v>
      </c>
      <c r="K111" s="44">
        <f>'цены 2 полуг'!N17</f>
        <v>152</v>
      </c>
      <c r="L111" s="44">
        <f>'цены 2 полуг'!O17</f>
        <v>174</v>
      </c>
      <c r="M111" s="44">
        <f>'цены 2 полуг'!P17</f>
        <v>124</v>
      </c>
      <c r="N111" s="44">
        <f>'цены 2 полуг'!Q17</f>
        <v>128</v>
      </c>
      <c r="O111" s="44">
        <f>'цены 2 полуг'!R17</f>
        <v>138</v>
      </c>
    </row>
    <row r="112" spans="1:15" x14ac:dyDescent="0.2">
      <c r="A112" s="38" t="s">
        <v>31</v>
      </c>
      <c r="D112" s="44">
        <f>'цены 1 полуг'!B28</f>
        <v>193</v>
      </c>
      <c r="E112" s="44">
        <f>'цены 1 полуг'!C28</f>
        <v>196</v>
      </c>
      <c r="F112" s="44">
        <f>'цены 1 полуг'!D28</f>
        <v>138</v>
      </c>
      <c r="G112" s="44">
        <f>'цены 1 полуг'!E28</f>
        <v>162</v>
      </c>
      <c r="H112" s="44">
        <f>'цены 1 полуг'!F28</f>
        <v>131</v>
      </c>
      <c r="I112" s="44">
        <f>'цены 1 полуг'!G28</f>
        <v>112</v>
      </c>
      <c r="J112" s="44">
        <f>'цены 2 полуг'!M18</f>
        <v>134</v>
      </c>
      <c r="K112" s="44">
        <f>'цены 2 полуг'!N18</f>
        <v>169</v>
      </c>
      <c r="L112" s="44">
        <f>'цены 2 полуг'!O18</f>
        <v>156</v>
      </c>
      <c r="M112" s="44">
        <f>'цены 2 полуг'!P18</f>
        <v>126</v>
      </c>
      <c r="N112" s="44">
        <f>'цены 2 полуг'!Q18</f>
        <v>141</v>
      </c>
      <c r="O112" s="44">
        <f>'цены 2 полуг'!R18</f>
        <v>108</v>
      </c>
    </row>
    <row r="113" spans="1:15" x14ac:dyDescent="0.2">
      <c r="A113" s="38" t="s">
        <v>32</v>
      </c>
      <c r="D113" s="44">
        <f>'цены 1 полуг'!B29</f>
        <v>139</v>
      </c>
      <c r="E113" s="44">
        <f>'цены 1 полуг'!C29</f>
        <v>130</v>
      </c>
      <c r="F113" s="44">
        <f>'цены 1 полуг'!D29</f>
        <v>200</v>
      </c>
      <c r="G113" s="44">
        <f>'цены 1 полуг'!E29</f>
        <v>102</v>
      </c>
      <c r="H113" s="44">
        <f>'цены 1 полуг'!F29</f>
        <v>130</v>
      </c>
      <c r="I113" s="44">
        <f>'цены 1 полуг'!G29</f>
        <v>156</v>
      </c>
      <c r="J113" s="44">
        <f>'цены 2 полуг'!M19</f>
        <v>153</v>
      </c>
      <c r="K113" s="44">
        <f>'цены 2 полуг'!N19</f>
        <v>168</v>
      </c>
      <c r="L113" s="44">
        <f>'цены 2 полуг'!O19</f>
        <v>113</v>
      </c>
      <c r="M113" s="44">
        <f>'цены 2 полуг'!P19</f>
        <v>155</v>
      </c>
      <c r="N113" s="44">
        <f>'цены 2 полуг'!Q19</f>
        <v>179</v>
      </c>
      <c r="O113" s="44">
        <f>'цены 2 полуг'!R19</f>
        <v>126</v>
      </c>
    </row>
    <row r="114" spans="1:15" x14ac:dyDescent="0.2">
      <c r="A114" s="38" t="s">
        <v>33</v>
      </c>
      <c r="D114" s="44">
        <f>'цены 1 полуг'!B30</f>
        <v>157</v>
      </c>
      <c r="E114" s="44">
        <f>'цены 1 полуг'!C30</f>
        <v>130</v>
      </c>
      <c r="F114" s="44">
        <f>'цены 1 полуг'!D30</f>
        <v>101</v>
      </c>
      <c r="G114" s="44">
        <f>'цены 1 полуг'!E30</f>
        <v>103</v>
      </c>
      <c r="H114" s="44">
        <f>'цены 1 полуг'!F30</f>
        <v>155</v>
      </c>
      <c r="I114" s="44">
        <f>'цены 1 полуг'!G30</f>
        <v>166</v>
      </c>
      <c r="J114" s="44">
        <f>'цены 2 полуг'!M20</f>
        <v>200</v>
      </c>
      <c r="K114" s="44">
        <f>'цены 2 полуг'!N20</f>
        <v>135</v>
      </c>
      <c r="L114" s="44">
        <f>'цены 2 полуг'!O20</f>
        <v>153</v>
      </c>
      <c r="M114" s="44">
        <f>'цены 2 полуг'!P20</f>
        <v>178</v>
      </c>
      <c r="N114" s="44">
        <f>'цены 2 полуг'!Q20</f>
        <v>144</v>
      </c>
      <c r="O114" s="44">
        <f>'цены 2 полуг'!R20</f>
        <v>149</v>
      </c>
    </row>
    <row r="115" spans="1:15" x14ac:dyDescent="0.2">
      <c r="A115" s="38" t="s">
        <v>34</v>
      </c>
      <c r="D115" s="44">
        <f>'цены 1 полуг'!B31</f>
        <v>190</v>
      </c>
      <c r="E115" s="44">
        <f>'цены 1 полуг'!C31</f>
        <v>148</v>
      </c>
      <c r="F115" s="44">
        <f>'цены 1 полуг'!D31</f>
        <v>103</v>
      </c>
      <c r="G115" s="44">
        <f>'цены 1 полуг'!E31</f>
        <v>147</v>
      </c>
      <c r="H115" s="44">
        <f>'цены 1 полуг'!F31</f>
        <v>163</v>
      </c>
      <c r="I115" s="44">
        <f>'цены 1 полуг'!G31</f>
        <v>135</v>
      </c>
      <c r="J115" s="44">
        <f>'цены 2 полуг'!M21</f>
        <v>175</v>
      </c>
      <c r="K115" s="44">
        <f>'цены 2 полуг'!N21</f>
        <v>161</v>
      </c>
      <c r="L115" s="44">
        <f>'цены 2 полуг'!O21</f>
        <v>110</v>
      </c>
      <c r="M115" s="44">
        <f>'цены 2 полуг'!P21</f>
        <v>176</v>
      </c>
      <c r="N115" s="44">
        <f>'цены 2 полуг'!Q21</f>
        <v>150</v>
      </c>
      <c r="O115" s="44">
        <f>'цены 2 полуг'!R21</f>
        <v>177</v>
      </c>
    </row>
    <row r="116" spans="1:15" x14ac:dyDescent="0.2">
      <c r="A116" s="37" t="s">
        <v>35</v>
      </c>
      <c r="D116" s="46">
        <f>D312/D18</f>
        <v>357.15682876935603</v>
      </c>
      <c r="E116" s="46">
        <f t="shared" ref="E116:O116" si="108">E312/E18</f>
        <v>341.46688993795129</v>
      </c>
      <c r="F116" s="46">
        <f t="shared" si="108"/>
        <v>354.12838614706226</v>
      </c>
      <c r="G116" s="46">
        <f t="shared" si="108"/>
        <v>346.06058989100723</v>
      </c>
      <c r="H116" s="46">
        <f t="shared" si="108"/>
        <v>354.05209639382451</v>
      </c>
      <c r="I116" s="46">
        <f t="shared" si="108"/>
        <v>361.32286379806305</v>
      </c>
      <c r="J116" s="46">
        <f t="shared" si="108"/>
        <v>345.97363253303502</v>
      </c>
      <c r="K116" s="46">
        <f t="shared" si="108"/>
        <v>336.28544464385175</v>
      </c>
      <c r="L116" s="46">
        <f t="shared" si="108"/>
        <v>351.47906083922277</v>
      </c>
      <c r="M116" s="46">
        <f t="shared" si="108"/>
        <v>347.57353726027344</v>
      </c>
      <c r="N116" s="46">
        <f t="shared" si="108"/>
        <v>330.7944515491314</v>
      </c>
      <c r="O116" s="46">
        <f t="shared" si="108"/>
        <v>331.54675881919445</v>
      </c>
    </row>
    <row r="117" spans="1:15" x14ac:dyDescent="0.2">
      <c r="A117" s="38" t="s">
        <v>25</v>
      </c>
      <c r="D117" s="44">
        <f>'цены 1 полуг'!B33</f>
        <v>388</v>
      </c>
      <c r="E117" s="44">
        <f>'цены 1 полуг'!C33</f>
        <v>318</v>
      </c>
      <c r="F117" s="44">
        <f>'цены 1 полуг'!D33</f>
        <v>345</v>
      </c>
      <c r="G117" s="44">
        <f>'цены 1 полуг'!E33</f>
        <v>311</v>
      </c>
      <c r="H117" s="44">
        <f>'цены 1 полуг'!F33</f>
        <v>383</v>
      </c>
      <c r="I117" s="44">
        <f>'цены 1 полуг'!G33</f>
        <v>383</v>
      </c>
      <c r="J117" s="44">
        <f>'цены 2 полуг'!M23</f>
        <v>318</v>
      </c>
      <c r="K117" s="44">
        <f>'цены 2 полуг'!N23</f>
        <v>326</v>
      </c>
      <c r="L117" s="44">
        <f>'цены 2 полуг'!O23</f>
        <v>390</v>
      </c>
      <c r="M117" s="44">
        <f>'цены 2 полуг'!P23</f>
        <v>318</v>
      </c>
      <c r="N117" s="44">
        <f>'цены 2 полуг'!Q23</f>
        <v>313</v>
      </c>
      <c r="O117" s="44">
        <f>'цены 2 полуг'!R23</f>
        <v>344</v>
      </c>
    </row>
    <row r="118" spans="1:15" x14ac:dyDescent="0.2">
      <c r="A118" s="38" t="s">
        <v>26</v>
      </c>
      <c r="D118" s="44">
        <f>'цены 1 полуг'!B34</f>
        <v>323</v>
      </c>
      <c r="E118" s="44">
        <f>'цены 1 полуг'!C34</f>
        <v>364</v>
      </c>
      <c r="F118" s="44">
        <f>'цены 1 полуг'!D34</f>
        <v>333</v>
      </c>
      <c r="G118" s="44">
        <f>'цены 1 полуг'!E34</f>
        <v>331</v>
      </c>
      <c r="H118" s="44">
        <f>'цены 1 полуг'!F34</f>
        <v>301</v>
      </c>
      <c r="I118" s="44">
        <f>'цены 1 полуг'!G34</f>
        <v>386</v>
      </c>
      <c r="J118" s="44">
        <f>'цены 2 полуг'!M24</f>
        <v>347</v>
      </c>
      <c r="K118" s="44">
        <f>'цены 2 полуг'!N24</f>
        <v>320</v>
      </c>
      <c r="L118" s="44">
        <f>'цены 2 полуг'!O24</f>
        <v>313</v>
      </c>
      <c r="M118" s="44">
        <f>'цены 2 полуг'!P24</f>
        <v>313</v>
      </c>
      <c r="N118" s="44">
        <f>'цены 2 полуг'!Q24</f>
        <v>385</v>
      </c>
      <c r="O118" s="44">
        <f>'цены 2 полуг'!R24</f>
        <v>365</v>
      </c>
    </row>
    <row r="119" spans="1:15" x14ac:dyDescent="0.2">
      <c r="A119" s="38" t="s">
        <v>27</v>
      </c>
      <c r="D119" s="44">
        <f>'цены 1 полуг'!B35</f>
        <v>372</v>
      </c>
      <c r="E119" s="44">
        <f>'цены 1 полуг'!C35</f>
        <v>300</v>
      </c>
      <c r="F119" s="44">
        <f>'цены 1 полуг'!D35</f>
        <v>314</v>
      </c>
      <c r="G119" s="44">
        <f>'цены 1 полуг'!E35</f>
        <v>383</v>
      </c>
      <c r="H119" s="44">
        <f>'цены 1 полуг'!F35</f>
        <v>331</v>
      </c>
      <c r="I119" s="44">
        <f>'цены 1 полуг'!G35</f>
        <v>383</v>
      </c>
      <c r="J119" s="44">
        <f>'цены 2 полуг'!M25</f>
        <v>343</v>
      </c>
      <c r="K119" s="44">
        <f>'цены 2 полуг'!N25</f>
        <v>314</v>
      </c>
      <c r="L119" s="44">
        <f>'цены 2 полуг'!O25</f>
        <v>381</v>
      </c>
      <c r="M119" s="44">
        <f>'цены 2 полуг'!P25</f>
        <v>389</v>
      </c>
      <c r="N119" s="44">
        <f>'цены 2 полуг'!Q25</f>
        <v>303</v>
      </c>
      <c r="O119" s="44">
        <f>'цены 2 полуг'!R25</f>
        <v>320</v>
      </c>
    </row>
    <row r="120" spans="1:15" x14ac:dyDescent="0.2">
      <c r="A120" s="38" t="s">
        <v>28</v>
      </c>
      <c r="D120" s="44">
        <f>'цены 1 полуг'!B36</f>
        <v>365</v>
      </c>
      <c r="E120" s="44">
        <f>'цены 1 полуг'!C36</f>
        <v>399</v>
      </c>
      <c r="F120" s="44">
        <f>'цены 1 полуг'!D36</f>
        <v>375</v>
      </c>
      <c r="G120" s="44">
        <f>'цены 1 полуг'!E36</f>
        <v>329</v>
      </c>
      <c r="H120" s="44">
        <f>'цены 1 полуг'!F36</f>
        <v>395</v>
      </c>
      <c r="I120" s="44">
        <f>'цены 1 полуг'!G36</f>
        <v>364</v>
      </c>
      <c r="J120" s="44">
        <f>'цены 2 полуг'!M26</f>
        <v>362</v>
      </c>
      <c r="K120" s="44">
        <f>'цены 2 полуг'!N26</f>
        <v>340</v>
      </c>
      <c r="L120" s="44">
        <f>'цены 2 полуг'!O26</f>
        <v>349</v>
      </c>
      <c r="M120" s="44">
        <f>'цены 2 полуг'!P26</f>
        <v>362</v>
      </c>
      <c r="N120" s="44">
        <f>'цены 2 полуг'!Q26</f>
        <v>378</v>
      </c>
      <c r="O120" s="44">
        <f>'цены 2 полуг'!R26</f>
        <v>308</v>
      </c>
    </row>
    <row r="121" spans="1:15" x14ac:dyDescent="0.2">
      <c r="A121" s="38" t="s">
        <v>29</v>
      </c>
      <c r="D121" s="44">
        <f>'цены 1 полуг'!B37</f>
        <v>344</v>
      </c>
      <c r="E121" s="44">
        <f>'цены 1 полуг'!C37</f>
        <v>354</v>
      </c>
      <c r="F121" s="44">
        <f>'цены 1 полуг'!D37</f>
        <v>374</v>
      </c>
      <c r="G121" s="44">
        <f>'цены 1 полуг'!E37</f>
        <v>380</v>
      </c>
      <c r="H121" s="44">
        <f>'цены 1 полуг'!F37</f>
        <v>366</v>
      </c>
      <c r="I121" s="44">
        <f>'цены 1 полуг'!G37</f>
        <v>303</v>
      </c>
      <c r="J121" s="44">
        <f>'цены 2 полуг'!M27</f>
        <v>370</v>
      </c>
      <c r="K121" s="44">
        <f>'цены 2 полуг'!N27</f>
        <v>308</v>
      </c>
      <c r="L121" s="44">
        <f>'цены 2 полуг'!O27</f>
        <v>311</v>
      </c>
      <c r="M121" s="44">
        <f>'цены 2 полуг'!P27</f>
        <v>387</v>
      </c>
      <c r="N121" s="44">
        <f>'цены 2 полуг'!Q27</f>
        <v>340</v>
      </c>
      <c r="O121" s="44">
        <f>'цены 2 полуг'!R27</f>
        <v>382</v>
      </c>
    </row>
    <row r="122" spans="1:15" x14ac:dyDescent="0.2">
      <c r="A122" s="38" t="s">
        <v>30</v>
      </c>
      <c r="D122" s="44">
        <f>'цены 1 полуг'!B38</f>
        <v>335</v>
      </c>
      <c r="E122" s="44">
        <f>'цены 1 полуг'!C38</f>
        <v>338</v>
      </c>
      <c r="F122" s="44">
        <f>'цены 1 полуг'!D38</f>
        <v>382</v>
      </c>
      <c r="G122" s="44">
        <f>'цены 1 полуг'!E38</f>
        <v>398</v>
      </c>
      <c r="H122" s="44">
        <f>'цены 1 полуг'!F38</f>
        <v>335</v>
      </c>
      <c r="I122" s="44">
        <f>'цены 1 полуг'!G38</f>
        <v>391</v>
      </c>
      <c r="J122" s="44">
        <f>'цены 2 полуг'!M28</f>
        <v>300</v>
      </c>
      <c r="K122" s="44">
        <f>'цены 2 полуг'!N28</f>
        <v>381</v>
      </c>
      <c r="L122" s="44">
        <f>'цены 2 полуг'!O28</f>
        <v>365</v>
      </c>
      <c r="M122" s="44">
        <f>'цены 2 полуг'!P28</f>
        <v>320</v>
      </c>
      <c r="N122" s="44">
        <f>'цены 2 полуг'!Q28</f>
        <v>311</v>
      </c>
      <c r="O122" s="44">
        <f>'цены 2 полуг'!R28</f>
        <v>328</v>
      </c>
    </row>
    <row r="123" spans="1:15" x14ac:dyDescent="0.2">
      <c r="A123" s="38" t="s">
        <v>31</v>
      </c>
      <c r="D123" s="44">
        <f>'цены 1 полуг'!B39</f>
        <v>381</v>
      </c>
      <c r="E123" s="44">
        <f>'цены 1 полуг'!C39</f>
        <v>327</v>
      </c>
      <c r="F123" s="44">
        <f>'цены 1 полуг'!D39</f>
        <v>338</v>
      </c>
      <c r="G123" s="44">
        <f>'цены 1 полуг'!E39</f>
        <v>306</v>
      </c>
      <c r="H123" s="44">
        <f>'цены 1 полуг'!F39</f>
        <v>369</v>
      </c>
      <c r="I123" s="44">
        <f>'цены 1 полуг'!G39</f>
        <v>306</v>
      </c>
      <c r="J123" s="44">
        <f>'цены 2 полуг'!M29</f>
        <v>373</v>
      </c>
      <c r="K123" s="44">
        <f>'цены 2 полуг'!N29</f>
        <v>343</v>
      </c>
      <c r="L123" s="44">
        <f>'цены 2 полуг'!O29</f>
        <v>376</v>
      </c>
      <c r="M123" s="44">
        <f>'цены 2 полуг'!P29</f>
        <v>352</v>
      </c>
      <c r="N123" s="44">
        <f>'цены 2 полуг'!Q29</f>
        <v>343</v>
      </c>
      <c r="O123" s="44">
        <f>'цены 2 полуг'!R29</f>
        <v>333</v>
      </c>
    </row>
    <row r="124" spans="1:15" x14ac:dyDescent="0.2">
      <c r="A124" s="38" t="s">
        <v>32</v>
      </c>
      <c r="D124" s="44">
        <f>'цены 1 полуг'!B40</f>
        <v>339</v>
      </c>
      <c r="E124" s="44">
        <f>'цены 1 полуг'!C40</f>
        <v>336</v>
      </c>
      <c r="F124" s="44">
        <f>'цены 1 полуг'!D40</f>
        <v>397</v>
      </c>
      <c r="G124" s="44">
        <f>'цены 1 полуг'!E40</f>
        <v>330</v>
      </c>
      <c r="H124" s="44">
        <f>'цены 1 полуг'!F40</f>
        <v>393</v>
      </c>
      <c r="I124" s="44">
        <f>'цены 1 полуг'!G40</f>
        <v>324</v>
      </c>
      <c r="J124" s="44">
        <f>'цены 2 полуг'!M30</f>
        <v>349</v>
      </c>
      <c r="K124" s="44">
        <f>'цены 2 полуг'!N30</f>
        <v>319</v>
      </c>
      <c r="L124" s="44">
        <f>'цены 2 полуг'!O30</f>
        <v>326</v>
      </c>
      <c r="M124" s="44">
        <f>'цены 2 полуг'!P30</f>
        <v>311</v>
      </c>
      <c r="N124" s="44">
        <f>'цены 2 полуг'!Q30</f>
        <v>356</v>
      </c>
      <c r="O124" s="44">
        <f>'цены 2 полуг'!R30</f>
        <v>352</v>
      </c>
    </row>
    <row r="125" spans="1:15" x14ac:dyDescent="0.2">
      <c r="A125" s="38" t="s">
        <v>33</v>
      </c>
      <c r="D125" s="44">
        <f>'цены 1 полуг'!B41</f>
        <v>344</v>
      </c>
      <c r="E125" s="44">
        <f>'цены 1 полуг'!C41</f>
        <v>336</v>
      </c>
      <c r="F125" s="44">
        <f>'цены 1 полуг'!D41</f>
        <v>344</v>
      </c>
      <c r="G125" s="44">
        <f>'цены 1 полуг'!E41</f>
        <v>332</v>
      </c>
      <c r="H125" s="44">
        <f>'цены 1 полуг'!F41</f>
        <v>336</v>
      </c>
      <c r="I125" s="44">
        <f>'цены 1 полуг'!G41</f>
        <v>383</v>
      </c>
      <c r="J125" s="44">
        <f>'цены 2 полуг'!M31</f>
        <v>331</v>
      </c>
      <c r="K125" s="44">
        <f>'цены 2 полуг'!N31</f>
        <v>386</v>
      </c>
      <c r="L125" s="44">
        <f>'цены 2 полуг'!O31</f>
        <v>301</v>
      </c>
      <c r="M125" s="44">
        <f>'цены 2 полуг'!P31</f>
        <v>326</v>
      </c>
      <c r="N125" s="44">
        <f>'цены 2 полуг'!Q31</f>
        <v>304</v>
      </c>
      <c r="O125" s="44">
        <f>'цены 2 полуг'!R31</f>
        <v>304</v>
      </c>
    </row>
    <row r="126" spans="1:15" x14ac:dyDescent="0.2">
      <c r="A126" s="38" t="s">
        <v>34</v>
      </c>
      <c r="D126" s="44">
        <f>'цены 1 полуг'!B42</f>
        <v>327</v>
      </c>
      <c r="E126" s="44">
        <f>'цены 1 полуг'!C42</f>
        <v>383</v>
      </c>
      <c r="F126" s="44">
        <f>'цены 1 полуг'!D42</f>
        <v>375</v>
      </c>
      <c r="G126" s="44">
        <f>'цены 1 полуг'!E42</f>
        <v>383</v>
      </c>
      <c r="H126" s="44">
        <f>'цены 1 полуг'!F42</f>
        <v>304</v>
      </c>
      <c r="I126" s="44">
        <f>'цены 1 полуг'!G42</f>
        <v>382</v>
      </c>
      <c r="J126" s="44">
        <f>'цены 2 полуг'!M32</f>
        <v>369</v>
      </c>
      <c r="K126" s="44">
        <f>'цены 2 полуг'!N32</f>
        <v>312</v>
      </c>
      <c r="L126" s="44">
        <f>'цены 2 полуг'!O32</f>
        <v>324</v>
      </c>
      <c r="M126" s="44">
        <f>'цены 2 полуг'!P32</f>
        <v>328</v>
      </c>
      <c r="N126" s="44">
        <f>'цены 2 полуг'!Q32</f>
        <v>347</v>
      </c>
      <c r="O126" s="44">
        <f>'цены 2 полуг'!R32</f>
        <v>311</v>
      </c>
    </row>
    <row r="127" spans="1:15" x14ac:dyDescent="0.2">
      <c r="A127" s="4" t="s">
        <v>36</v>
      </c>
      <c r="B127" s="4"/>
      <c r="C127" s="4"/>
      <c r="D127" s="45">
        <f>D323/D29</f>
        <v>243.26122909350676</v>
      </c>
      <c r="E127" s="45">
        <f t="shared" ref="E127:I127" si="109">E323/E29</f>
        <v>230.19807553223725</v>
      </c>
      <c r="F127" s="45">
        <f t="shared" si="109"/>
        <v>218.87820333197823</v>
      </c>
      <c r="G127" s="45">
        <f t="shared" si="109"/>
        <v>252.9573450101895</v>
      </c>
      <c r="H127" s="45">
        <f t="shared" si="109"/>
        <v>244.74430868269633</v>
      </c>
      <c r="I127" s="45">
        <f t="shared" si="109"/>
        <v>267.53998744815647</v>
      </c>
      <c r="J127" s="45">
        <f t="shared" ref="J127:O127" si="110">J323/J29</f>
        <v>226.00565156683561</v>
      </c>
      <c r="K127" s="45">
        <f t="shared" si="110"/>
        <v>254.08930692470452</v>
      </c>
      <c r="L127" s="45">
        <f t="shared" si="110"/>
        <v>274.16887511388359</v>
      </c>
      <c r="M127" s="45">
        <f t="shared" si="110"/>
        <v>261.9376165480258</v>
      </c>
      <c r="N127" s="45">
        <f t="shared" si="110"/>
        <v>261.94158921209873</v>
      </c>
      <c r="O127" s="45">
        <f t="shared" si="110"/>
        <v>254.18644475589113</v>
      </c>
    </row>
    <row r="128" spans="1:15" x14ac:dyDescent="0.2">
      <c r="A128" s="37" t="s">
        <v>24</v>
      </c>
      <c r="D128" s="46">
        <f>D324/D30</f>
        <v>152.22934457258876</v>
      </c>
      <c r="E128" s="46">
        <f t="shared" ref="E128:I128" si="111">E324/E30</f>
        <v>130.9387700750566</v>
      </c>
      <c r="F128" s="46">
        <f t="shared" si="111"/>
        <v>133.07610994727318</v>
      </c>
      <c r="G128" s="46">
        <f t="shared" si="111"/>
        <v>156.73856134540665</v>
      </c>
      <c r="H128" s="46">
        <f t="shared" si="111"/>
        <v>146.10241181553872</v>
      </c>
      <c r="I128" s="46">
        <f t="shared" si="111"/>
        <v>176.2817756286646</v>
      </c>
      <c r="J128" s="46">
        <f t="shared" ref="J128:O128" si="112">J324/J30</f>
        <v>150.17751288999546</v>
      </c>
      <c r="K128" s="46">
        <f t="shared" si="112"/>
        <v>153.7385757019257</v>
      </c>
      <c r="L128" s="46">
        <f t="shared" si="112"/>
        <v>130.51605180690058</v>
      </c>
      <c r="M128" s="46">
        <f t="shared" si="112"/>
        <v>153.08169264208539</v>
      </c>
      <c r="N128" s="46">
        <f t="shared" si="112"/>
        <v>177.53471381660566</v>
      </c>
      <c r="O128" s="46">
        <f t="shared" si="112"/>
        <v>149.17633474158924</v>
      </c>
    </row>
    <row r="129" spans="1:15" x14ac:dyDescent="0.2">
      <c r="A129" s="38" t="s">
        <v>25</v>
      </c>
      <c r="D129" s="44">
        <f>'цены 1 полуг'!B45</f>
        <v>199</v>
      </c>
      <c r="E129" s="44">
        <f>'цены 1 полуг'!C45</f>
        <v>107</v>
      </c>
      <c r="F129" s="44">
        <f>'цены 1 полуг'!D45</f>
        <v>115</v>
      </c>
      <c r="G129" s="44">
        <f>'цены 1 полуг'!E45</f>
        <v>196</v>
      </c>
      <c r="H129" s="44">
        <f>'цены 1 полуг'!F45</f>
        <v>149</v>
      </c>
      <c r="I129" s="44">
        <f>'цены 1 полуг'!G45</f>
        <v>148</v>
      </c>
      <c r="J129" s="44">
        <f>'цены 2 полуг'!M35</f>
        <v>126</v>
      </c>
      <c r="K129" s="44">
        <f>'цены 2 полуг'!N35</f>
        <v>113</v>
      </c>
      <c r="L129" s="44">
        <f>'цены 2 полуг'!O35</f>
        <v>102</v>
      </c>
      <c r="M129" s="44">
        <f>'цены 2 полуг'!P35</f>
        <v>103</v>
      </c>
      <c r="N129" s="44">
        <f>'цены 2 полуг'!Q35</f>
        <v>200</v>
      </c>
      <c r="O129" s="44">
        <f>'цены 2 полуг'!R35</f>
        <v>162</v>
      </c>
    </row>
    <row r="130" spans="1:15" x14ac:dyDescent="0.2">
      <c r="A130" s="38" t="s">
        <v>26</v>
      </c>
      <c r="D130" s="44">
        <f>'цены 1 полуг'!B46</f>
        <v>164</v>
      </c>
      <c r="E130" s="44">
        <f>'цены 1 полуг'!C46</f>
        <v>115</v>
      </c>
      <c r="F130" s="44">
        <f>'цены 1 полуг'!D46</f>
        <v>133</v>
      </c>
      <c r="G130" s="44">
        <f>'цены 1 полуг'!E46</f>
        <v>119</v>
      </c>
      <c r="H130" s="44">
        <f>'цены 1 полуг'!F46</f>
        <v>150</v>
      </c>
      <c r="I130" s="44">
        <f>'цены 1 полуг'!G46</f>
        <v>116</v>
      </c>
      <c r="J130" s="44">
        <f>'цены 2 полуг'!M36</f>
        <v>182</v>
      </c>
      <c r="K130" s="44">
        <f>'цены 2 полуг'!N36</f>
        <v>129</v>
      </c>
      <c r="L130" s="44">
        <f>'цены 2 полуг'!O36</f>
        <v>179</v>
      </c>
      <c r="M130" s="44">
        <f>'цены 2 полуг'!P36</f>
        <v>189</v>
      </c>
      <c r="N130" s="44">
        <f>'цены 2 полуг'!Q36</f>
        <v>198</v>
      </c>
      <c r="O130" s="44">
        <f>'цены 2 полуг'!R36</f>
        <v>180</v>
      </c>
    </row>
    <row r="131" spans="1:15" x14ac:dyDescent="0.2">
      <c r="A131" s="38" t="s">
        <v>27</v>
      </c>
      <c r="D131" s="44">
        <f>'цены 1 полуг'!B47</f>
        <v>114</v>
      </c>
      <c r="E131" s="44">
        <f>'цены 1 полуг'!C47</f>
        <v>150</v>
      </c>
      <c r="F131" s="44">
        <f>'цены 1 полуг'!D47</f>
        <v>114</v>
      </c>
      <c r="G131" s="44">
        <f>'цены 1 полуг'!E47</f>
        <v>107</v>
      </c>
      <c r="H131" s="44">
        <f>'цены 1 полуг'!F47</f>
        <v>104</v>
      </c>
      <c r="I131" s="44">
        <f>'цены 1 полуг'!G47</f>
        <v>193</v>
      </c>
      <c r="J131" s="44">
        <f>'цены 2 полуг'!M37</f>
        <v>173</v>
      </c>
      <c r="K131" s="44">
        <f>'цены 2 полуг'!N37</f>
        <v>194</v>
      </c>
      <c r="L131" s="44">
        <f>'цены 2 полуг'!O37</f>
        <v>104</v>
      </c>
      <c r="M131" s="44">
        <f>'цены 2 полуг'!P37</f>
        <v>138</v>
      </c>
      <c r="N131" s="44">
        <f>'цены 2 полуг'!Q37</f>
        <v>191</v>
      </c>
      <c r="O131" s="44">
        <f>'цены 2 полуг'!R37</f>
        <v>110</v>
      </c>
    </row>
    <row r="132" spans="1:15" x14ac:dyDescent="0.2">
      <c r="A132" s="38" t="s">
        <v>28</v>
      </c>
      <c r="D132" s="44">
        <f>'цены 1 полуг'!B48</f>
        <v>106</v>
      </c>
      <c r="E132" s="44">
        <f>'цены 1 полуг'!C48</f>
        <v>117</v>
      </c>
      <c r="F132" s="44">
        <f>'цены 1 полуг'!D48</f>
        <v>167</v>
      </c>
      <c r="G132" s="44">
        <f>'цены 1 полуг'!E48</f>
        <v>197</v>
      </c>
      <c r="H132" s="44">
        <f>'цены 1 полуг'!F48</f>
        <v>122</v>
      </c>
      <c r="I132" s="44">
        <f>'цены 1 полуг'!G48</f>
        <v>178</v>
      </c>
      <c r="J132" s="44">
        <f>'цены 2 полуг'!M38</f>
        <v>156</v>
      </c>
      <c r="K132" s="44">
        <f>'цены 2 полуг'!N38</f>
        <v>147</v>
      </c>
      <c r="L132" s="44">
        <f>'цены 2 полуг'!O38</f>
        <v>125</v>
      </c>
      <c r="M132" s="44">
        <f>'цены 2 полуг'!P38</f>
        <v>111</v>
      </c>
      <c r="N132" s="44">
        <f>'цены 2 полуг'!Q38</f>
        <v>187</v>
      </c>
      <c r="O132" s="44">
        <f>'цены 2 полуг'!R38</f>
        <v>165</v>
      </c>
    </row>
    <row r="133" spans="1:15" x14ac:dyDescent="0.2">
      <c r="A133" s="38" t="s">
        <v>29</v>
      </c>
      <c r="D133" s="44">
        <f>'цены 1 полуг'!B49</f>
        <v>119</v>
      </c>
      <c r="E133" s="44">
        <f>'цены 1 полуг'!C49</f>
        <v>138</v>
      </c>
      <c r="F133" s="44">
        <f>'цены 1 полуг'!D49</f>
        <v>101</v>
      </c>
      <c r="G133" s="44">
        <f>'цены 1 полуг'!E49</f>
        <v>110</v>
      </c>
      <c r="H133" s="44">
        <f>'цены 1 полуг'!F49</f>
        <v>153</v>
      </c>
      <c r="I133" s="44">
        <f>'цены 1 полуг'!G49</f>
        <v>140</v>
      </c>
      <c r="J133" s="44">
        <f>'цены 2 полуг'!M39</f>
        <v>161</v>
      </c>
      <c r="K133" s="44">
        <f>'цены 2 полуг'!N39</f>
        <v>199</v>
      </c>
      <c r="L133" s="44">
        <f>'цены 2 полуг'!O39</f>
        <v>123</v>
      </c>
      <c r="M133" s="44">
        <f>'цены 2 полуг'!P39</f>
        <v>176</v>
      </c>
      <c r="N133" s="44">
        <f>'цены 2 полуг'!Q39</f>
        <v>137</v>
      </c>
      <c r="O133" s="44">
        <f>'цены 2 полуг'!R39</f>
        <v>119</v>
      </c>
    </row>
    <row r="134" spans="1:15" x14ac:dyDescent="0.2">
      <c r="A134" s="38" t="s">
        <v>30</v>
      </c>
      <c r="D134" s="44">
        <f>'цены 1 полуг'!B50</f>
        <v>166</v>
      </c>
      <c r="E134" s="44">
        <f>'цены 1 полуг'!C50</f>
        <v>121</v>
      </c>
      <c r="F134" s="44">
        <f>'цены 1 полуг'!D50</f>
        <v>175</v>
      </c>
      <c r="G134" s="44">
        <f>'цены 1 полуг'!E50</f>
        <v>127</v>
      </c>
      <c r="H134" s="44">
        <f>'цены 1 полуг'!F50</f>
        <v>138</v>
      </c>
      <c r="I134" s="44">
        <f>'цены 1 полуг'!G50</f>
        <v>195</v>
      </c>
      <c r="J134" s="44">
        <f>'цены 2 полуг'!M40</f>
        <v>114</v>
      </c>
      <c r="K134" s="44">
        <f>'цены 2 полуг'!N40</f>
        <v>132</v>
      </c>
      <c r="L134" s="44">
        <f>'цены 2 полуг'!O40</f>
        <v>149</v>
      </c>
      <c r="M134" s="44">
        <f>'цены 2 полуг'!P40</f>
        <v>172</v>
      </c>
      <c r="N134" s="44">
        <f>'цены 2 полуг'!Q40</f>
        <v>156</v>
      </c>
      <c r="O134" s="44">
        <f>'цены 2 полуг'!R40</f>
        <v>108</v>
      </c>
    </row>
    <row r="135" spans="1:15" x14ac:dyDescent="0.2">
      <c r="A135" s="38" t="s">
        <v>31</v>
      </c>
      <c r="D135" s="44">
        <f>'цены 1 полуг'!B51</f>
        <v>156</v>
      </c>
      <c r="E135" s="44">
        <f>'цены 1 полуг'!C51</f>
        <v>183</v>
      </c>
      <c r="F135" s="44">
        <f>'цены 1 полуг'!D51</f>
        <v>180</v>
      </c>
      <c r="G135" s="44">
        <f>'цены 1 полуг'!E51</f>
        <v>141</v>
      </c>
      <c r="H135" s="44">
        <f>'цены 1 полуг'!F51</f>
        <v>144</v>
      </c>
      <c r="I135" s="44">
        <f>'цены 1 полуг'!G51</f>
        <v>100</v>
      </c>
      <c r="J135" s="44">
        <f>'цены 2 полуг'!M41</f>
        <v>195</v>
      </c>
      <c r="K135" s="44">
        <f>'цены 2 полуг'!N41</f>
        <v>116</v>
      </c>
      <c r="L135" s="44">
        <f>'цены 2 полуг'!O41</f>
        <v>169</v>
      </c>
      <c r="M135" s="44">
        <f>'цены 2 полуг'!P41</f>
        <v>118</v>
      </c>
      <c r="N135" s="44">
        <f>'цены 2 полуг'!Q41</f>
        <v>183</v>
      </c>
      <c r="O135" s="44">
        <f>'цены 2 полуг'!R41</f>
        <v>161</v>
      </c>
    </row>
    <row r="136" spans="1:15" x14ac:dyDescent="0.2">
      <c r="A136" s="38" t="s">
        <v>32</v>
      </c>
      <c r="D136" s="44">
        <f>'цены 1 полуг'!B52</f>
        <v>120</v>
      </c>
      <c r="E136" s="44">
        <f>'цены 1 полуг'!C52</f>
        <v>156</v>
      </c>
      <c r="F136" s="44">
        <f>'цены 1 полуг'!D52</f>
        <v>162</v>
      </c>
      <c r="G136" s="44">
        <f>'цены 1 полуг'!E52</f>
        <v>114</v>
      </c>
      <c r="H136" s="44">
        <f>'цены 1 полуг'!F52</f>
        <v>152</v>
      </c>
      <c r="I136" s="44">
        <f>'цены 1 полуг'!G52</f>
        <v>171</v>
      </c>
      <c r="J136" s="44">
        <f>'цены 2 полуг'!M42</f>
        <v>100</v>
      </c>
      <c r="K136" s="44">
        <f>'цены 2 полуг'!N42</f>
        <v>149</v>
      </c>
      <c r="L136" s="44">
        <f>'цены 2 полуг'!O42</f>
        <v>121</v>
      </c>
      <c r="M136" s="44">
        <f>'цены 2 полуг'!P42</f>
        <v>176</v>
      </c>
      <c r="N136" s="44">
        <f>'цены 2 полуг'!Q42</f>
        <v>185</v>
      </c>
      <c r="O136" s="44">
        <f>'цены 2 полуг'!R42</f>
        <v>149</v>
      </c>
    </row>
    <row r="137" spans="1:15" x14ac:dyDescent="0.2">
      <c r="A137" s="38" t="s">
        <v>33</v>
      </c>
      <c r="D137" s="44">
        <f>'цены 1 полуг'!B53</f>
        <v>105</v>
      </c>
      <c r="E137" s="44">
        <f>'цены 1 полуг'!C53</f>
        <v>140</v>
      </c>
      <c r="F137" s="44">
        <f>'цены 1 полуг'!D53</f>
        <v>199</v>
      </c>
      <c r="G137" s="44">
        <f>'цены 1 полуг'!E53</f>
        <v>156</v>
      </c>
      <c r="H137" s="44">
        <f>'цены 1 полуг'!F53</f>
        <v>197</v>
      </c>
      <c r="I137" s="44">
        <f>'цены 1 полуг'!G53</f>
        <v>179</v>
      </c>
      <c r="J137" s="44">
        <f>'цены 2 полуг'!M43</f>
        <v>107</v>
      </c>
      <c r="K137" s="44">
        <f>'цены 2 полуг'!N43</f>
        <v>108</v>
      </c>
      <c r="L137" s="44">
        <f>'цены 2 полуг'!O43</f>
        <v>138</v>
      </c>
      <c r="M137" s="44">
        <f>'цены 2 полуг'!P43</f>
        <v>138</v>
      </c>
      <c r="N137" s="44">
        <f>'цены 2 полуг'!Q43</f>
        <v>165</v>
      </c>
      <c r="O137" s="44">
        <f>'цены 2 полуг'!R43</f>
        <v>193</v>
      </c>
    </row>
    <row r="138" spans="1:15" x14ac:dyDescent="0.2">
      <c r="A138" s="38" t="s">
        <v>34</v>
      </c>
      <c r="D138" s="44">
        <f>'цены 1 полуг'!B54</f>
        <v>147</v>
      </c>
      <c r="E138" s="44">
        <f>'цены 1 полуг'!C54</f>
        <v>127</v>
      </c>
      <c r="F138" s="44">
        <f>'цены 1 полуг'!D54</f>
        <v>169</v>
      </c>
      <c r="G138" s="44">
        <f>'цены 1 полуг'!E54</f>
        <v>162</v>
      </c>
      <c r="H138" s="44">
        <f>'цены 1 полуг'!F54</f>
        <v>142</v>
      </c>
      <c r="I138" s="44">
        <f>'цены 1 полуг'!G54</f>
        <v>188</v>
      </c>
      <c r="J138" s="44">
        <f>'цены 2 полуг'!M44</f>
        <v>178</v>
      </c>
      <c r="K138" s="44">
        <f>'цены 2 полуг'!N44</f>
        <v>195</v>
      </c>
      <c r="L138" s="44">
        <f>'цены 2 полуг'!O44</f>
        <v>146</v>
      </c>
      <c r="M138" s="44">
        <f>'цены 2 полуг'!P44</f>
        <v>131</v>
      </c>
      <c r="N138" s="44">
        <f>'цены 2 полуг'!Q44</f>
        <v>180</v>
      </c>
      <c r="O138" s="44">
        <f>'цены 2 полуг'!R44</f>
        <v>105</v>
      </c>
    </row>
    <row r="139" spans="1:15" x14ac:dyDescent="0.2">
      <c r="A139" s="37" t="s">
        <v>35</v>
      </c>
      <c r="D139" s="46">
        <f>D335/D41</f>
        <v>334.64214899248213</v>
      </c>
      <c r="E139" s="46">
        <f t="shared" ref="E139:O139" si="113">E335/E41</f>
        <v>340.33612272942628</v>
      </c>
      <c r="F139" s="46">
        <f t="shared" si="113"/>
        <v>341.82056818602854</v>
      </c>
      <c r="G139" s="46">
        <f t="shared" si="113"/>
        <v>353.96841117306337</v>
      </c>
      <c r="H139" s="46">
        <f t="shared" si="113"/>
        <v>347.559116357199</v>
      </c>
      <c r="I139" s="46">
        <f t="shared" si="113"/>
        <v>375.89951378437718</v>
      </c>
      <c r="J139" s="46">
        <f t="shared" si="113"/>
        <v>330.89326335204606</v>
      </c>
      <c r="K139" s="46">
        <f t="shared" si="113"/>
        <v>338.19116712571156</v>
      </c>
      <c r="L139" s="46">
        <f t="shared" si="113"/>
        <v>373.36993318896634</v>
      </c>
      <c r="M139" s="46">
        <f t="shared" si="113"/>
        <v>350.3770417264588</v>
      </c>
      <c r="N139" s="46">
        <f t="shared" si="113"/>
        <v>352.59613898029755</v>
      </c>
      <c r="O139" s="46">
        <f t="shared" si="113"/>
        <v>349.69694303271035</v>
      </c>
    </row>
    <row r="140" spans="1:15" x14ac:dyDescent="0.2">
      <c r="A140" s="38" t="s">
        <v>25</v>
      </c>
      <c r="D140" s="44">
        <f>'цены 1 полуг'!B56</f>
        <v>315</v>
      </c>
      <c r="E140" s="44">
        <f>'цены 1 полуг'!C56</f>
        <v>395</v>
      </c>
      <c r="F140" s="44">
        <f>'цены 1 полуг'!D56</f>
        <v>361</v>
      </c>
      <c r="G140" s="44">
        <f>'цены 1 полуг'!E56</f>
        <v>318</v>
      </c>
      <c r="H140" s="44">
        <f>'цены 1 полуг'!F56</f>
        <v>365</v>
      </c>
      <c r="I140" s="44">
        <f>'цены 1 полуг'!G56</f>
        <v>368</v>
      </c>
      <c r="J140" s="44">
        <f>'цены 2 полуг'!M46</f>
        <v>354</v>
      </c>
      <c r="K140" s="44">
        <f>'цены 2 полуг'!N46</f>
        <v>322</v>
      </c>
      <c r="L140" s="44">
        <f>'цены 2 полуг'!O46</f>
        <v>387</v>
      </c>
      <c r="M140" s="44">
        <f>'цены 2 полуг'!P46</f>
        <v>342</v>
      </c>
      <c r="N140" s="44">
        <f>'цены 2 полуг'!Q46</f>
        <v>334</v>
      </c>
      <c r="O140" s="44">
        <f>'цены 2 полуг'!R46</f>
        <v>353</v>
      </c>
    </row>
    <row r="141" spans="1:15" x14ac:dyDescent="0.2">
      <c r="A141" s="38" t="s">
        <v>26</v>
      </c>
      <c r="D141" s="44">
        <f>'цены 1 полуг'!B57</f>
        <v>328</v>
      </c>
      <c r="E141" s="44">
        <f>'цены 1 полуг'!C57</f>
        <v>364</v>
      </c>
      <c r="F141" s="44">
        <f>'цены 1 полуг'!D57</f>
        <v>313</v>
      </c>
      <c r="G141" s="44">
        <f>'цены 1 полуг'!E57</f>
        <v>363</v>
      </c>
      <c r="H141" s="44">
        <f>'цены 1 полуг'!F57</f>
        <v>367</v>
      </c>
      <c r="I141" s="44">
        <f>'цены 1 полуг'!G57</f>
        <v>374</v>
      </c>
      <c r="J141" s="44">
        <f>'цены 2 полуг'!M47</f>
        <v>308</v>
      </c>
      <c r="K141" s="44">
        <f>'цены 2 полуг'!N47</f>
        <v>389</v>
      </c>
      <c r="L141" s="44">
        <f>'цены 2 полуг'!O47</f>
        <v>393</v>
      </c>
      <c r="M141" s="44">
        <f>'цены 2 полуг'!P47</f>
        <v>316</v>
      </c>
      <c r="N141" s="44">
        <f>'цены 2 полуг'!Q47</f>
        <v>306</v>
      </c>
      <c r="O141" s="44">
        <f>'цены 2 полуг'!R47</f>
        <v>309</v>
      </c>
    </row>
    <row r="142" spans="1:15" x14ac:dyDescent="0.2">
      <c r="A142" s="38" t="s">
        <v>27</v>
      </c>
      <c r="D142" s="44">
        <f>'цены 1 полуг'!B58</f>
        <v>348</v>
      </c>
      <c r="E142" s="44">
        <f>'цены 1 полуг'!C58</f>
        <v>374</v>
      </c>
      <c r="F142" s="44">
        <f>'цены 1 полуг'!D58</f>
        <v>338</v>
      </c>
      <c r="G142" s="44">
        <f>'цены 1 полуг'!E58</f>
        <v>374</v>
      </c>
      <c r="H142" s="44">
        <f>'цены 1 полуг'!F58</f>
        <v>370</v>
      </c>
      <c r="I142" s="44">
        <f>'цены 1 полуг'!G58</f>
        <v>375</v>
      </c>
      <c r="J142" s="44">
        <f>'цены 2 полуг'!M48</f>
        <v>353</v>
      </c>
      <c r="K142" s="44">
        <f>'цены 2 полуг'!N48</f>
        <v>325</v>
      </c>
      <c r="L142" s="44">
        <f>'цены 2 полуг'!O48</f>
        <v>386</v>
      </c>
      <c r="M142" s="44">
        <f>'цены 2 полуг'!P48</f>
        <v>308</v>
      </c>
      <c r="N142" s="44">
        <f>'цены 2 полуг'!Q48</f>
        <v>385</v>
      </c>
      <c r="O142" s="44">
        <f>'цены 2 полуг'!R48</f>
        <v>352</v>
      </c>
    </row>
    <row r="143" spans="1:15" x14ac:dyDescent="0.2">
      <c r="A143" s="38" t="s">
        <v>28</v>
      </c>
      <c r="D143" s="44">
        <f>'цены 1 полуг'!B59</f>
        <v>389</v>
      </c>
      <c r="E143" s="44">
        <f>'цены 1 полуг'!C59</f>
        <v>300</v>
      </c>
      <c r="F143" s="44">
        <f>'цены 1 полуг'!D59</f>
        <v>362</v>
      </c>
      <c r="G143" s="44">
        <f>'цены 1 полуг'!E59</f>
        <v>388</v>
      </c>
      <c r="H143" s="44">
        <f>'цены 1 полуг'!F59</f>
        <v>334</v>
      </c>
      <c r="I143" s="44">
        <f>'цены 1 полуг'!G59</f>
        <v>342</v>
      </c>
      <c r="J143" s="44">
        <f>'цены 2 полуг'!M49</f>
        <v>303</v>
      </c>
      <c r="K143" s="44">
        <f>'цены 2 полуг'!N49</f>
        <v>329</v>
      </c>
      <c r="L143" s="44">
        <f>'цены 2 полуг'!O49</f>
        <v>362</v>
      </c>
      <c r="M143" s="44">
        <f>'цены 2 полуг'!P49</f>
        <v>374</v>
      </c>
      <c r="N143" s="44">
        <f>'цены 2 полуг'!Q49</f>
        <v>389</v>
      </c>
      <c r="O143" s="44">
        <f>'цены 2 полуг'!R49</f>
        <v>346</v>
      </c>
    </row>
    <row r="144" spans="1:15" x14ac:dyDescent="0.2">
      <c r="A144" s="38" t="s">
        <v>29</v>
      </c>
      <c r="D144" s="44">
        <f>'цены 1 полуг'!B60</f>
        <v>324</v>
      </c>
      <c r="E144" s="44">
        <f>'цены 1 полуг'!C60</f>
        <v>331</v>
      </c>
      <c r="F144" s="44">
        <f>'цены 1 полуг'!D60</f>
        <v>305</v>
      </c>
      <c r="G144" s="44">
        <f>'цены 1 полуг'!E60</f>
        <v>319</v>
      </c>
      <c r="H144" s="44">
        <f>'цены 1 полуг'!F60</f>
        <v>395</v>
      </c>
      <c r="I144" s="44">
        <f>'цены 1 полуг'!G60</f>
        <v>354</v>
      </c>
      <c r="J144" s="44">
        <f>'цены 2 полуг'!M50</f>
        <v>311</v>
      </c>
      <c r="K144" s="44">
        <f>'цены 2 полуг'!N50</f>
        <v>349</v>
      </c>
      <c r="L144" s="44">
        <f>'цены 2 полуг'!O50</f>
        <v>370</v>
      </c>
      <c r="M144" s="44">
        <f>'цены 2 полуг'!P50</f>
        <v>338</v>
      </c>
      <c r="N144" s="44">
        <f>'цены 2 полуг'!Q50</f>
        <v>318</v>
      </c>
      <c r="O144" s="44">
        <f>'цены 2 полуг'!R50</f>
        <v>373</v>
      </c>
    </row>
    <row r="145" spans="1:15" x14ac:dyDescent="0.2">
      <c r="A145" s="38" t="s">
        <v>30</v>
      </c>
      <c r="D145" s="44">
        <f>'цены 1 полуг'!B61</f>
        <v>372</v>
      </c>
      <c r="E145" s="44">
        <f>'цены 1 полуг'!C61</f>
        <v>349</v>
      </c>
      <c r="F145" s="44">
        <f>'цены 1 полуг'!D61</f>
        <v>386</v>
      </c>
      <c r="G145" s="44">
        <f>'цены 1 полуг'!E61</f>
        <v>371</v>
      </c>
      <c r="H145" s="44">
        <f>'цены 1 полуг'!F61</f>
        <v>346</v>
      </c>
      <c r="I145" s="44">
        <f>'цены 1 полуг'!G61</f>
        <v>358</v>
      </c>
      <c r="J145" s="44">
        <f>'цены 2 полуг'!M51</f>
        <v>304</v>
      </c>
      <c r="K145" s="44">
        <f>'цены 2 полуг'!N51</f>
        <v>316</v>
      </c>
      <c r="L145" s="44">
        <f>'цены 2 полуг'!O51</f>
        <v>376</v>
      </c>
      <c r="M145" s="44">
        <f>'цены 2 полуг'!P51</f>
        <v>342</v>
      </c>
      <c r="N145" s="44">
        <f>'цены 2 полуг'!Q51</f>
        <v>345</v>
      </c>
      <c r="O145" s="44">
        <f>'цены 2 полуг'!R51</f>
        <v>393</v>
      </c>
    </row>
    <row r="146" spans="1:15" x14ac:dyDescent="0.2">
      <c r="A146" s="38" t="s">
        <v>31</v>
      </c>
      <c r="D146" s="44">
        <f>'цены 1 полуг'!B62</f>
        <v>395</v>
      </c>
      <c r="E146" s="44">
        <f>'цены 1 полуг'!C62</f>
        <v>331</v>
      </c>
      <c r="F146" s="44">
        <f>'цены 1 полуг'!D62</f>
        <v>323</v>
      </c>
      <c r="G146" s="44">
        <f>'цены 1 полуг'!E62</f>
        <v>300</v>
      </c>
      <c r="H146" s="44">
        <f>'цены 1 полуг'!F62</f>
        <v>365</v>
      </c>
      <c r="I146" s="44">
        <f>'цены 1 полуг'!G62</f>
        <v>390</v>
      </c>
      <c r="J146" s="44">
        <f>'цены 2 полуг'!M52</f>
        <v>366</v>
      </c>
      <c r="K146" s="44">
        <f>'цены 2 полуг'!N52</f>
        <v>388</v>
      </c>
      <c r="L146" s="44">
        <f>'цены 2 полуг'!O52</f>
        <v>392</v>
      </c>
      <c r="M146" s="44">
        <f>'цены 2 полуг'!P52</f>
        <v>379</v>
      </c>
      <c r="N146" s="44">
        <f>'цены 2 полуг'!Q52</f>
        <v>365</v>
      </c>
      <c r="O146" s="44">
        <f>'цены 2 полуг'!R52</f>
        <v>344</v>
      </c>
    </row>
    <row r="147" spans="1:15" x14ac:dyDescent="0.2">
      <c r="A147" s="38" t="s">
        <v>32</v>
      </c>
      <c r="D147" s="44">
        <f>'цены 1 полуг'!B63</f>
        <v>366</v>
      </c>
      <c r="E147" s="44">
        <f>'цены 1 полуг'!C63</f>
        <v>303</v>
      </c>
      <c r="F147" s="44">
        <f>'цены 1 полуг'!D63</f>
        <v>371</v>
      </c>
      <c r="G147" s="44">
        <f>'цены 1 полуг'!E63</f>
        <v>320</v>
      </c>
      <c r="H147" s="44">
        <f>'цены 1 полуг'!F63</f>
        <v>381</v>
      </c>
      <c r="I147" s="44">
        <f>'цены 1 полуг'!G63</f>
        <v>331</v>
      </c>
      <c r="J147" s="44">
        <f>'цены 2 полуг'!M53</f>
        <v>348</v>
      </c>
      <c r="K147" s="44">
        <f>'цены 2 полуг'!N53</f>
        <v>313</v>
      </c>
      <c r="L147" s="44">
        <f>'цены 2 полуг'!O53</f>
        <v>320</v>
      </c>
      <c r="M147" s="44">
        <f>'цены 2 полуг'!P53</f>
        <v>390</v>
      </c>
      <c r="N147" s="44">
        <f>'цены 2 полуг'!Q53</f>
        <v>370</v>
      </c>
      <c r="O147" s="44">
        <f>'цены 2 полуг'!R53</f>
        <v>350</v>
      </c>
    </row>
    <row r="148" spans="1:15" x14ac:dyDescent="0.2">
      <c r="A148" s="38" t="s">
        <v>33</v>
      </c>
      <c r="D148" s="44">
        <f>'цены 1 полуг'!B64</f>
        <v>302</v>
      </c>
      <c r="E148" s="44">
        <f>'цены 1 полуг'!C64</f>
        <v>316</v>
      </c>
      <c r="F148" s="44">
        <f>'цены 1 полуг'!D64</f>
        <v>399</v>
      </c>
      <c r="G148" s="44">
        <f>'цены 1 полуг'!E64</f>
        <v>339</v>
      </c>
      <c r="H148" s="44">
        <f>'цены 1 полуг'!F64</f>
        <v>307</v>
      </c>
      <c r="I148" s="44">
        <f>'цены 1 полуг'!G64</f>
        <v>397</v>
      </c>
      <c r="J148" s="44">
        <f>'цены 2 полуг'!M54</f>
        <v>312</v>
      </c>
      <c r="K148" s="44">
        <f>'цены 2 полуг'!N54</f>
        <v>348</v>
      </c>
      <c r="L148" s="44">
        <f>'цены 2 полуг'!O54</f>
        <v>382</v>
      </c>
      <c r="M148" s="44">
        <f>'цены 2 полуг'!P54</f>
        <v>351</v>
      </c>
      <c r="N148" s="44">
        <f>'цены 2 полуг'!Q54</f>
        <v>381</v>
      </c>
      <c r="O148" s="44">
        <f>'цены 2 полуг'!R54</f>
        <v>366</v>
      </c>
    </row>
    <row r="149" spans="1:15" x14ac:dyDescent="0.2">
      <c r="A149" s="38" t="s">
        <v>34</v>
      </c>
      <c r="D149" s="44">
        <f>'цены 1 полуг'!B65</f>
        <v>300</v>
      </c>
      <c r="E149" s="44">
        <f>'цены 1 полуг'!C65</f>
        <v>340</v>
      </c>
      <c r="F149" s="44">
        <f>'цены 1 полуг'!D65</f>
        <v>328</v>
      </c>
      <c r="G149" s="44">
        <f>'цены 1 полуг'!E65</f>
        <v>391</v>
      </c>
      <c r="H149" s="44">
        <f>'цены 1 полуг'!F65</f>
        <v>329</v>
      </c>
      <c r="I149" s="44">
        <f>'цены 1 полуг'!G65</f>
        <v>390</v>
      </c>
      <c r="J149" s="44">
        <f>'цены 2 полуг'!M55</f>
        <v>314</v>
      </c>
      <c r="K149" s="44">
        <f>'цены 2 полуг'!N55</f>
        <v>333</v>
      </c>
      <c r="L149" s="44">
        <f>'цены 2 полуг'!O55</f>
        <v>315</v>
      </c>
      <c r="M149" s="44">
        <f>'цены 2 полуг'!P55</f>
        <v>397</v>
      </c>
      <c r="N149" s="44">
        <f>'цены 2 полуг'!Q55</f>
        <v>400</v>
      </c>
      <c r="O149" s="44">
        <f>'цены 2 полуг'!R55</f>
        <v>346</v>
      </c>
    </row>
    <row r="150" spans="1:15" x14ac:dyDescent="0.2">
      <c r="A150" s="38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</row>
    <row r="151" spans="1:15" x14ac:dyDescent="0.2">
      <c r="A151" s="3" t="s">
        <v>37</v>
      </c>
      <c r="B151" s="3"/>
      <c r="C151" s="3"/>
      <c r="D151" s="43">
        <f>D347/D53</f>
        <v>265.44977286921608</v>
      </c>
      <c r="E151" s="43">
        <f t="shared" ref="E151:I151" si="114">E347/E53</f>
        <v>258.81420873302085</v>
      </c>
      <c r="F151" s="43">
        <f t="shared" si="114"/>
        <v>262.85222085836824</v>
      </c>
      <c r="G151" s="43">
        <f t="shared" si="114"/>
        <v>284.12670489518905</v>
      </c>
      <c r="H151" s="43">
        <f t="shared" si="114"/>
        <v>241.36553009632073</v>
      </c>
      <c r="I151" s="43">
        <f t="shared" si="114"/>
        <v>257.4229828944342</v>
      </c>
      <c r="J151" s="43">
        <f t="shared" ref="J151:O151" si="115">J347/J53</f>
        <v>243.53983640751275</v>
      </c>
      <c r="K151" s="43">
        <f t="shared" si="115"/>
        <v>250.48629939561124</v>
      </c>
      <c r="L151" s="43">
        <f t="shared" si="115"/>
        <v>268.09774402267686</v>
      </c>
      <c r="M151" s="43">
        <f t="shared" si="115"/>
        <v>237.55478465202475</v>
      </c>
      <c r="N151" s="43">
        <f t="shared" si="115"/>
        <v>251.72663233920784</v>
      </c>
      <c r="O151" s="43">
        <f t="shared" si="115"/>
        <v>232.22520389211442</v>
      </c>
    </row>
    <row r="152" spans="1:15" x14ac:dyDescent="0.2">
      <c r="A152" s="4" t="s">
        <v>23</v>
      </c>
      <c r="B152" s="4"/>
      <c r="C152" s="4"/>
      <c r="D152" s="45">
        <f>D348/D54</f>
        <v>281.72528168312988</v>
      </c>
      <c r="E152" s="45">
        <f t="shared" ref="E152:I152" si="116">E348/E54</f>
        <v>261.00373150466891</v>
      </c>
      <c r="F152" s="45">
        <f t="shared" si="116"/>
        <v>259.7600573525965</v>
      </c>
      <c r="G152" s="45">
        <f t="shared" si="116"/>
        <v>271.12217731898045</v>
      </c>
      <c r="H152" s="45">
        <f t="shared" si="116"/>
        <v>224.70358246160194</v>
      </c>
      <c r="I152" s="45">
        <f t="shared" si="116"/>
        <v>256.5363134358517</v>
      </c>
      <c r="J152" s="45">
        <f t="shared" ref="J152:O152" si="117">J348/J54</f>
        <v>258.23851404679641</v>
      </c>
      <c r="K152" s="45">
        <f t="shared" si="117"/>
        <v>258.81998639886837</v>
      </c>
      <c r="L152" s="45">
        <f t="shared" si="117"/>
        <v>264.55260697116745</v>
      </c>
      <c r="M152" s="45">
        <f t="shared" si="117"/>
        <v>243.18451547943278</v>
      </c>
      <c r="N152" s="45">
        <f t="shared" si="117"/>
        <v>242.79523212237217</v>
      </c>
      <c r="O152" s="45">
        <f t="shared" si="117"/>
        <v>232.77596518592171</v>
      </c>
    </row>
    <row r="153" spans="1:15" x14ac:dyDescent="0.2">
      <c r="A153" s="37" t="s">
        <v>24</v>
      </c>
      <c r="D153" s="46">
        <f>D349/D55</f>
        <v>167.11410392225309</v>
      </c>
      <c r="E153" s="46">
        <f t="shared" ref="E153:I153" si="118">E349/E55</f>
        <v>171.17396223697483</v>
      </c>
      <c r="F153" s="46">
        <f t="shared" si="118"/>
        <v>174.57979071149768</v>
      </c>
      <c r="G153" s="46">
        <f t="shared" si="118"/>
        <v>142.18712185204902</v>
      </c>
      <c r="H153" s="46">
        <f t="shared" si="118"/>
        <v>137.72079254167366</v>
      </c>
      <c r="I153" s="46">
        <f t="shared" si="118"/>
        <v>149.05060596777764</v>
      </c>
      <c r="J153" s="46">
        <f t="shared" ref="J153:O153" si="119">J349/J55</f>
        <v>162.85980441782928</v>
      </c>
      <c r="K153" s="46">
        <f t="shared" si="119"/>
        <v>173.8606758136095</v>
      </c>
      <c r="L153" s="46">
        <f t="shared" si="119"/>
        <v>158.93070131972402</v>
      </c>
      <c r="M153" s="46">
        <f t="shared" si="119"/>
        <v>149.54754105685194</v>
      </c>
      <c r="N153" s="46">
        <f t="shared" si="119"/>
        <v>136.75410819076438</v>
      </c>
      <c r="O153" s="46">
        <f t="shared" si="119"/>
        <v>166.76807236107666</v>
      </c>
    </row>
    <row r="154" spans="1:15" x14ac:dyDescent="0.2">
      <c r="A154" s="38" t="s">
        <v>25</v>
      </c>
      <c r="D154" s="44">
        <f>'цены 1 полуг'!B70</f>
        <v>144</v>
      </c>
      <c r="E154" s="44">
        <f>'цены 1 полуг'!C70</f>
        <v>142</v>
      </c>
      <c r="F154" s="44">
        <f>'цены 1 полуг'!D70</f>
        <v>146</v>
      </c>
      <c r="G154" s="44">
        <f>'цены 1 полуг'!E70</f>
        <v>177</v>
      </c>
      <c r="H154" s="44">
        <f>'цены 1 полуг'!F70</f>
        <v>112</v>
      </c>
      <c r="I154" s="44">
        <f>'цены 1 полуг'!G70</f>
        <v>148</v>
      </c>
      <c r="J154" s="44">
        <f>'цены 2 полуг'!M60</f>
        <v>160</v>
      </c>
      <c r="K154" s="44">
        <f>'цены 2 полуг'!N60</f>
        <v>200</v>
      </c>
      <c r="L154" s="44">
        <f>'цены 2 полуг'!O60</f>
        <v>190</v>
      </c>
      <c r="M154" s="44">
        <f>'цены 2 полуг'!P60</f>
        <v>153</v>
      </c>
      <c r="N154" s="44">
        <f>'цены 2 полуг'!Q60</f>
        <v>142</v>
      </c>
      <c r="O154" s="44">
        <f>'цены 2 полуг'!R60</f>
        <v>194</v>
      </c>
    </row>
    <row r="155" spans="1:15" x14ac:dyDescent="0.2">
      <c r="A155" s="38" t="s">
        <v>26</v>
      </c>
      <c r="D155" s="44">
        <f>'цены 1 полуг'!B71</f>
        <v>170</v>
      </c>
      <c r="E155" s="44">
        <f>'цены 1 полуг'!C71</f>
        <v>157</v>
      </c>
      <c r="F155" s="44">
        <f>'цены 1 полуг'!D71</f>
        <v>143</v>
      </c>
      <c r="G155" s="44">
        <f>'цены 1 полуг'!E71</f>
        <v>186</v>
      </c>
      <c r="H155" s="44">
        <f>'цены 1 полуг'!F71</f>
        <v>159</v>
      </c>
      <c r="I155" s="44">
        <f>'цены 1 полуг'!G71</f>
        <v>135</v>
      </c>
      <c r="J155" s="44">
        <f>'цены 2 полуг'!M61</f>
        <v>182</v>
      </c>
      <c r="K155" s="44">
        <f>'цены 2 полуг'!N61</f>
        <v>183</v>
      </c>
      <c r="L155" s="44">
        <f>'цены 2 полуг'!O61</f>
        <v>115</v>
      </c>
      <c r="M155" s="44">
        <f>'цены 2 полуг'!P61</f>
        <v>120</v>
      </c>
      <c r="N155" s="44">
        <f>'цены 2 полуг'!Q61</f>
        <v>100</v>
      </c>
      <c r="O155" s="44">
        <f>'цены 2 полуг'!R61</f>
        <v>195</v>
      </c>
    </row>
    <row r="156" spans="1:15" x14ac:dyDescent="0.2">
      <c r="A156" s="38" t="s">
        <v>27</v>
      </c>
      <c r="D156" s="44">
        <f>'цены 1 полуг'!B72</f>
        <v>177</v>
      </c>
      <c r="E156" s="44">
        <f>'цены 1 полуг'!C72</f>
        <v>165</v>
      </c>
      <c r="F156" s="44">
        <f>'цены 1 полуг'!D72</f>
        <v>184</v>
      </c>
      <c r="G156" s="44">
        <f>'цены 1 полуг'!E72</f>
        <v>106</v>
      </c>
      <c r="H156" s="44">
        <f>'цены 1 полуг'!F72</f>
        <v>107</v>
      </c>
      <c r="I156" s="44">
        <f>'цены 1 полуг'!G72</f>
        <v>134</v>
      </c>
      <c r="J156" s="44">
        <f>'цены 2 полуг'!M62</f>
        <v>191</v>
      </c>
      <c r="K156" s="44">
        <f>'цены 2 полуг'!N62</f>
        <v>119</v>
      </c>
      <c r="L156" s="44">
        <f>'цены 2 полуг'!O62</f>
        <v>109</v>
      </c>
      <c r="M156" s="44">
        <f>'цены 2 полуг'!P62</f>
        <v>111</v>
      </c>
      <c r="N156" s="44">
        <f>'цены 2 полуг'!Q62</f>
        <v>128</v>
      </c>
      <c r="O156" s="44">
        <f>'цены 2 полуг'!R62</f>
        <v>138</v>
      </c>
    </row>
    <row r="157" spans="1:15" x14ac:dyDescent="0.2">
      <c r="A157" s="38" t="s">
        <v>28</v>
      </c>
      <c r="D157" s="44">
        <f>'цены 1 полуг'!B73</f>
        <v>121</v>
      </c>
      <c r="E157" s="44">
        <f>'цены 1 полуг'!C73</f>
        <v>181</v>
      </c>
      <c r="F157" s="44">
        <f>'цены 1 полуг'!D73</f>
        <v>142</v>
      </c>
      <c r="G157" s="44">
        <f>'цены 1 полуг'!E73</f>
        <v>145</v>
      </c>
      <c r="H157" s="44">
        <f>'цены 1 полуг'!F73</f>
        <v>110</v>
      </c>
      <c r="I157" s="44">
        <f>'цены 1 полуг'!G73</f>
        <v>115</v>
      </c>
      <c r="J157" s="44">
        <f>'цены 2 полуг'!M63</f>
        <v>162</v>
      </c>
      <c r="K157" s="44">
        <f>'цены 2 полуг'!N63</f>
        <v>197</v>
      </c>
      <c r="L157" s="44">
        <f>'цены 2 полуг'!O63</f>
        <v>182</v>
      </c>
      <c r="M157" s="44">
        <f>'цены 2 полуг'!P63</f>
        <v>179</v>
      </c>
      <c r="N157" s="44">
        <f>'цены 2 полуг'!Q63</f>
        <v>114</v>
      </c>
      <c r="O157" s="44">
        <f>'цены 2 полуг'!R63</f>
        <v>189</v>
      </c>
    </row>
    <row r="158" spans="1:15" x14ac:dyDescent="0.2">
      <c r="A158" s="38" t="s">
        <v>29</v>
      </c>
      <c r="D158" s="44">
        <f>'цены 1 полуг'!B74</f>
        <v>157</v>
      </c>
      <c r="E158" s="44">
        <f>'цены 1 полуг'!C74</f>
        <v>186</v>
      </c>
      <c r="F158" s="44">
        <f>'цены 1 полуг'!D74</f>
        <v>187</v>
      </c>
      <c r="G158" s="44">
        <f>'цены 1 полуг'!E74</f>
        <v>193</v>
      </c>
      <c r="H158" s="44">
        <f>'цены 1 полуг'!F74</f>
        <v>111</v>
      </c>
      <c r="I158" s="44">
        <f>'цены 1 полуг'!G74</f>
        <v>169</v>
      </c>
      <c r="J158" s="44">
        <f>'цены 2 полуг'!M64</f>
        <v>193</v>
      </c>
      <c r="K158" s="44">
        <f>'цены 2 полуг'!N64</f>
        <v>144</v>
      </c>
      <c r="L158" s="44">
        <f>'цены 2 полуг'!O64</f>
        <v>194</v>
      </c>
      <c r="M158" s="44">
        <f>'цены 2 полуг'!P64</f>
        <v>151</v>
      </c>
      <c r="N158" s="44">
        <f>'цены 2 полуг'!Q64</f>
        <v>180</v>
      </c>
      <c r="O158" s="44">
        <f>'цены 2 полуг'!R64</f>
        <v>173</v>
      </c>
    </row>
    <row r="159" spans="1:15" x14ac:dyDescent="0.2">
      <c r="A159" s="38" t="s">
        <v>30</v>
      </c>
      <c r="D159" s="44">
        <f>'цены 1 полуг'!B75</f>
        <v>107</v>
      </c>
      <c r="E159" s="44">
        <f>'цены 1 полуг'!C75</f>
        <v>195</v>
      </c>
      <c r="F159" s="44">
        <f>'цены 1 полуг'!D75</f>
        <v>191</v>
      </c>
      <c r="G159" s="44">
        <f>'цены 1 полуг'!E75</f>
        <v>119</v>
      </c>
      <c r="H159" s="44">
        <f>'цены 1 полуг'!F75</f>
        <v>114</v>
      </c>
      <c r="I159" s="44">
        <f>'цены 1 полуг'!G75</f>
        <v>167</v>
      </c>
      <c r="J159" s="44">
        <f>'цены 2 полуг'!M65</f>
        <v>106</v>
      </c>
      <c r="K159" s="44">
        <f>'цены 2 полуг'!N65</f>
        <v>189</v>
      </c>
      <c r="L159" s="44">
        <f>'цены 2 полуг'!O65</f>
        <v>199</v>
      </c>
      <c r="M159" s="44">
        <f>'цены 2 полуг'!P65</f>
        <v>155</v>
      </c>
      <c r="N159" s="44">
        <f>'цены 2 полуг'!Q65</f>
        <v>138</v>
      </c>
      <c r="O159" s="44">
        <f>'цены 2 полуг'!R65</f>
        <v>155</v>
      </c>
    </row>
    <row r="160" spans="1:15" x14ac:dyDescent="0.2">
      <c r="A160" s="38" t="s">
        <v>31</v>
      </c>
      <c r="D160" s="44">
        <f>'цены 1 полуг'!B76</f>
        <v>180</v>
      </c>
      <c r="E160" s="44">
        <f>'цены 1 полуг'!C76</f>
        <v>160</v>
      </c>
      <c r="F160" s="44">
        <f>'цены 1 полуг'!D76</f>
        <v>199</v>
      </c>
      <c r="G160" s="44">
        <f>'цены 1 полуг'!E76</f>
        <v>115</v>
      </c>
      <c r="H160" s="44">
        <f>'цены 1 полуг'!F76</f>
        <v>144</v>
      </c>
      <c r="I160" s="44">
        <f>'цены 1 полуг'!G76</f>
        <v>172</v>
      </c>
      <c r="J160" s="44">
        <f>'цены 2 полуг'!M66</f>
        <v>177</v>
      </c>
      <c r="K160" s="44">
        <f>'цены 2 полуг'!N66</f>
        <v>105</v>
      </c>
      <c r="L160" s="44">
        <f>'цены 2 полуг'!O66</f>
        <v>159</v>
      </c>
      <c r="M160" s="44">
        <f>'цены 2 полуг'!P66</f>
        <v>124</v>
      </c>
      <c r="N160" s="44">
        <f>'цены 2 полуг'!Q66</f>
        <v>132</v>
      </c>
      <c r="O160" s="44">
        <f>'цены 2 полуг'!R66</f>
        <v>188</v>
      </c>
    </row>
    <row r="161" spans="1:15" x14ac:dyDescent="0.2">
      <c r="A161" s="38" t="s">
        <v>32</v>
      </c>
      <c r="D161" s="44">
        <f>'цены 1 полуг'!B77</f>
        <v>183</v>
      </c>
      <c r="E161" s="44">
        <f>'цены 1 полуг'!C77</f>
        <v>176</v>
      </c>
      <c r="F161" s="44">
        <f>'цены 1 полуг'!D77</f>
        <v>156</v>
      </c>
      <c r="G161" s="44">
        <f>'цены 1 полуг'!E77</f>
        <v>193</v>
      </c>
      <c r="H161" s="44">
        <f>'цены 1 полуг'!F77</f>
        <v>116</v>
      </c>
      <c r="I161" s="44">
        <f>'цены 1 полуг'!G77</f>
        <v>178</v>
      </c>
      <c r="J161" s="44">
        <f>'цены 2 полуг'!M67</f>
        <v>168</v>
      </c>
      <c r="K161" s="44">
        <f>'цены 2 полуг'!N67</f>
        <v>156</v>
      </c>
      <c r="L161" s="44">
        <f>'цены 2 полуг'!O67</f>
        <v>110</v>
      </c>
      <c r="M161" s="44">
        <f>'цены 2 полуг'!P67</f>
        <v>128</v>
      </c>
      <c r="N161" s="44">
        <f>'цены 2 полуг'!Q67</f>
        <v>151</v>
      </c>
      <c r="O161" s="44">
        <f>'цены 2 полуг'!R67</f>
        <v>164</v>
      </c>
    </row>
    <row r="162" spans="1:15" x14ac:dyDescent="0.2">
      <c r="A162" s="38" t="s">
        <v>33</v>
      </c>
      <c r="D162" s="44">
        <f>'цены 1 полуг'!B78</f>
        <v>171</v>
      </c>
      <c r="E162" s="44">
        <f>'цены 1 полуг'!C78</f>
        <v>166</v>
      </c>
      <c r="F162" s="44">
        <f>'цены 1 полуг'!D78</f>
        <v>199</v>
      </c>
      <c r="G162" s="44">
        <f>'цены 1 полуг'!E78</f>
        <v>175</v>
      </c>
      <c r="H162" s="44">
        <f>'цены 1 полуг'!F78</f>
        <v>112</v>
      </c>
      <c r="I162" s="44">
        <f>'цены 1 полуг'!G78</f>
        <v>137</v>
      </c>
      <c r="J162" s="44">
        <f>'цены 2 полуг'!M68</f>
        <v>165</v>
      </c>
      <c r="K162" s="44">
        <f>'цены 2 полуг'!N68</f>
        <v>137</v>
      </c>
      <c r="L162" s="44">
        <f>'цены 2 полуг'!O68</f>
        <v>113</v>
      </c>
      <c r="M162" s="44">
        <f>'цены 2 полуг'!P68</f>
        <v>173</v>
      </c>
      <c r="N162" s="44">
        <f>'цены 2 полуг'!Q68</f>
        <v>199</v>
      </c>
      <c r="O162" s="44">
        <f>'цены 2 полуг'!R68</f>
        <v>115</v>
      </c>
    </row>
    <row r="163" spans="1:15" x14ac:dyDescent="0.2">
      <c r="A163" s="38" t="s">
        <v>34</v>
      </c>
      <c r="D163" s="44">
        <f>'цены 1 полуг'!B79</f>
        <v>183</v>
      </c>
      <c r="E163" s="44">
        <f>'цены 1 полуг'!C79</f>
        <v>129</v>
      </c>
      <c r="F163" s="44">
        <f>'цены 1 полуг'!D79</f>
        <v>174</v>
      </c>
      <c r="G163" s="44">
        <f>'цены 1 полуг'!E79</f>
        <v>186</v>
      </c>
      <c r="H163" s="44">
        <f>'цены 1 полуг'!F79</f>
        <v>198</v>
      </c>
      <c r="I163" s="44">
        <f>'цены 1 полуг'!G79</f>
        <v>111</v>
      </c>
      <c r="J163" s="44">
        <f>'цены 2 полуг'!M69</f>
        <v>142</v>
      </c>
      <c r="K163" s="44">
        <f>'цены 2 полуг'!N69</f>
        <v>184</v>
      </c>
      <c r="L163" s="44">
        <f>'цены 2 полуг'!O69</f>
        <v>199</v>
      </c>
      <c r="M163" s="44">
        <f>'цены 2 полуг'!P69</f>
        <v>118</v>
      </c>
      <c r="N163" s="44">
        <f>'цены 2 полуг'!Q69</f>
        <v>134</v>
      </c>
      <c r="O163" s="44">
        <f>'цены 2 полуг'!R69</f>
        <v>127</v>
      </c>
    </row>
    <row r="164" spans="1:15" x14ac:dyDescent="0.2">
      <c r="A164" s="37" t="s">
        <v>35</v>
      </c>
      <c r="D164" s="46">
        <f>D360/D66</f>
        <v>353.00794281282367</v>
      </c>
      <c r="E164" s="46">
        <f t="shared" ref="E164:O164" si="120">E360/E66</f>
        <v>336.68402428093685</v>
      </c>
      <c r="F164" s="46">
        <f t="shared" si="120"/>
        <v>346.33538136778259</v>
      </c>
      <c r="G164" s="46">
        <f t="shared" si="120"/>
        <v>346.38452347729299</v>
      </c>
      <c r="H164" s="46">
        <f t="shared" si="120"/>
        <v>340.74051714771144</v>
      </c>
      <c r="I164" s="46">
        <f t="shared" si="120"/>
        <v>349.5097105453109</v>
      </c>
      <c r="J164" s="46">
        <f t="shared" si="120"/>
        <v>357.17669916198486</v>
      </c>
      <c r="K164" s="46">
        <f t="shared" si="120"/>
        <v>329.41837633659435</v>
      </c>
      <c r="L164" s="46">
        <f t="shared" si="120"/>
        <v>360.9930324197727</v>
      </c>
      <c r="M164" s="46">
        <f t="shared" si="120"/>
        <v>336.0254498651172</v>
      </c>
      <c r="N164" s="46">
        <f t="shared" si="120"/>
        <v>341.48219935281833</v>
      </c>
      <c r="O164" s="46">
        <f t="shared" si="120"/>
        <v>356.45510856189452</v>
      </c>
    </row>
    <row r="165" spans="1:15" x14ac:dyDescent="0.2">
      <c r="A165" s="38" t="s">
        <v>25</v>
      </c>
      <c r="D165" s="44">
        <f>'цены 1 полуг'!B81</f>
        <v>366</v>
      </c>
      <c r="E165" s="44">
        <f>'цены 1 полуг'!C81</f>
        <v>316</v>
      </c>
      <c r="F165" s="44">
        <f>'цены 1 полуг'!D81</f>
        <v>335</v>
      </c>
      <c r="G165" s="44">
        <f>'цены 1 полуг'!E81</f>
        <v>373</v>
      </c>
      <c r="H165" s="44">
        <f>'цены 1 полуг'!F81</f>
        <v>391</v>
      </c>
      <c r="I165" s="44">
        <f>'цены 1 полуг'!G81</f>
        <v>307</v>
      </c>
      <c r="J165" s="44">
        <f>'цены 2 полуг'!M71</f>
        <v>313</v>
      </c>
      <c r="K165" s="44">
        <f>'цены 2 полуг'!N71</f>
        <v>347</v>
      </c>
      <c r="L165" s="44">
        <f>'цены 2 полуг'!O71</f>
        <v>388</v>
      </c>
      <c r="M165" s="44">
        <f>'цены 2 полуг'!P71</f>
        <v>325</v>
      </c>
      <c r="N165" s="44">
        <f>'цены 2 полуг'!Q71</f>
        <v>361</v>
      </c>
      <c r="O165" s="44">
        <f>'цены 2 полуг'!R71</f>
        <v>372</v>
      </c>
    </row>
    <row r="166" spans="1:15" x14ac:dyDescent="0.2">
      <c r="A166" s="38" t="s">
        <v>26</v>
      </c>
      <c r="D166" s="44">
        <f>'цены 1 полуг'!B82</f>
        <v>310</v>
      </c>
      <c r="E166" s="44">
        <f>'цены 1 полуг'!C82</f>
        <v>321</v>
      </c>
      <c r="F166" s="44">
        <f>'цены 1 полуг'!D82</f>
        <v>313</v>
      </c>
      <c r="G166" s="44">
        <f>'цены 1 полуг'!E82</f>
        <v>337</v>
      </c>
      <c r="H166" s="44">
        <f>'цены 1 полуг'!F82</f>
        <v>329</v>
      </c>
      <c r="I166" s="44">
        <f>'цены 1 полуг'!G82</f>
        <v>334</v>
      </c>
      <c r="J166" s="44">
        <f>'цены 2 полуг'!M72</f>
        <v>300</v>
      </c>
      <c r="K166" s="44">
        <f>'цены 2 полуг'!N72</f>
        <v>317</v>
      </c>
      <c r="L166" s="44">
        <f>'цены 2 полуг'!O72</f>
        <v>307</v>
      </c>
      <c r="M166" s="44">
        <f>'цены 2 полуг'!P72</f>
        <v>304</v>
      </c>
      <c r="N166" s="44">
        <f>'цены 2 полуг'!Q72</f>
        <v>338</v>
      </c>
      <c r="O166" s="44">
        <f>'цены 2 полуг'!R72</f>
        <v>387</v>
      </c>
    </row>
    <row r="167" spans="1:15" x14ac:dyDescent="0.2">
      <c r="A167" s="38" t="s">
        <v>27</v>
      </c>
      <c r="D167" s="44">
        <f>'цены 1 полуг'!B83</f>
        <v>391</v>
      </c>
      <c r="E167" s="44">
        <f>'цены 1 полуг'!C83</f>
        <v>390</v>
      </c>
      <c r="F167" s="44">
        <f>'цены 1 полуг'!D83</f>
        <v>330</v>
      </c>
      <c r="G167" s="44">
        <f>'цены 1 полуг'!E83</f>
        <v>340</v>
      </c>
      <c r="H167" s="44">
        <f>'цены 1 полуг'!F83</f>
        <v>368</v>
      </c>
      <c r="I167" s="44">
        <f>'цены 1 полуг'!G83</f>
        <v>400</v>
      </c>
      <c r="J167" s="44">
        <f>'цены 2 полуг'!M73</f>
        <v>332</v>
      </c>
      <c r="K167" s="44">
        <f>'цены 2 полуг'!N73</f>
        <v>316</v>
      </c>
      <c r="L167" s="44">
        <f>'цены 2 полуг'!O73</f>
        <v>339</v>
      </c>
      <c r="M167" s="44">
        <f>'цены 2 полуг'!P73</f>
        <v>304</v>
      </c>
      <c r="N167" s="44">
        <f>'цены 2 полуг'!Q73</f>
        <v>311</v>
      </c>
      <c r="O167" s="44">
        <f>'цены 2 полуг'!R73</f>
        <v>383</v>
      </c>
    </row>
    <row r="168" spans="1:15" x14ac:dyDescent="0.2">
      <c r="A168" s="38" t="s">
        <v>28</v>
      </c>
      <c r="D168" s="44">
        <f>'цены 1 полуг'!B84</f>
        <v>347</v>
      </c>
      <c r="E168" s="44">
        <f>'цены 1 полуг'!C84</f>
        <v>348</v>
      </c>
      <c r="F168" s="44">
        <f>'цены 1 полуг'!D84</f>
        <v>311</v>
      </c>
      <c r="G168" s="44">
        <f>'цены 1 полуг'!E84</f>
        <v>330</v>
      </c>
      <c r="H168" s="44">
        <f>'цены 1 полуг'!F84</f>
        <v>385</v>
      </c>
      <c r="I168" s="44">
        <f>'цены 1 полуг'!G84</f>
        <v>344</v>
      </c>
      <c r="J168" s="44">
        <f>'цены 2 полуг'!M74</f>
        <v>399</v>
      </c>
      <c r="K168" s="44">
        <f>'цены 2 полуг'!N74</f>
        <v>331</v>
      </c>
      <c r="L168" s="44">
        <f>'цены 2 полуг'!O74</f>
        <v>317</v>
      </c>
      <c r="M168" s="44">
        <f>'цены 2 полуг'!P74</f>
        <v>384</v>
      </c>
      <c r="N168" s="44">
        <f>'цены 2 полуг'!Q74</f>
        <v>303</v>
      </c>
      <c r="O168" s="44">
        <f>'цены 2 полуг'!R74</f>
        <v>357</v>
      </c>
    </row>
    <row r="169" spans="1:15" x14ac:dyDescent="0.2">
      <c r="A169" s="38" t="s">
        <v>29</v>
      </c>
      <c r="D169" s="44">
        <f>'цены 1 полуг'!B85</f>
        <v>400</v>
      </c>
      <c r="E169" s="44">
        <f>'цены 1 полуг'!C85</f>
        <v>308</v>
      </c>
      <c r="F169" s="44">
        <f>'цены 1 полуг'!D85</f>
        <v>345</v>
      </c>
      <c r="G169" s="44">
        <f>'цены 1 полуг'!E85</f>
        <v>344</v>
      </c>
      <c r="H169" s="44">
        <f>'цены 1 полуг'!F85</f>
        <v>391</v>
      </c>
      <c r="I169" s="44">
        <f>'цены 1 полуг'!G85</f>
        <v>326</v>
      </c>
      <c r="J169" s="44">
        <f>'цены 2 полуг'!M75</f>
        <v>320</v>
      </c>
      <c r="K169" s="44">
        <f>'цены 2 полуг'!N75</f>
        <v>374</v>
      </c>
      <c r="L169" s="44">
        <f>'цены 2 полуг'!O75</f>
        <v>324</v>
      </c>
      <c r="M169" s="44">
        <f>'цены 2 полуг'!P75</f>
        <v>350</v>
      </c>
      <c r="N169" s="44">
        <f>'цены 2 полуг'!Q75</f>
        <v>368</v>
      </c>
      <c r="O169" s="44">
        <f>'цены 2 полуг'!R75</f>
        <v>303</v>
      </c>
    </row>
    <row r="170" spans="1:15" x14ac:dyDescent="0.2">
      <c r="A170" s="38" t="s">
        <v>30</v>
      </c>
      <c r="D170" s="44">
        <f>'цены 1 полуг'!B86</f>
        <v>330</v>
      </c>
      <c r="E170" s="44">
        <f>'цены 1 полуг'!C86</f>
        <v>398</v>
      </c>
      <c r="F170" s="44">
        <f>'цены 1 полуг'!D86</f>
        <v>314</v>
      </c>
      <c r="G170" s="44">
        <f>'цены 1 полуг'!E86</f>
        <v>377</v>
      </c>
      <c r="H170" s="44">
        <f>'цены 1 полуг'!F86</f>
        <v>365</v>
      </c>
      <c r="I170" s="44">
        <f>'цены 1 полуг'!G86</f>
        <v>344</v>
      </c>
      <c r="J170" s="44">
        <f>'цены 2 полуг'!M76</f>
        <v>314</v>
      </c>
      <c r="K170" s="44">
        <f>'цены 2 полуг'!N76</f>
        <v>304</v>
      </c>
      <c r="L170" s="44">
        <f>'цены 2 полуг'!O76</f>
        <v>331</v>
      </c>
      <c r="M170" s="44">
        <f>'цены 2 полуг'!P76</f>
        <v>327</v>
      </c>
      <c r="N170" s="44">
        <f>'цены 2 полуг'!Q76</f>
        <v>345</v>
      </c>
      <c r="O170" s="44">
        <f>'цены 2 полуг'!R76</f>
        <v>316</v>
      </c>
    </row>
    <row r="171" spans="1:15" x14ac:dyDescent="0.2">
      <c r="A171" s="38" t="s">
        <v>31</v>
      </c>
      <c r="D171" s="44">
        <f>'цены 1 полуг'!B87</f>
        <v>350</v>
      </c>
      <c r="E171" s="44">
        <f>'цены 1 полуг'!C87</f>
        <v>344</v>
      </c>
      <c r="F171" s="44">
        <f>'цены 1 полуг'!D87</f>
        <v>372</v>
      </c>
      <c r="G171" s="44">
        <f>'цены 1 полуг'!E87</f>
        <v>379</v>
      </c>
      <c r="H171" s="44">
        <f>'цены 1 полуг'!F87</f>
        <v>333</v>
      </c>
      <c r="I171" s="44">
        <f>'цены 1 полуг'!G87</f>
        <v>396</v>
      </c>
      <c r="J171" s="44">
        <f>'цены 2 полуг'!M77</f>
        <v>384</v>
      </c>
      <c r="K171" s="44">
        <f>'цены 2 полуг'!N77</f>
        <v>353</v>
      </c>
      <c r="L171" s="44">
        <f>'цены 2 полуг'!O77</f>
        <v>334</v>
      </c>
      <c r="M171" s="44">
        <f>'цены 2 полуг'!P77</f>
        <v>353</v>
      </c>
      <c r="N171" s="44">
        <f>'цены 2 полуг'!Q77</f>
        <v>312</v>
      </c>
      <c r="O171" s="44">
        <f>'цены 2 полуг'!R77</f>
        <v>400</v>
      </c>
    </row>
    <row r="172" spans="1:15" x14ac:dyDescent="0.2">
      <c r="A172" s="38" t="s">
        <v>32</v>
      </c>
      <c r="D172" s="44">
        <f>'цены 1 полуг'!B88</f>
        <v>311</v>
      </c>
      <c r="E172" s="44">
        <f>'цены 1 полуг'!C88</f>
        <v>308</v>
      </c>
      <c r="F172" s="44">
        <f>'цены 1 полуг'!D88</f>
        <v>364</v>
      </c>
      <c r="G172" s="44">
        <f>'цены 1 полуг'!E88</f>
        <v>356</v>
      </c>
      <c r="H172" s="44">
        <f>'цены 1 полуг'!F88</f>
        <v>300</v>
      </c>
      <c r="I172" s="44">
        <f>'цены 1 полуг'!G88</f>
        <v>325</v>
      </c>
      <c r="J172" s="44">
        <f>'цены 2 полуг'!M78</f>
        <v>352</v>
      </c>
      <c r="K172" s="44">
        <f>'цены 2 полуг'!N78</f>
        <v>310</v>
      </c>
      <c r="L172" s="44">
        <f>'цены 2 полуг'!O78</f>
        <v>342</v>
      </c>
      <c r="M172" s="44">
        <f>'цены 2 полуг'!P78</f>
        <v>324</v>
      </c>
      <c r="N172" s="44">
        <f>'цены 2 полуг'!Q78</f>
        <v>396</v>
      </c>
      <c r="O172" s="44">
        <f>'цены 2 полуг'!R78</f>
        <v>310</v>
      </c>
    </row>
    <row r="173" spans="1:15" x14ac:dyDescent="0.2">
      <c r="A173" s="38" t="s">
        <v>33</v>
      </c>
      <c r="D173" s="44">
        <f>'цены 1 полуг'!B89</f>
        <v>389</v>
      </c>
      <c r="E173" s="44">
        <f>'цены 1 полуг'!C89</f>
        <v>320</v>
      </c>
      <c r="F173" s="44">
        <f>'цены 1 полуг'!D89</f>
        <v>302</v>
      </c>
      <c r="G173" s="44">
        <f>'цены 1 полуг'!E89</f>
        <v>347</v>
      </c>
      <c r="H173" s="44">
        <f>'цены 1 полуг'!F89</f>
        <v>397</v>
      </c>
      <c r="I173" s="44">
        <f>'цены 1 полуг'!G89</f>
        <v>337</v>
      </c>
      <c r="J173" s="44">
        <f>'цены 2 полуг'!M79</f>
        <v>375</v>
      </c>
      <c r="K173" s="44">
        <f>'цены 2 полуг'!N79</f>
        <v>347</v>
      </c>
      <c r="L173" s="44">
        <f>'цены 2 полуг'!O79</f>
        <v>374</v>
      </c>
      <c r="M173" s="44">
        <f>'цены 2 полуг'!P79</f>
        <v>309</v>
      </c>
      <c r="N173" s="44">
        <f>'цены 2 полуг'!Q79</f>
        <v>381</v>
      </c>
      <c r="O173" s="44">
        <f>'цены 2 полуг'!R79</f>
        <v>343</v>
      </c>
    </row>
    <row r="174" spans="1:15" x14ac:dyDescent="0.2">
      <c r="A174" s="38" t="s">
        <v>34</v>
      </c>
      <c r="D174" s="44">
        <f>'цены 1 полуг'!B90</f>
        <v>379</v>
      </c>
      <c r="E174" s="44">
        <f>'цены 1 полуг'!C90</f>
        <v>353</v>
      </c>
      <c r="F174" s="44">
        <f>'цены 1 полуг'!D90</f>
        <v>371</v>
      </c>
      <c r="G174" s="44">
        <f>'цены 1 полуг'!E90</f>
        <v>346</v>
      </c>
      <c r="H174" s="44">
        <f>'цены 1 полуг'!F90</f>
        <v>318</v>
      </c>
      <c r="I174" s="44">
        <f>'цены 1 полуг'!G90</f>
        <v>338</v>
      </c>
      <c r="J174" s="44">
        <f>'цены 2 полуг'!M80</f>
        <v>345</v>
      </c>
      <c r="K174" s="44">
        <f>'цены 2 полуг'!N80</f>
        <v>325</v>
      </c>
      <c r="L174" s="44">
        <f>'цены 2 полуг'!O80</f>
        <v>392</v>
      </c>
      <c r="M174" s="44">
        <f>'цены 2 полуг'!P80</f>
        <v>357</v>
      </c>
      <c r="N174" s="44">
        <f>'цены 2 полуг'!Q80</f>
        <v>313</v>
      </c>
      <c r="O174" s="44">
        <f>'цены 2 полуг'!R80</f>
        <v>301</v>
      </c>
    </row>
    <row r="175" spans="1:15" x14ac:dyDescent="0.2">
      <c r="A175" s="4" t="s">
        <v>36</v>
      </c>
      <c r="B175" s="4"/>
      <c r="C175" s="4"/>
      <c r="D175" s="45">
        <f>D371/D77</f>
        <v>254.64567634990513</v>
      </c>
      <c r="E175" s="45">
        <f t="shared" ref="E175:I175" si="121">E371/E77</f>
        <v>257.00584390189903</v>
      </c>
      <c r="F175" s="45">
        <f t="shared" si="121"/>
        <v>264.62110422885092</v>
      </c>
      <c r="G175" s="45">
        <f t="shared" si="121"/>
        <v>291.11483615521223</v>
      </c>
      <c r="H175" s="45">
        <f t="shared" si="121"/>
        <v>252.48500171203972</v>
      </c>
      <c r="I175" s="45">
        <f t="shared" si="121"/>
        <v>257.98135605418003</v>
      </c>
      <c r="J175" s="45">
        <f t="shared" ref="J175:O175" si="122">J371/J77</f>
        <v>233.53752939028016</v>
      </c>
      <c r="K175" s="45">
        <f t="shared" si="122"/>
        <v>245.56959935124192</v>
      </c>
      <c r="L175" s="45">
        <f t="shared" si="122"/>
        <v>270.47212702968551</v>
      </c>
      <c r="M175" s="45">
        <f t="shared" si="122"/>
        <v>233.94444142656926</v>
      </c>
      <c r="N175" s="45">
        <f t="shared" si="122"/>
        <v>257.53722867931083</v>
      </c>
      <c r="O175" s="45">
        <f t="shared" si="122"/>
        <v>231.84549930355016</v>
      </c>
    </row>
    <row r="176" spans="1:15" x14ac:dyDescent="0.2">
      <c r="A176" s="37" t="s">
        <v>24</v>
      </c>
      <c r="D176" s="46">
        <f>D372/D78</f>
        <v>135.27529852859666</v>
      </c>
      <c r="E176" s="46">
        <f t="shared" ref="E176:I176" si="123">E372/E78</f>
        <v>144.85024802786435</v>
      </c>
      <c r="F176" s="46">
        <f t="shared" si="123"/>
        <v>161.85606523824808</v>
      </c>
      <c r="G176" s="46">
        <f t="shared" si="123"/>
        <v>162.49086853438567</v>
      </c>
      <c r="H176" s="46">
        <f t="shared" si="123"/>
        <v>150.1889834069238</v>
      </c>
      <c r="I176" s="46">
        <f t="shared" si="123"/>
        <v>152.79492476745924</v>
      </c>
      <c r="J176" s="46">
        <f t="shared" ref="J176:O176" si="124">J372/J78</f>
        <v>151.22623782160457</v>
      </c>
      <c r="K176" s="46">
        <f t="shared" si="124"/>
        <v>143.67776709031097</v>
      </c>
      <c r="L176" s="46">
        <f t="shared" si="124"/>
        <v>155.28266297479476</v>
      </c>
      <c r="M176" s="46">
        <f t="shared" si="124"/>
        <v>142.32903455547444</v>
      </c>
      <c r="N176" s="46">
        <f t="shared" si="124"/>
        <v>156.41470086442462</v>
      </c>
      <c r="O176" s="46">
        <f t="shared" si="124"/>
        <v>152.53764348237948</v>
      </c>
    </row>
    <row r="177" spans="1:15" x14ac:dyDescent="0.2">
      <c r="A177" s="38" t="s">
        <v>25</v>
      </c>
      <c r="D177" s="44">
        <f>'цены 1 полуг'!B93</f>
        <v>162</v>
      </c>
      <c r="E177" s="44">
        <f>'цены 1 полуг'!C93</f>
        <v>100</v>
      </c>
      <c r="F177" s="44">
        <f>'цены 1 полуг'!D93</f>
        <v>150</v>
      </c>
      <c r="G177" s="44">
        <f>'цены 1 полуг'!E93</f>
        <v>122</v>
      </c>
      <c r="H177" s="44">
        <f>'цены 1 полуг'!F93</f>
        <v>173</v>
      </c>
      <c r="I177" s="44">
        <f>'цены 1 полуг'!G93</f>
        <v>163</v>
      </c>
      <c r="J177" s="44">
        <f>'цены 2 полуг'!M83</f>
        <v>172</v>
      </c>
      <c r="K177" s="44">
        <f>'цены 2 полуг'!N83</f>
        <v>177</v>
      </c>
      <c r="L177" s="44">
        <f>'цены 2 полуг'!O83</f>
        <v>177</v>
      </c>
      <c r="M177" s="44">
        <f>'цены 2 полуг'!P83</f>
        <v>121</v>
      </c>
      <c r="N177" s="44">
        <f>'цены 2 полуг'!Q83</f>
        <v>135</v>
      </c>
      <c r="O177" s="44">
        <f>'цены 2 полуг'!R83</f>
        <v>144</v>
      </c>
    </row>
    <row r="178" spans="1:15" x14ac:dyDescent="0.2">
      <c r="A178" s="38" t="s">
        <v>26</v>
      </c>
      <c r="D178" s="44">
        <f>'цены 1 полуг'!B94</f>
        <v>147</v>
      </c>
      <c r="E178" s="44">
        <f>'цены 1 полуг'!C94</f>
        <v>149</v>
      </c>
      <c r="F178" s="44">
        <f>'цены 1 полуг'!D94</f>
        <v>137</v>
      </c>
      <c r="G178" s="44">
        <f>'цены 1 полуг'!E94</f>
        <v>161</v>
      </c>
      <c r="H178" s="44">
        <f>'цены 1 полуг'!F94</f>
        <v>103</v>
      </c>
      <c r="I178" s="44">
        <f>'цены 1 полуг'!G94</f>
        <v>153</v>
      </c>
      <c r="J178" s="44">
        <f>'цены 2 полуг'!M84</f>
        <v>159</v>
      </c>
      <c r="K178" s="44">
        <f>'цены 2 полуг'!N84</f>
        <v>115</v>
      </c>
      <c r="L178" s="44">
        <f>'цены 2 полуг'!O84</f>
        <v>131</v>
      </c>
      <c r="M178" s="44">
        <f>'цены 2 полуг'!P84</f>
        <v>118</v>
      </c>
      <c r="N178" s="44">
        <f>'цены 2 полуг'!Q84</f>
        <v>115</v>
      </c>
      <c r="O178" s="44">
        <f>'цены 2 полуг'!R84</f>
        <v>126</v>
      </c>
    </row>
    <row r="179" spans="1:15" x14ac:dyDescent="0.2">
      <c r="A179" s="38" t="s">
        <v>27</v>
      </c>
      <c r="D179" s="44">
        <f>'цены 1 полуг'!B95</f>
        <v>137</v>
      </c>
      <c r="E179" s="44">
        <f>'цены 1 полуг'!C95</f>
        <v>200</v>
      </c>
      <c r="F179" s="44">
        <f>'цены 1 полуг'!D95</f>
        <v>189</v>
      </c>
      <c r="G179" s="44">
        <f>'цены 1 полуг'!E95</f>
        <v>129</v>
      </c>
      <c r="H179" s="44">
        <f>'цены 1 полуг'!F95</f>
        <v>128</v>
      </c>
      <c r="I179" s="44">
        <f>'цены 1 полуг'!G95</f>
        <v>142</v>
      </c>
      <c r="J179" s="44">
        <f>'цены 2 полуг'!M85</f>
        <v>125</v>
      </c>
      <c r="K179" s="44">
        <f>'цены 2 полуг'!N85</f>
        <v>119</v>
      </c>
      <c r="L179" s="44">
        <f>'цены 2 полуг'!O85</f>
        <v>117</v>
      </c>
      <c r="M179" s="44">
        <f>'цены 2 полуг'!P85</f>
        <v>172</v>
      </c>
      <c r="N179" s="44">
        <f>'цены 2 полуг'!Q85</f>
        <v>192</v>
      </c>
      <c r="O179" s="44">
        <f>'цены 2 полуг'!R85</f>
        <v>109</v>
      </c>
    </row>
    <row r="180" spans="1:15" x14ac:dyDescent="0.2">
      <c r="A180" s="38" t="s">
        <v>28</v>
      </c>
      <c r="D180" s="44">
        <f>'цены 1 полуг'!B96</f>
        <v>105</v>
      </c>
      <c r="E180" s="44">
        <f>'цены 1 полуг'!C96</f>
        <v>182</v>
      </c>
      <c r="F180" s="44">
        <f>'цены 1 полуг'!D96</f>
        <v>195</v>
      </c>
      <c r="G180" s="44">
        <f>'цены 1 полуг'!E96</f>
        <v>167</v>
      </c>
      <c r="H180" s="44">
        <f>'цены 1 полуг'!F96</f>
        <v>176</v>
      </c>
      <c r="I180" s="44">
        <f>'цены 1 полуг'!G96</f>
        <v>159</v>
      </c>
      <c r="J180" s="44">
        <f>'цены 2 полуг'!M86</f>
        <v>191</v>
      </c>
      <c r="K180" s="44">
        <f>'цены 2 полуг'!N86</f>
        <v>139</v>
      </c>
      <c r="L180" s="44">
        <f>'цены 2 полуг'!O86</f>
        <v>184</v>
      </c>
      <c r="M180" s="44">
        <f>'цены 2 полуг'!P86</f>
        <v>142</v>
      </c>
      <c r="N180" s="44">
        <f>'цены 2 полуг'!Q86</f>
        <v>188</v>
      </c>
      <c r="O180" s="44">
        <f>'цены 2 полуг'!R86</f>
        <v>135</v>
      </c>
    </row>
    <row r="181" spans="1:15" x14ac:dyDescent="0.2">
      <c r="A181" s="38" t="s">
        <v>29</v>
      </c>
      <c r="D181" s="44">
        <f>'цены 1 полуг'!B97</f>
        <v>179</v>
      </c>
      <c r="E181" s="44">
        <f>'цены 1 полуг'!C97</f>
        <v>114</v>
      </c>
      <c r="F181" s="44">
        <f>'цены 1 полуг'!D97</f>
        <v>132</v>
      </c>
      <c r="G181" s="44">
        <f>'цены 1 полуг'!E97</f>
        <v>172</v>
      </c>
      <c r="H181" s="44">
        <f>'цены 1 полуг'!F97</f>
        <v>109</v>
      </c>
      <c r="I181" s="44">
        <f>'цены 1 полуг'!G97</f>
        <v>131</v>
      </c>
      <c r="J181" s="44">
        <f>'цены 2 полуг'!M87</f>
        <v>166</v>
      </c>
      <c r="K181" s="44">
        <f>'цены 2 полуг'!N87</f>
        <v>130</v>
      </c>
      <c r="L181" s="44">
        <f>'цены 2 полуг'!O87</f>
        <v>192</v>
      </c>
      <c r="M181" s="44">
        <f>'цены 2 полуг'!P87</f>
        <v>116</v>
      </c>
      <c r="N181" s="44">
        <f>'цены 2 полуг'!Q87</f>
        <v>148</v>
      </c>
      <c r="O181" s="44">
        <f>'цены 2 полуг'!R87</f>
        <v>102</v>
      </c>
    </row>
    <row r="182" spans="1:15" x14ac:dyDescent="0.2">
      <c r="A182" s="38" t="s">
        <v>30</v>
      </c>
      <c r="D182" s="44">
        <f>'цены 1 полуг'!B98</f>
        <v>135</v>
      </c>
      <c r="E182" s="44">
        <f>'цены 1 полуг'!C98</f>
        <v>113</v>
      </c>
      <c r="F182" s="44">
        <f>'цены 1 полуг'!D98</f>
        <v>172</v>
      </c>
      <c r="G182" s="44">
        <f>'цены 1 полуг'!E98</f>
        <v>197</v>
      </c>
      <c r="H182" s="44">
        <f>'цены 1 полуг'!F98</f>
        <v>146</v>
      </c>
      <c r="I182" s="44">
        <f>'цены 1 полуг'!G98</f>
        <v>194</v>
      </c>
      <c r="J182" s="44">
        <f>'цены 2 полуг'!M88</f>
        <v>197</v>
      </c>
      <c r="K182" s="44">
        <f>'цены 2 полуг'!N88</f>
        <v>158</v>
      </c>
      <c r="L182" s="44">
        <f>'цены 2 полуг'!O88</f>
        <v>174</v>
      </c>
      <c r="M182" s="44">
        <f>'цены 2 полуг'!P88</f>
        <v>176</v>
      </c>
      <c r="N182" s="44">
        <f>'цены 2 полуг'!Q88</f>
        <v>108</v>
      </c>
      <c r="O182" s="44">
        <f>'цены 2 полуг'!R88</f>
        <v>187</v>
      </c>
    </row>
    <row r="183" spans="1:15" x14ac:dyDescent="0.2">
      <c r="A183" s="38" t="s">
        <v>31</v>
      </c>
      <c r="D183" s="44">
        <f>'цены 1 полуг'!B99</f>
        <v>114</v>
      </c>
      <c r="E183" s="44">
        <f>'цены 1 полуг'!C99</f>
        <v>127</v>
      </c>
      <c r="F183" s="44">
        <f>'цены 1 полуг'!D99</f>
        <v>169</v>
      </c>
      <c r="G183" s="44">
        <f>'цены 1 полуг'!E99</f>
        <v>174</v>
      </c>
      <c r="H183" s="44">
        <f>'цены 1 полуг'!F99</f>
        <v>190</v>
      </c>
      <c r="I183" s="44">
        <f>'цены 1 полуг'!G99</f>
        <v>102</v>
      </c>
      <c r="J183" s="44">
        <f>'цены 2 полуг'!M89</f>
        <v>185</v>
      </c>
      <c r="K183" s="44">
        <f>'цены 2 полуг'!N89</f>
        <v>119</v>
      </c>
      <c r="L183" s="44">
        <f>'цены 2 полуг'!O89</f>
        <v>169</v>
      </c>
      <c r="M183" s="44">
        <f>'цены 2 полуг'!P89</f>
        <v>121</v>
      </c>
      <c r="N183" s="44">
        <f>'цены 2 полуг'!Q89</f>
        <v>171</v>
      </c>
      <c r="O183" s="44">
        <f>'цены 2 полуг'!R89</f>
        <v>118</v>
      </c>
    </row>
    <row r="184" spans="1:15" x14ac:dyDescent="0.2">
      <c r="A184" s="38" t="s">
        <v>32</v>
      </c>
      <c r="D184" s="44">
        <f>'цены 1 полуг'!B100</f>
        <v>142</v>
      </c>
      <c r="E184" s="44">
        <f>'цены 1 полуг'!C100</f>
        <v>184</v>
      </c>
      <c r="F184" s="44">
        <f>'цены 1 полуг'!D100</f>
        <v>146</v>
      </c>
      <c r="G184" s="44">
        <f>'цены 1 полуг'!E100</f>
        <v>200</v>
      </c>
      <c r="H184" s="44">
        <f>'цены 1 полуг'!F100</f>
        <v>139</v>
      </c>
      <c r="I184" s="44">
        <f>'цены 1 полуг'!G100</f>
        <v>196</v>
      </c>
      <c r="J184" s="44">
        <f>'цены 2 полуг'!M90</f>
        <v>144</v>
      </c>
      <c r="K184" s="44">
        <f>'цены 2 полуг'!N90</f>
        <v>107</v>
      </c>
      <c r="L184" s="44">
        <f>'цены 2 полуг'!O90</f>
        <v>128</v>
      </c>
      <c r="M184" s="44">
        <f>'цены 2 полуг'!P90</f>
        <v>126</v>
      </c>
      <c r="N184" s="44">
        <f>'цены 2 полуг'!Q90</f>
        <v>190</v>
      </c>
      <c r="O184" s="44">
        <f>'цены 2 полуг'!R90</f>
        <v>147</v>
      </c>
    </row>
    <row r="185" spans="1:15" x14ac:dyDescent="0.2">
      <c r="A185" s="38" t="s">
        <v>33</v>
      </c>
      <c r="D185" s="44">
        <f>'цены 1 полуг'!B101</f>
        <v>122</v>
      </c>
      <c r="E185" s="44">
        <f>'цены 1 полуг'!C101</f>
        <v>105</v>
      </c>
      <c r="F185" s="44">
        <f>'цены 1 полуг'!D101</f>
        <v>175</v>
      </c>
      <c r="G185" s="44">
        <f>'цены 1 полуг'!E101</f>
        <v>139</v>
      </c>
      <c r="H185" s="44">
        <f>'цены 1 полуг'!F101</f>
        <v>196</v>
      </c>
      <c r="I185" s="44">
        <f>'цены 1 полуг'!G101</f>
        <v>135</v>
      </c>
      <c r="J185" s="44">
        <f>'цены 2 полуг'!M91</f>
        <v>112</v>
      </c>
      <c r="K185" s="44">
        <f>'цены 2 полуг'!N91</f>
        <v>183</v>
      </c>
      <c r="L185" s="44">
        <f>'цены 2 полуг'!O91</f>
        <v>145</v>
      </c>
      <c r="M185" s="44">
        <f>'цены 2 полуг'!P91</f>
        <v>127</v>
      </c>
      <c r="N185" s="44">
        <f>'цены 2 полуг'!Q91</f>
        <v>129</v>
      </c>
      <c r="O185" s="44">
        <f>'цены 2 полуг'!R91</f>
        <v>161</v>
      </c>
    </row>
    <row r="186" spans="1:15" x14ac:dyDescent="0.2">
      <c r="A186" s="38" t="s">
        <v>34</v>
      </c>
      <c r="D186" s="44">
        <f>'цены 1 полуг'!B102</f>
        <v>122</v>
      </c>
      <c r="E186" s="44">
        <f>'цены 1 полуг'!C102</f>
        <v>181</v>
      </c>
      <c r="F186" s="44">
        <f>'цены 1 полуг'!D102</f>
        <v>137</v>
      </c>
      <c r="G186" s="44">
        <f>'цены 1 полуг'!E102</f>
        <v>198</v>
      </c>
      <c r="H186" s="44">
        <f>'цены 1 полуг'!F102</f>
        <v>131</v>
      </c>
      <c r="I186" s="44">
        <f>'цены 1 полуг'!G102</f>
        <v>199</v>
      </c>
      <c r="J186" s="44">
        <f>'цены 2 полуг'!M92</f>
        <v>111</v>
      </c>
      <c r="K186" s="44">
        <f>'цены 2 полуг'!N92</f>
        <v>148</v>
      </c>
      <c r="L186" s="44">
        <f>'цены 2 полуг'!O92</f>
        <v>155</v>
      </c>
      <c r="M186" s="44">
        <f>'цены 2 полуг'!P92</f>
        <v>161</v>
      </c>
      <c r="N186" s="44">
        <f>'цены 2 полуг'!Q92</f>
        <v>166</v>
      </c>
      <c r="O186" s="44">
        <f>'цены 2 полуг'!R92</f>
        <v>156</v>
      </c>
    </row>
    <row r="187" spans="1:15" x14ac:dyDescent="0.2">
      <c r="A187" s="37" t="s">
        <v>35</v>
      </c>
      <c r="D187" s="46">
        <f>D383/D89</f>
        <v>346.96488311616758</v>
      </c>
      <c r="E187" s="46">
        <f t="shared" ref="E187:O187" si="125">E383/E89</f>
        <v>345.64590674333556</v>
      </c>
      <c r="F187" s="46">
        <f t="shared" si="125"/>
        <v>355.93752039451823</v>
      </c>
      <c r="G187" s="46">
        <f t="shared" si="125"/>
        <v>364.18564351158687</v>
      </c>
      <c r="H187" s="46">
        <f t="shared" si="125"/>
        <v>370.95805069880419</v>
      </c>
      <c r="I187" s="46">
        <f t="shared" si="125"/>
        <v>349.31821340293328</v>
      </c>
      <c r="J187" s="46">
        <f t="shared" si="125"/>
        <v>341.97747461004928</v>
      </c>
      <c r="K187" s="46">
        <f t="shared" si="125"/>
        <v>344.45946310772291</v>
      </c>
      <c r="L187" s="46">
        <f t="shared" si="125"/>
        <v>342.26039147442606</v>
      </c>
      <c r="M187" s="46">
        <f t="shared" si="125"/>
        <v>351.71009060413991</v>
      </c>
      <c r="N187" s="46">
        <f t="shared" si="125"/>
        <v>363.76929627767868</v>
      </c>
      <c r="O187" s="46">
        <f t="shared" si="125"/>
        <v>371.77124085528277</v>
      </c>
    </row>
    <row r="188" spans="1:15" x14ac:dyDescent="0.2">
      <c r="A188" s="38" t="s">
        <v>25</v>
      </c>
      <c r="D188" s="44">
        <f>'цены 1 полуг'!B104</f>
        <v>346</v>
      </c>
      <c r="E188" s="44">
        <f>'цены 1 полуг'!C104</f>
        <v>394</v>
      </c>
      <c r="F188" s="44">
        <f>'цены 1 полуг'!D104</f>
        <v>372</v>
      </c>
      <c r="G188" s="44">
        <f>'цены 1 полуг'!E104</f>
        <v>337</v>
      </c>
      <c r="H188" s="44">
        <f>'цены 1 полуг'!F104</f>
        <v>392</v>
      </c>
      <c r="I188" s="44">
        <f>'цены 1 полуг'!G104</f>
        <v>336</v>
      </c>
      <c r="J188" s="44">
        <f>'цены 2 полуг'!M94</f>
        <v>375</v>
      </c>
      <c r="K188" s="44">
        <f>'цены 2 полуг'!N94</f>
        <v>336</v>
      </c>
      <c r="L188" s="44">
        <f>'цены 2 полуг'!O94</f>
        <v>318</v>
      </c>
      <c r="M188" s="44">
        <f>'цены 2 полуг'!P94</f>
        <v>384</v>
      </c>
      <c r="N188" s="44">
        <f>'цены 2 полуг'!Q94</f>
        <v>380</v>
      </c>
      <c r="O188" s="44">
        <f>'цены 2 полуг'!R94</f>
        <v>373</v>
      </c>
    </row>
    <row r="189" spans="1:15" x14ac:dyDescent="0.2">
      <c r="A189" s="38" t="s">
        <v>26</v>
      </c>
      <c r="D189" s="44">
        <f>'цены 1 полуг'!B105</f>
        <v>311</v>
      </c>
      <c r="E189" s="44">
        <f>'цены 1 полуг'!C105</f>
        <v>323</v>
      </c>
      <c r="F189" s="44">
        <f>'цены 1 полуг'!D105</f>
        <v>398</v>
      </c>
      <c r="G189" s="44">
        <f>'цены 1 полуг'!E105</f>
        <v>391</v>
      </c>
      <c r="H189" s="44">
        <f>'цены 1 полуг'!F105</f>
        <v>351</v>
      </c>
      <c r="I189" s="44">
        <f>'цены 1 полуг'!G105</f>
        <v>340</v>
      </c>
      <c r="J189" s="44">
        <f>'цены 2 полуг'!M95</f>
        <v>359</v>
      </c>
      <c r="K189" s="44">
        <f>'цены 2 полуг'!N95</f>
        <v>356</v>
      </c>
      <c r="L189" s="44">
        <f>'цены 2 полуг'!O95</f>
        <v>311</v>
      </c>
      <c r="M189" s="44">
        <f>'цены 2 полуг'!P95</f>
        <v>313</v>
      </c>
      <c r="N189" s="44">
        <f>'цены 2 полуг'!Q95</f>
        <v>329</v>
      </c>
      <c r="O189" s="44">
        <f>'цены 2 полуг'!R95</f>
        <v>396</v>
      </c>
    </row>
    <row r="190" spans="1:15" x14ac:dyDescent="0.2">
      <c r="A190" s="38" t="s">
        <v>27</v>
      </c>
      <c r="D190" s="44">
        <f>'цены 1 полуг'!B106</f>
        <v>367</v>
      </c>
      <c r="E190" s="44">
        <f>'цены 1 полуг'!C106</f>
        <v>300</v>
      </c>
      <c r="F190" s="44">
        <f>'цены 1 полуг'!D106</f>
        <v>368</v>
      </c>
      <c r="G190" s="44">
        <f>'цены 1 полуг'!E106</f>
        <v>335</v>
      </c>
      <c r="H190" s="44">
        <f>'цены 1 полуг'!F106</f>
        <v>391</v>
      </c>
      <c r="I190" s="44">
        <f>'цены 1 полуг'!G106</f>
        <v>334</v>
      </c>
      <c r="J190" s="44">
        <f>'цены 2 полуг'!M96</f>
        <v>368</v>
      </c>
      <c r="K190" s="44">
        <f>'цены 2 полуг'!N96</f>
        <v>347</v>
      </c>
      <c r="L190" s="44">
        <f>'цены 2 полуг'!O96</f>
        <v>325</v>
      </c>
      <c r="M190" s="44">
        <f>'цены 2 полуг'!P96</f>
        <v>376</v>
      </c>
      <c r="N190" s="44">
        <f>'цены 2 полуг'!Q96</f>
        <v>358</v>
      </c>
      <c r="O190" s="44">
        <f>'цены 2 полуг'!R96</f>
        <v>376</v>
      </c>
    </row>
    <row r="191" spans="1:15" x14ac:dyDescent="0.2">
      <c r="A191" s="38" t="s">
        <v>28</v>
      </c>
      <c r="D191" s="44">
        <f>'цены 1 полуг'!B107</f>
        <v>301</v>
      </c>
      <c r="E191" s="44">
        <f>'цены 1 полуг'!C107</f>
        <v>330</v>
      </c>
      <c r="F191" s="44">
        <f>'цены 1 полуг'!D107</f>
        <v>390</v>
      </c>
      <c r="G191" s="44">
        <f>'цены 1 полуг'!E107</f>
        <v>385</v>
      </c>
      <c r="H191" s="44">
        <f>'цены 1 полуг'!F107</f>
        <v>337</v>
      </c>
      <c r="I191" s="44">
        <f>'цены 1 полуг'!G107</f>
        <v>354</v>
      </c>
      <c r="J191" s="44">
        <f>'цены 2 полуг'!M97</f>
        <v>391</v>
      </c>
      <c r="K191" s="44">
        <f>'цены 2 полуг'!N97</f>
        <v>318</v>
      </c>
      <c r="L191" s="44">
        <f>'цены 2 полуг'!O97</f>
        <v>346</v>
      </c>
      <c r="M191" s="44">
        <f>'цены 2 полуг'!P97</f>
        <v>336</v>
      </c>
      <c r="N191" s="44">
        <f>'цены 2 полуг'!Q97</f>
        <v>390</v>
      </c>
      <c r="O191" s="44">
        <f>'цены 2 полуг'!R97</f>
        <v>367</v>
      </c>
    </row>
    <row r="192" spans="1:15" x14ac:dyDescent="0.2">
      <c r="A192" s="38" t="s">
        <v>29</v>
      </c>
      <c r="D192" s="44">
        <f>'цены 1 полуг'!B108</f>
        <v>381</v>
      </c>
      <c r="E192" s="44">
        <f>'цены 1 полуг'!C108</f>
        <v>307</v>
      </c>
      <c r="F192" s="44">
        <f>'цены 1 полуг'!D108</f>
        <v>357</v>
      </c>
      <c r="G192" s="44">
        <f>'цены 1 полуг'!E108</f>
        <v>369</v>
      </c>
      <c r="H192" s="44">
        <f>'цены 1 полуг'!F108</f>
        <v>330</v>
      </c>
      <c r="I192" s="44">
        <f>'цены 1 полуг'!G108</f>
        <v>381</v>
      </c>
      <c r="J192" s="44">
        <f>'цены 2 полуг'!M98</f>
        <v>336</v>
      </c>
      <c r="K192" s="44">
        <f>'цены 2 полуг'!N98</f>
        <v>392</v>
      </c>
      <c r="L192" s="44">
        <f>'цены 2 полуг'!O98</f>
        <v>319</v>
      </c>
      <c r="M192" s="44">
        <f>'цены 2 полуг'!P98</f>
        <v>308</v>
      </c>
      <c r="N192" s="44">
        <f>'цены 2 полуг'!Q98</f>
        <v>340</v>
      </c>
      <c r="O192" s="44">
        <f>'цены 2 полуг'!R98</f>
        <v>383</v>
      </c>
    </row>
    <row r="193" spans="1:15" x14ac:dyDescent="0.2">
      <c r="A193" s="38" t="s">
        <v>30</v>
      </c>
      <c r="D193" s="44">
        <f>'цены 1 полуг'!B109</f>
        <v>316</v>
      </c>
      <c r="E193" s="44">
        <f>'цены 1 полуг'!C109</f>
        <v>324</v>
      </c>
      <c r="F193" s="44">
        <f>'цены 1 полуг'!D109</f>
        <v>320</v>
      </c>
      <c r="G193" s="44">
        <f>'цены 1 полуг'!E109</f>
        <v>367</v>
      </c>
      <c r="H193" s="44">
        <f>'цены 1 полуг'!F109</f>
        <v>385</v>
      </c>
      <c r="I193" s="44">
        <f>'цены 1 полуг'!G109</f>
        <v>348</v>
      </c>
      <c r="J193" s="44">
        <f>'цены 2 полуг'!M99</f>
        <v>377</v>
      </c>
      <c r="K193" s="44">
        <f>'цены 2 полуг'!N99</f>
        <v>340</v>
      </c>
      <c r="L193" s="44">
        <f>'цены 2 полуг'!O99</f>
        <v>397</v>
      </c>
      <c r="M193" s="44">
        <f>'цены 2 полуг'!P99</f>
        <v>396</v>
      </c>
      <c r="N193" s="44">
        <f>'цены 2 полуг'!Q99</f>
        <v>335</v>
      </c>
      <c r="O193" s="44">
        <f>'цены 2 полуг'!R99</f>
        <v>356</v>
      </c>
    </row>
    <row r="194" spans="1:15" x14ac:dyDescent="0.2">
      <c r="A194" s="38" t="s">
        <v>31</v>
      </c>
      <c r="D194" s="44">
        <f>'цены 1 полуг'!B110</f>
        <v>324</v>
      </c>
      <c r="E194" s="44">
        <f>'цены 1 полуг'!C110</f>
        <v>367</v>
      </c>
      <c r="F194" s="44">
        <f>'цены 1 полуг'!D110</f>
        <v>333</v>
      </c>
      <c r="G194" s="44">
        <f>'цены 1 полуг'!E110</f>
        <v>314</v>
      </c>
      <c r="H194" s="44">
        <f>'цены 1 полуг'!F110</f>
        <v>364</v>
      </c>
      <c r="I194" s="44">
        <f>'цены 1 полуг'!G110</f>
        <v>392</v>
      </c>
      <c r="J194" s="44">
        <f>'цены 2 полуг'!M100</f>
        <v>300</v>
      </c>
      <c r="K194" s="44">
        <f>'цены 2 полуг'!N100</f>
        <v>394</v>
      </c>
      <c r="L194" s="44">
        <f>'цены 2 полуг'!O100</f>
        <v>371</v>
      </c>
      <c r="M194" s="44">
        <f>'цены 2 полуг'!P100</f>
        <v>322</v>
      </c>
      <c r="N194" s="44">
        <f>'цены 2 полуг'!Q100</f>
        <v>400</v>
      </c>
      <c r="O194" s="44">
        <f>'цены 2 полуг'!R100</f>
        <v>376</v>
      </c>
    </row>
    <row r="195" spans="1:15" x14ac:dyDescent="0.2">
      <c r="A195" s="38" t="s">
        <v>32</v>
      </c>
      <c r="D195" s="44">
        <f>'цены 1 полуг'!B111</f>
        <v>396</v>
      </c>
      <c r="E195" s="44">
        <f>'цены 1 полуг'!C111</f>
        <v>391</v>
      </c>
      <c r="F195" s="44">
        <f>'цены 1 полуг'!D111</f>
        <v>369</v>
      </c>
      <c r="G195" s="44">
        <f>'цены 1 полуг'!E111</f>
        <v>314</v>
      </c>
      <c r="H195" s="44">
        <f>'цены 1 полуг'!F111</f>
        <v>385</v>
      </c>
      <c r="I195" s="44">
        <f>'цены 1 полуг'!G111</f>
        <v>345</v>
      </c>
      <c r="J195" s="44">
        <f>'цены 2 полуг'!M101</f>
        <v>303</v>
      </c>
      <c r="K195" s="44">
        <f>'цены 2 полуг'!N101</f>
        <v>320</v>
      </c>
      <c r="L195" s="44">
        <f>'цены 2 полуг'!O101</f>
        <v>390</v>
      </c>
      <c r="M195" s="44">
        <f>'цены 2 полуг'!P101</f>
        <v>378</v>
      </c>
      <c r="N195" s="44">
        <f>'цены 2 полуг'!Q101</f>
        <v>380</v>
      </c>
      <c r="O195" s="44">
        <f>'цены 2 полуг'!R101</f>
        <v>327</v>
      </c>
    </row>
    <row r="196" spans="1:15" x14ac:dyDescent="0.2">
      <c r="A196" s="38" t="s">
        <v>33</v>
      </c>
      <c r="D196" s="44">
        <f>'цены 1 полуг'!B112</f>
        <v>378</v>
      </c>
      <c r="E196" s="44">
        <f>'цены 1 полуг'!C112</f>
        <v>364</v>
      </c>
      <c r="F196" s="44">
        <f>'цены 1 полуг'!D112</f>
        <v>348</v>
      </c>
      <c r="G196" s="44">
        <f>'цены 1 полуг'!E112</f>
        <v>353</v>
      </c>
      <c r="H196" s="44">
        <f>'цены 1 полуг'!F112</f>
        <v>311</v>
      </c>
      <c r="I196" s="44">
        <f>'цены 1 полуг'!G112</f>
        <v>326</v>
      </c>
      <c r="J196" s="44">
        <f>'цены 2 полуг'!M102</f>
        <v>347</v>
      </c>
      <c r="K196" s="44">
        <f>'цены 2 полуг'!N102</f>
        <v>346</v>
      </c>
      <c r="L196" s="44">
        <f>'цены 2 полуг'!O102</f>
        <v>379</v>
      </c>
      <c r="M196" s="44">
        <f>'цены 2 полуг'!P102</f>
        <v>372</v>
      </c>
      <c r="N196" s="44">
        <f>'цены 2 полуг'!Q102</f>
        <v>388</v>
      </c>
      <c r="O196" s="44">
        <f>'цены 2 полуг'!R102</f>
        <v>364</v>
      </c>
    </row>
    <row r="197" spans="1:15" x14ac:dyDescent="0.2">
      <c r="A197" s="38" t="s">
        <v>34</v>
      </c>
      <c r="D197" s="44">
        <f>'цены 1 полуг'!B113</f>
        <v>383</v>
      </c>
      <c r="E197" s="44">
        <f>'цены 1 полуг'!C113</f>
        <v>316</v>
      </c>
      <c r="F197" s="44">
        <f>'цены 1 полуг'!D113</f>
        <v>318</v>
      </c>
      <c r="G197" s="44">
        <f>'цены 1 полуг'!E113</f>
        <v>391</v>
      </c>
      <c r="H197" s="44">
        <f>'цены 1 полуг'!F113</f>
        <v>371</v>
      </c>
      <c r="I197" s="44">
        <f>'цены 1 полуг'!G113</f>
        <v>337</v>
      </c>
      <c r="J197" s="44">
        <f>'цены 2 полуг'!M103</f>
        <v>310</v>
      </c>
      <c r="K197" s="44">
        <f>'цены 2 полуг'!N103</f>
        <v>378</v>
      </c>
      <c r="L197" s="44">
        <f>'цены 2 полуг'!O103</f>
        <v>307</v>
      </c>
      <c r="M197" s="44">
        <f>'цены 2 полуг'!P103</f>
        <v>335</v>
      </c>
      <c r="N197" s="44">
        <f>'цены 2 полуг'!Q103</f>
        <v>388</v>
      </c>
      <c r="O197" s="44">
        <f>'цены 2 полуг'!R103</f>
        <v>320</v>
      </c>
    </row>
    <row r="198" spans="1:15" x14ac:dyDescent="0.2"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</row>
    <row r="199" spans="1:15" x14ac:dyDescent="0.2">
      <c r="A199" s="3" t="s">
        <v>51</v>
      </c>
      <c r="B199" s="3"/>
      <c r="C199" s="3"/>
      <c r="D199" s="43">
        <f>D395/D3</f>
        <v>236.24119315717999</v>
      </c>
      <c r="E199" s="43">
        <f t="shared" ref="E199:I199" si="126">E395/E3</f>
        <v>237.69016264671291</v>
      </c>
      <c r="F199" s="43">
        <f t="shared" si="126"/>
        <v>230.77250206783506</v>
      </c>
      <c r="G199" s="43">
        <f t="shared" si="126"/>
        <v>222.30599471328222</v>
      </c>
      <c r="H199" s="43">
        <f t="shared" si="126"/>
        <v>240.02939747000568</v>
      </c>
      <c r="I199" s="43">
        <f t="shared" si="126"/>
        <v>242.03296908286649</v>
      </c>
      <c r="J199" s="43">
        <f t="shared" ref="J199:O199" si="127">J395/J3</f>
        <v>220.01590308502222</v>
      </c>
      <c r="K199" s="43">
        <f t="shared" si="127"/>
        <v>221.95587485372545</v>
      </c>
      <c r="L199" s="43">
        <f t="shared" si="127"/>
        <v>238.76213178578266</v>
      </c>
      <c r="M199" s="43">
        <f t="shared" si="127"/>
        <v>234.43931593680347</v>
      </c>
      <c r="N199" s="43">
        <f t="shared" si="127"/>
        <v>236.11735062882204</v>
      </c>
      <c r="O199" s="43">
        <f t="shared" si="127"/>
        <v>226.24647870923479</v>
      </c>
    </row>
    <row r="200" spans="1:15" x14ac:dyDescent="0.2">
      <c r="A200" s="37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</row>
    <row r="201" spans="1:15" x14ac:dyDescent="0.2">
      <c r="A201" s="3" t="s">
        <v>22</v>
      </c>
      <c r="B201" s="3"/>
      <c r="C201" s="3"/>
      <c r="D201" s="43">
        <f>D397/D5</f>
        <v>228.42050414047264</v>
      </c>
      <c r="E201" s="43">
        <f t="shared" ref="E201:I201" si="128">E397/E5</f>
        <v>227.5668165175926</v>
      </c>
      <c r="F201" s="43">
        <f t="shared" si="128"/>
        <v>223.22481980702688</v>
      </c>
      <c r="G201" s="43">
        <f t="shared" si="128"/>
        <v>210.46901400995887</v>
      </c>
      <c r="H201" s="43">
        <f t="shared" si="128"/>
        <v>245.48551499323523</v>
      </c>
      <c r="I201" s="43">
        <f t="shared" si="128"/>
        <v>244.65239484756034</v>
      </c>
      <c r="J201" s="43">
        <f t="shared" ref="J201:O201" si="129">J397/J5</f>
        <v>211.79082820944467</v>
      </c>
      <c r="K201" s="43">
        <f t="shared" si="129"/>
        <v>222.98230012361935</v>
      </c>
      <c r="L201" s="43">
        <f t="shared" si="129"/>
        <v>216.54278419509558</v>
      </c>
      <c r="M201" s="43">
        <f t="shared" si="129"/>
        <v>238.2684726730586</v>
      </c>
      <c r="N201" s="43">
        <f t="shared" si="129"/>
        <v>230.21774264709029</v>
      </c>
      <c r="O201" s="43">
        <f t="shared" si="129"/>
        <v>227.59070757021826</v>
      </c>
    </row>
    <row r="202" spans="1:15" x14ac:dyDescent="0.2">
      <c r="A202" s="4" t="s">
        <v>23</v>
      </c>
      <c r="B202" s="4"/>
      <c r="C202" s="4"/>
      <c r="D202" s="45">
        <f>D398/D6</f>
        <v>241.97360690941815</v>
      </c>
      <c r="E202" s="45">
        <f t="shared" ref="E202:I202" si="130">E398/E6</f>
        <v>221.96329103708476</v>
      </c>
      <c r="F202" s="45">
        <f t="shared" si="130"/>
        <v>247.58422723981744</v>
      </c>
      <c r="G202" s="45">
        <f t="shared" si="130"/>
        <v>199.13503098915876</v>
      </c>
      <c r="H202" s="45">
        <f t="shared" si="130"/>
        <v>266.88765611274437</v>
      </c>
      <c r="I202" s="45">
        <f t="shared" si="130"/>
        <v>228.61542346834773</v>
      </c>
      <c r="J202" s="45">
        <f t="shared" ref="J202:O202" si="131">J398/J6</f>
        <v>220.76426988256642</v>
      </c>
      <c r="K202" s="45">
        <f t="shared" si="131"/>
        <v>216.96031496746963</v>
      </c>
      <c r="L202" s="45">
        <f t="shared" si="131"/>
        <v>190.29070900469927</v>
      </c>
      <c r="M202" s="45">
        <f t="shared" si="131"/>
        <v>232.90034189349507</v>
      </c>
      <c r="N202" s="45">
        <f t="shared" si="131"/>
        <v>241.06257172832392</v>
      </c>
      <c r="O202" s="45">
        <f t="shared" si="131"/>
        <v>235.39119152010085</v>
      </c>
    </row>
    <row r="203" spans="1:15" x14ac:dyDescent="0.2">
      <c r="A203" s="37" t="s">
        <v>24</v>
      </c>
      <c r="D203" s="46">
        <f>D399/D7</f>
        <v>141.23509968721183</v>
      </c>
      <c r="E203" s="46">
        <f t="shared" ref="E203:I203" si="132">E399/E7</f>
        <v>129.88564417318398</v>
      </c>
      <c r="F203" s="46">
        <f t="shared" si="132"/>
        <v>145.69453483706255</v>
      </c>
      <c r="G203" s="46">
        <f t="shared" si="132"/>
        <v>115.10983386408685</v>
      </c>
      <c r="H203" s="46">
        <f t="shared" si="132"/>
        <v>131.11099856264573</v>
      </c>
      <c r="I203" s="46">
        <f t="shared" si="132"/>
        <v>130.50477437123186</v>
      </c>
      <c r="J203" s="46">
        <f t="shared" ref="J203:O203" si="133">J399/J7</f>
        <v>172.7542640241598</v>
      </c>
      <c r="K203" s="46">
        <f t="shared" si="133"/>
        <v>158.94250181219823</v>
      </c>
      <c r="L203" s="46">
        <f t="shared" si="133"/>
        <v>126.73191987546001</v>
      </c>
      <c r="M203" s="46">
        <f t="shared" si="133"/>
        <v>160.05840757302727</v>
      </c>
      <c r="N203" s="46">
        <f t="shared" si="133"/>
        <v>127.80655932282596</v>
      </c>
      <c r="O203" s="46">
        <f t="shared" si="133"/>
        <v>127.74548830022651</v>
      </c>
    </row>
    <row r="204" spans="1:15" x14ac:dyDescent="0.2">
      <c r="A204" s="38" t="s">
        <v>25</v>
      </c>
      <c r="D204" s="44">
        <f>Расходы!E14</f>
        <v>73.687450198377832</v>
      </c>
      <c r="E204" s="44">
        <f>Расходы!F14</f>
        <v>96.479189433201697</v>
      </c>
      <c r="F204" s="44">
        <f>Расходы!G14</f>
        <v>68.053013215724278</v>
      </c>
      <c r="G204" s="44">
        <f>Расходы!H14</f>
        <v>103.5535095344234</v>
      </c>
      <c r="H204" s="44">
        <f>Расходы!I14</f>
        <v>142.55330537438735</v>
      </c>
      <c r="I204" s="44">
        <f>Расходы!J14</f>
        <v>103.99018511080278</v>
      </c>
      <c r="J204" s="44">
        <f>Расходы!K14</f>
        <v>98.324176202391229</v>
      </c>
      <c r="K204" s="44">
        <f>Расходы!L14</f>
        <v>202.16839692694225</v>
      </c>
      <c r="L204" s="44">
        <f>Расходы!M14</f>
        <v>133.82837626586152</v>
      </c>
      <c r="M204" s="44">
        <f>Расходы!N14</f>
        <v>125.52615031052021</v>
      </c>
      <c r="N204" s="44">
        <f>Расходы!O14</f>
        <v>121.55107112212247</v>
      </c>
      <c r="O204" s="44">
        <f>Расходы!P14</f>
        <v>103.99419033587388</v>
      </c>
    </row>
    <row r="205" spans="1:15" x14ac:dyDescent="0.2">
      <c r="A205" s="38" t="s">
        <v>26</v>
      </c>
      <c r="D205" s="44">
        <f>Расходы!E15</f>
        <v>113.76375939878771</v>
      </c>
      <c r="E205" s="44">
        <f>Расходы!F15</f>
        <v>207.5499621746697</v>
      </c>
      <c r="F205" s="44">
        <f>Расходы!G15</f>
        <v>145.77090323160655</v>
      </c>
      <c r="G205" s="44">
        <f>Расходы!H15</f>
        <v>71.269187057498939</v>
      </c>
      <c r="H205" s="44">
        <f>Расходы!I15</f>
        <v>107.83720446898688</v>
      </c>
      <c r="I205" s="44">
        <f>Расходы!J15</f>
        <v>146.08755994178139</v>
      </c>
      <c r="J205" s="44">
        <f>Расходы!K15</f>
        <v>77.642334686813982</v>
      </c>
      <c r="K205" s="44">
        <f>Расходы!L15</f>
        <v>201.09710179192678</v>
      </c>
      <c r="L205" s="44">
        <f>Расходы!M15</f>
        <v>93.040860805455068</v>
      </c>
      <c r="M205" s="44">
        <f>Расходы!N15</f>
        <v>178.52563890119268</v>
      </c>
      <c r="N205" s="44">
        <f>Расходы!O15</f>
        <v>189.41568042252024</v>
      </c>
      <c r="O205" s="44">
        <f>Расходы!P15</f>
        <v>174.32708582016156</v>
      </c>
    </row>
    <row r="206" spans="1:15" x14ac:dyDescent="0.2">
      <c r="A206" s="38" t="s">
        <v>27</v>
      </c>
      <c r="D206" s="44">
        <f>Расходы!E16</f>
        <v>158.97745156158317</v>
      </c>
      <c r="E206" s="44">
        <f>Расходы!F16</f>
        <v>136.04412484982407</v>
      </c>
      <c r="F206" s="44">
        <f>Расходы!G16</f>
        <v>96.337489163781839</v>
      </c>
      <c r="G206" s="44">
        <f>Расходы!H16</f>
        <v>126.77372674687076</v>
      </c>
      <c r="H206" s="44">
        <f>Расходы!I16</f>
        <v>110.30804227423646</v>
      </c>
      <c r="I206" s="44">
        <f>Расходы!J16</f>
        <v>166.15905177294246</v>
      </c>
      <c r="J206" s="44">
        <f>Расходы!K16</f>
        <v>131.00135163662804</v>
      </c>
      <c r="K206" s="44">
        <f>Расходы!L16</f>
        <v>218.93305175279892</v>
      </c>
      <c r="L206" s="44">
        <f>Расходы!M16</f>
        <v>158.91509104950188</v>
      </c>
      <c r="M206" s="44">
        <f>Расходы!N16</f>
        <v>109.72603931911144</v>
      </c>
      <c r="N206" s="44">
        <f>Расходы!O16</f>
        <v>90.082490818633147</v>
      </c>
      <c r="O206" s="44">
        <f>Расходы!P16</f>
        <v>101.05029740489876</v>
      </c>
    </row>
    <row r="207" spans="1:15" x14ac:dyDescent="0.2">
      <c r="A207" s="38" t="s">
        <v>28</v>
      </c>
      <c r="D207" s="44">
        <f>Расходы!E17</f>
        <v>155.74071752507101</v>
      </c>
      <c r="E207" s="44">
        <f>Расходы!F17</f>
        <v>178.35060935293671</v>
      </c>
      <c r="F207" s="44">
        <f>Расходы!G17</f>
        <v>164.67511956030762</v>
      </c>
      <c r="G207" s="44">
        <f>Расходы!H17</f>
        <v>136.72685728460553</v>
      </c>
      <c r="H207" s="44">
        <f>Расходы!I17</f>
        <v>186.01307614553565</v>
      </c>
      <c r="I207" s="44">
        <f>Расходы!J17</f>
        <v>94.705677992610006</v>
      </c>
      <c r="J207" s="44">
        <f>Расходы!K17</f>
        <v>200.8637731206536</v>
      </c>
      <c r="K207" s="44">
        <f>Расходы!L17</f>
        <v>116.97875632267623</v>
      </c>
      <c r="L207" s="44">
        <f>Расходы!M17</f>
        <v>156.91924637836979</v>
      </c>
      <c r="M207" s="44">
        <f>Расходы!N17</f>
        <v>117.63248648251759</v>
      </c>
      <c r="N207" s="44">
        <f>Расходы!O17</f>
        <v>123.22341150877402</v>
      </c>
      <c r="O207" s="44">
        <f>Расходы!P17</f>
        <v>206.23772650585957</v>
      </c>
    </row>
    <row r="208" spans="1:15" x14ac:dyDescent="0.2">
      <c r="A208" s="38" t="s">
        <v>29</v>
      </c>
      <c r="D208" s="44">
        <f>Расходы!E18</f>
        <v>160.15558557765004</v>
      </c>
      <c r="E208" s="44">
        <f>Расходы!F18</f>
        <v>163.15784486195361</v>
      </c>
      <c r="F208" s="44">
        <f>Расходы!G18</f>
        <v>204.79836598155151</v>
      </c>
      <c r="G208" s="44">
        <f>Расходы!H18</f>
        <v>200.77032634928528</v>
      </c>
      <c r="H208" s="44">
        <f>Расходы!I18</f>
        <v>118.04718851969557</v>
      </c>
      <c r="I208" s="44">
        <f>Расходы!J18</f>
        <v>144.23593825206964</v>
      </c>
      <c r="J208" s="44">
        <f>Расходы!K18</f>
        <v>197.35950082724838</v>
      </c>
      <c r="K208" s="44">
        <f>Расходы!L18</f>
        <v>238.4496481159816</v>
      </c>
      <c r="L208" s="44">
        <f>Расходы!M18</f>
        <v>157.12074445275715</v>
      </c>
      <c r="M208" s="44">
        <f>Расходы!N18</f>
        <v>97.938732412033758</v>
      </c>
      <c r="N208" s="44">
        <f>Расходы!O18</f>
        <v>214.69738382125385</v>
      </c>
      <c r="O208" s="44">
        <f>Расходы!P18</f>
        <v>115.2590986979133</v>
      </c>
    </row>
    <row r="209" spans="1:15" x14ac:dyDescent="0.2">
      <c r="A209" s="38" t="s">
        <v>30</v>
      </c>
      <c r="D209" s="44">
        <f>Расходы!E19</f>
        <v>164.14089427995708</v>
      </c>
      <c r="E209" s="44">
        <f>Расходы!F19</f>
        <v>95.730856756199884</v>
      </c>
      <c r="F209" s="44">
        <f>Расходы!G19</f>
        <v>181.95688334220964</v>
      </c>
      <c r="G209" s="44">
        <f>Расходы!H19</f>
        <v>86.898666320954334</v>
      </c>
      <c r="H209" s="44">
        <f>Расходы!I19</f>
        <v>88.794244784581437</v>
      </c>
      <c r="I209" s="44">
        <f>Расходы!J19</f>
        <v>95.290166458521682</v>
      </c>
      <c r="J209" s="44">
        <f>Расходы!K19</f>
        <v>135.05312208916106</v>
      </c>
      <c r="K209" s="44">
        <f>Расходы!L19</f>
        <v>96.741903554167735</v>
      </c>
      <c r="L209" s="44">
        <f>Расходы!M19</f>
        <v>113.02344323985557</v>
      </c>
      <c r="M209" s="44">
        <f>Расходы!N19</f>
        <v>79.407619361836055</v>
      </c>
      <c r="N209" s="44">
        <f>Расходы!O19</f>
        <v>119.13424974776903</v>
      </c>
      <c r="O209" s="44">
        <f>Расходы!P19</f>
        <v>154.55379265580171</v>
      </c>
    </row>
    <row r="210" spans="1:15" x14ac:dyDescent="0.2">
      <c r="A210" s="38" t="s">
        <v>31</v>
      </c>
      <c r="D210" s="44">
        <f>Расходы!E20</f>
        <v>162.0998452518416</v>
      </c>
      <c r="E210" s="44">
        <f>Расходы!F20</f>
        <v>120.17277590735664</v>
      </c>
      <c r="F210" s="44">
        <f>Расходы!G20</f>
        <v>139.56106601574814</v>
      </c>
      <c r="G210" s="44">
        <f>Расходы!H20</f>
        <v>203.5471087850309</v>
      </c>
      <c r="H210" s="44">
        <f>Расходы!I20</f>
        <v>119.55517712534919</v>
      </c>
      <c r="I210" s="44">
        <f>Расходы!J20</f>
        <v>117.75781453286795</v>
      </c>
      <c r="J210" s="44">
        <f>Расходы!K20</f>
        <v>147.0249030070074</v>
      </c>
      <c r="K210" s="44">
        <f>Расходы!L20</f>
        <v>115.81658643996093</v>
      </c>
      <c r="L210" s="44">
        <f>Расходы!M20</f>
        <v>130.16139113339028</v>
      </c>
      <c r="M210" s="44">
        <f>Расходы!N20</f>
        <v>136.878620259987</v>
      </c>
      <c r="N210" s="44">
        <f>Расходы!O20</f>
        <v>99.149187808460113</v>
      </c>
      <c r="O210" s="44">
        <f>Расходы!P20</f>
        <v>115.62319495104005</v>
      </c>
    </row>
    <row r="211" spans="1:15" x14ac:dyDescent="0.2">
      <c r="A211" s="38" t="s">
        <v>32</v>
      </c>
      <c r="D211" s="44">
        <f>Расходы!E21</f>
        <v>150.83837388407829</v>
      </c>
      <c r="E211" s="44">
        <f>Расходы!F21</f>
        <v>120.31676632202765</v>
      </c>
      <c r="F211" s="44">
        <f>Расходы!G21</f>
        <v>159.67742354276521</v>
      </c>
      <c r="G211" s="44">
        <f>Расходы!H21</f>
        <v>70.829998891351636</v>
      </c>
      <c r="H211" s="44">
        <f>Расходы!I21</f>
        <v>144.88447058268764</v>
      </c>
      <c r="I211" s="44">
        <f>Расходы!J21</f>
        <v>193.27452742182237</v>
      </c>
      <c r="J211" s="44">
        <f>Расходы!K21</f>
        <v>121.0712432370169</v>
      </c>
      <c r="K211" s="44">
        <f>Расходы!L21</f>
        <v>122.5420559286288</v>
      </c>
      <c r="L211" s="44">
        <f>Расходы!M21</f>
        <v>80.615686315900902</v>
      </c>
      <c r="M211" s="44">
        <f>Расходы!N21</f>
        <v>168.81612901278956</v>
      </c>
      <c r="N211" s="44">
        <f>Расходы!O21</f>
        <v>105.31913437685604</v>
      </c>
      <c r="O211" s="44">
        <f>Расходы!P21</f>
        <v>152.85990573312463</v>
      </c>
    </row>
    <row r="212" spans="1:15" x14ac:dyDescent="0.2">
      <c r="A212" s="38" t="s">
        <v>33</v>
      </c>
      <c r="D212" s="44">
        <f>Расходы!E22</f>
        <v>105.4864939824939</v>
      </c>
      <c r="E212" s="44">
        <f>Расходы!F22</f>
        <v>108.08927897316433</v>
      </c>
      <c r="F212" s="44">
        <f>Расходы!G22</f>
        <v>73.041404838470356</v>
      </c>
      <c r="G212" s="44">
        <f>Расходы!H22</f>
        <v>103.92510881835288</v>
      </c>
      <c r="H212" s="44">
        <f>Расходы!I22</f>
        <v>160.55823960195218</v>
      </c>
      <c r="I212" s="44">
        <f>Расходы!J22</f>
        <v>132.3769091000965</v>
      </c>
      <c r="J212" s="44">
        <f>Расходы!K22</f>
        <v>135.13361736119282</v>
      </c>
      <c r="K212" s="44">
        <f>Расходы!L22</f>
        <v>110.33457802380219</v>
      </c>
      <c r="L212" s="44">
        <f>Расходы!M22</f>
        <v>124.14470391222763</v>
      </c>
      <c r="M212" s="44">
        <f>Расходы!N22</f>
        <v>220.68534021811718</v>
      </c>
      <c r="N212" s="44">
        <f>Расходы!O22</f>
        <v>177.64252087372364</v>
      </c>
      <c r="O212" s="44">
        <f>Расходы!P22</f>
        <v>161.51689070093693</v>
      </c>
    </row>
    <row r="213" spans="1:15" x14ac:dyDescent="0.2">
      <c r="A213" s="38" t="s">
        <v>34</v>
      </c>
      <c r="D213" s="44">
        <f>Расходы!E23</f>
        <v>174.8675141284541</v>
      </c>
      <c r="E213" s="44">
        <f>Расходы!F23</f>
        <v>175.65336527410412</v>
      </c>
      <c r="F213" s="44">
        <f>Расходы!G23</f>
        <v>68.705117825926763</v>
      </c>
      <c r="G213" s="44">
        <f>Расходы!H23</f>
        <v>135.47935541641735</v>
      </c>
      <c r="H213" s="44">
        <f>Расходы!I23</f>
        <v>157.90157147776597</v>
      </c>
      <c r="I213" s="44">
        <f>Расходы!J23</f>
        <v>81.245844720983754</v>
      </c>
      <c r="J213" s="44">
        <f>Расходы!K23</f>
        <v>215.42401803970401</v>
      </c>
      <c r="K213" s="44">
        <f>Расходы!L23</f>
        <v>142.92339501876702</v>
      </c>
      <c r="L213" s="44">
        <f>Расходы!M23</f>
        <v>128.87380282933617</v>
      </c>
      <c r="M213" s="44">
        <f>Расходы!N23</f>
        <v>187.46531404965501</v>
      </c>
      <c r="N213" s="44">
        <f>Расходы!O23</f>
        <v>98.222373280715487</v>
      </c>
      <c r="O213" s="44">
        <f>Расходы!P23</f>
        <v>211.44160254400978</v>
      </c>
    </row>
    <row r="214" spans="1:15" x14ac:dyDescent="0.2">
      <c r="A214" s="37" t="s">
        <v>35</v>
      </c>
      <c r="D214" s="46">
        <f>D410/D18</f>
        <v>313.7792872976018</v>
      </c>
      <c r="E214" s="46">
        <f t="shared" ref="E214:I214" si="134">E410/E18</f>
        <v>311.24546761587879</v>
      </c>
      <c r="F214" s="46">
        <f t="shared" si="134"/>
        <v>326.31978912287514</v>
      </c>
      <c r="G214" s="46">
        <f t="shared" si="134"/>
        <v>330.9550721467545</v>
      </c>
      <c r="H214" s="46">
        <f t="shared" si="134"/>
        <v>368.37533075044757</v>
      </c>
      <c r="I214" s="46">
        <f t="shared" si="134"/>
        <v>376.08439459389166</v>
      </c>
      <c r="J214" s="46">
        <f t="shared" ref="J214:O214" si="135">J410/J18</f>
        <v>291.34580596755342</v>
      </c>
      <c r="K214" s="46">
        <f t="shared" si="135"/>
        <v>267.70910167158729</v>
      </c>
      <c r="L214" s="46">
        <f t="shared" si="135"/>
        <v>304.36758114223983</v>
      </c>
      <c r="M214" s="46">
        <f t="shared" si="135"/>
        <v>322.81751319226692</v>
      </c>
      <c r="N214" s="46">
        <f t="shared" si="135"/>
        <v>324.19266461351913</v>
      </c>
      <c r="O214" s="46">
        <f t="shared" si="135"/>
        <v>350.34520794527532</v>
      </c>
    </row>
    <row r="215" spans="1:15" x14ac:dyDescent="0.2">
      <c r="A215" s="38" t="s">
        <v>25</v>
      </c>
      <c r="D215" s="44">
        <f>Расходы!E25</f>
        <v>318.04235669583397</v>
      </c>
      <c r="E215" s="44">
        <f>Расходы!F25</f>
        <v>194.28134070767018</v>
      </c>
      <c r="F215" s="44">
        <f>Расходы!G25</f>
        <v>292.2877583068564</v>
      </c>
      <c r="G215" s="44">
        <f>Расходы!H25</f>
        <v>338.40308933391765</v>
      </c>
      <c r="H215" s="44">
        <f>Расходы!I25</f>
        <v>308.02895014823423</v>
      </c>
      <c r="I215" s="44">
        <f>Расходы!J25</f>
        <v>343.80430776715576</v>
      </c>
      <c r="J215" s="44">
        <f>Расходы!K25</f>
        <v>308.95030002309414</v>
      </c>
      <c r="K215" s="44">
        <f>Расходы!L25</f>
        <v>245.8865367330028</v>
      </c>
      <c r="L215" s="44">
        <f>Расходы!M25</f>
        <v>242.714754859328</v>
      </c>
      <c r="M215" s="44">
        <f>Расходы!N25</f>
        <v>364.2034011435581</v>
      </c>
      <c r="N215" s="44">
        <f>Расходы!O25</f>
        <v>330.42763022801887</v>
      </c>
      <c r="O215" s="44">
        <f>Расходы!P25</f>
        <v>324.46536919948943</v>
      </c>
    </row>
    <row r="216" spans="1:15" x14ac:dyDescent="0.2">
      <c r="A216" s="38" t="s">
        <v>26</v>
      </c>
      <c r="D216" s="44">
        <f>Расходы!E26</f>
        <v>349.11580168831983</v>
      </c>
      <c r="E216" s="44">
        <f>Расходы!F26</f>
        <v>422.37055118063404</v>
      </c>
      <c r="F216" s="44">
        <f>Расходы!G26</f>
        <v>261.5146649256846</v>
      </c>
      <c r="G216" s="44">
        <f>Расходы!H26</f>
        <v>368.00175093842034</v>
      </c>
      <c r="H216" s="44">
        <f>Расходы!I26</f>
        <v>190.91689534546151</v>
      </c>
      <c r="I216" s="44">
        <f>Расходы!J26</f>
        <v>329.23245469116932</v>
      </c>
      <c r="J216" s="44">
        <f>Расходы!K26</f>
        <v>293.62120509631438</v>
      </c>
      <c r="K216" s="44">
        <f>Расходы!L26</f>
        <v>220.23785209867464</v>
      </c>
      <c r="L216" s="44">
        <f>Расходы!M26</f>
        <v>291.26588021923772</v>
      </c>
      <c r="M216" s="44">
        <f>Расходы!N26</f>
        <v>322.80877874378069</v>
      </c>
      <c r="N216" s="44">
        <f>Расходы!O26</f>
        <v>468.05381809633269</v>
      </c>
      <c r="O216" s="44">
        <f>Расходы!P26</f>
        <v>384.59303834991175</v>
      </c>
    </row>
    <row r="217" spans="1:15" x14ac:dyDescent="0.2">
      <c r="A217" s="38" t="s">
        <v>27</v>
      </c>
      <c r="D217" s="44">
        <f>Расходы!E27</f>
        <v>385.25811179516609</v>
      </c>
      <c r="E217" s="44">
        <f>Расходы!F27</f>
        <v>289.44900055365224</v>
      </c>
      <c r="F217" s="44">
        <f>Расходы!G27</f>
        <v>247.74054961263525</v>
      </c>
      <c r="G217" s="44">
        <f>Расходы!H27</f>
        <v>356.77754078969258</v>
      </c>
      <c r="H217" s="44">
        <f>Расходы!I27</f>
        <v>345.66586899297778</v>
      </c>
      <c r="I217" s="44">
        <f>Расходы!J27</f>
        <v>487.31144677217554</v>
      </c>
      <c r="J217" s="44">
        <f>Расходы!K27</f>
        <v>237.5291063187874</v>
      </c>
      <c r="K217" s="44">
        <f>Расходы!L27</f>
        <v>228.23599878629332</v>
      </c>
      <c r="L217" s="44">
        <f>Расходы!M27</f>
        <v>437.0043696726238</v>
      </c>
      <c r="M217" s="44">
        <f>Расходы!N27</f>
        <v>313.49308179383826</v>
      </c>
      <c r="N217" s="44">
        <f>Расходы!O27</f>
        <v>305.16538552623854</v>
      </c>
      <c r="O217" s="44">
        <f>Расходы!P27</f>
        <v>337.74910624591513</v>
      </c>
    </row>
    <row r="218" spans="1:15" x14ac:dyDescent="0.2">
      <c r="A218" s="38" t="s">
        <v>28</v>
      </c>
      <c r="D218" s="44">
        <f>Расходы!E28</f>
        <v>454.1005677901411</v>
      </c>
      <c r="E218" s="44">
        <f>Расходы!F28</f>
        <v>334.66835574614151</v>
      </c>
      <c r="F218" s="44">
        <f>Расходы!G28</f>
        <v>431.68524894220837</v>
      </c>
      <c r="G218" s="44">
        <f>Расходы!H28</f>
        <v>388.81170216745335</v>
      </c>
      <c r="H218" s="44">
        <f>Расходы!I28</f>
        <v>503.37686180758186</v>
      </c>
      <c r="I218" s="44">
        <f>Расходы!J28</f>
        <v>241.40187526947122</v>
      </c>
      <c r="J218" s="44">
        <f>Расходы!K28</f>
        <v>276.91418127466261</v>
      </c>
      <c r="K218" s="44">
        <f>Расходы!L28</f>
        <v>273.32947692469764</v>
      </c>
      <c r="L218" s="44">
        <f>Расходы!M28</f>
        <v>253.51119126240198</v>
      </c>
      <c r="M218" s="44">
        <f>Расходы!N28</f>
        <v>401.79118555318695</v>
      </c>
      <c r="N218" s="44">
        <f>Расходы!O28</f>
        <v>384.87515963037242</v>
      </c>
      <c r="O218" s="44">
        <f>Расходы!P28</f>
        <v>204.66063575265244</v>
      </c>
    </row>
    <row r="219" spans="1:15" x14ac:dyDescent="0.2">
      <c r="A219" s="38" t="s">
        <v>29</v>
      </c>
      <c r="D219" s="44">
        <f>Расходы!E29</f>
        <v>213.2344002567097</v>
      </c>
      <c r="E219" s="44">
        <f>Расходы!F29</f>
        <v>428.0371362916635</v>
      </c>
      <c r="F219" s="44">
        <f>Расходы!G29</f>
        <v>465.25804820342262</v>
      </c>
      <c r="G219" s="44">
        <f>Расходы!H29</f>
        <v>236.45591321410251</v>
      </c>
      <c r="H219" s="44">
        <f>Расходы!I29</f>
        <v>445.18788650942179</v>
      </c>
      <c r="I219" s="44">
        <f>Расходы!J29</f>
        <v>244.10273365906227</v>
      </c>
      <c r="J219" s="44">
        <f>Расходы!K29</f>
        <v>441.08361965650158</v>
      </c>
      <c r="K219" s="44">
        <f>Расходы!L29</f>
        <v>188.30985430871777</v>
      </c>
      <c r="L219" s="44">
        <f>Расходы!M29</f>
        <v>289.66559589768053</v>
      </c>
      <c r="M219" s="44">
        <f>Расходы!N29</f>
        <v>344.090246428667</v>
      </c>
      <c r="N219" s="44">
        <f>Расходы!O29</f>
        <v>212.38751766053727</v>
      </c>
      <c r="O219" s="44">
        <f>Расходы!P29</f>
        <v>425.70260337848833</v>
      </c>
    </row>
    <row r="220" spans="1:15" x14ac:dyDescent="0.2">
      <c r="A220" s="38" t="s">
        <v>30</v>
      </c>
      <c r="D220" s="44">
        <f>Расходы!E30</f>
        <v>210.06078550195735</v>
      </c>
      <c r="E220" s="44">
        <f>Расходы!F30</f>
        <v>356.48581728873404</v>
      </c>
      <c r="F220" s="44">
        <f>Расходы!G30</f>
        <v>377.18257654746873</v>
      </c>
      <c r="G220" s="44">
        <f>Расходы!H30</f>
        <v>339.09654651450205</v>
      </c>
      <c r="H220" s="44">
        <f>Расходы!I30</f>
        <v>340.87676275073517</v>
      </c>
      <c r="I220" s="44">
        <f>Расходы!J30</f>
        <v>342.60847271630973</v>
      </c>
      <c r="J220" s="44">
        <f>Расходы!K30</f>
        <v>218.37070570011988</v>
      </c>
      <c r="K220" s="44">
        <f>Расходы!L30</f>
        <v>434.78276349038157</v>
      </c>
      <c r="L220" s="44">
        <f>Расходы!M30</f>
        <v>431.20240752119355</v>
      </c>
      <c r="M220" s="44">
        <f>Расходы!N30</f>
        <v>246.59350596186673</v>
      </c>
      <c r="N220" s="44">
        <f>Расходы!O30</f>
        <v>307.54742986033432</v>
      </c>
      <c r="O220" s="44">
        <f>Расходы!P30</f>
        <v>383.79566735242736</v>
      </c>
    </row>
    <row r="221" spans="1:15" x14ac:dyDescent="0.2">
      <c r="A221" s="38" t="s">
        <v>31</v>
      </c>
      <c r="D221" s="44">
        <f>Расходы!E31</f>
        <v>310.7873926230593</v>
      </c>
      <c r="E221" s="44">
        <f>Расходы!F31</f>
        <v>339.21064016930984</v>
      </c>
      <c r="F221" s="44">
        <f>Расходы!G31</f>
        <v>254.52620330025582</v>
      </c>
      <c r="G221" s="44">
        <f>Расходы!H31</f>
        <v>219.61278004745864</v>
      </c>
      <c r="H221" s="44">
        <f>Расходы!I31</f>
        <v>377.19851538108469</v>
      </c>
      <c r="I221" s="44">
        <f>Расходы!J31</f>
        <v>321.3858774727957</v>
      </c>
      <c r="J221" s="44">
        <f>Расходы!K31</f>
        <v>379.36660641435805</v>
      </c>
      <c r="K221" s="44">
        <f>Расходы!L31</f>
        <v>210.91471995612073</v>
      </c>
      <c r="L221" s="44">
        <f>Расходы!M31</f>
        <v>379.66179620351215</v>
      </c>
      <c r="M221" s="44">
        <f>Расходы!N31</f>
        <v>435.45123150377538</v>
      </c>
      <c r="N221" s="44">
        <f>Расходы!O31</f>
        <v>259.49137734872471</v>
      </c>
      <c r="O221" s="44">
        <f>Расходы!P31</f>
        <v>406.29160276145552</v>
      </c>
    </row>
    <row r="222" spans="1:15" x14ac:dyDescent="0.2">
      <c r="A222" s="38" t="s">
        <v>32</v>
      </c>
      <c r="D222" s="44">
        <f>Расходы!E32</f>
        <v>417.09950374504615</v>
      </c>
      <c r="E222" s="44">
        <f>Расходы!F32</f>
        <v>269.19260162213766</v>
      </c>
      <c r="F222" s="44">
        <f>Расходы!G32</f>
        <v>448.63305558821077</v>
      </c>
      <c r="G222" s="44">
        <f>Расходы!H32</f>
        <v>304.83838071789592</v>
      </c>
      <c r="H222" s="44">
        <f>Расходы!I32</f>
        <v>451.70716916915643</v>
      </c>
      <c r="I222" s="44">
        <f>Расходы!J32</f>
        <v>407.32090257358266</v>
      </c>
      <c r="J222" s="44">
        <f>Расходы!K32</f>
        <v>295.29847271657263</v>
      </c>
      <c r="K222" s="44">
        <f>Расходы!L32</f>
        <v>351.74157798798319</v>
      </c>
      <c r="L222" s="44">
        <f>Расходы!M32</f>
        <v>298.32095841394022</v>
      </c>
      <c r="M222" s="44">
        <f>Расходы!N32</f>
        <v>346.14130110322054</v>
      </c>
      <c r="N222" s="44">
        <f>Расходы!O32</f>
        <v>260.6040050598815</v>
      </c>
      <c r="O222" s="44">
        <f>Расходы!P32</f>
        <v>243.15837905823395</v>
      </c>
    </row>
    <row r="223" spans="1:15" x14ac:dyDescent="0.2">
      <c r="A223" s="38" t="s">
        <v>33</v>
      </c>
      <c r="D223" s="44">
        <f>Расходы!E33</f>
        <v>437.27158175282671</v>
      </c>
      <c r="E223" s="44">
        <f>Расходы!F33</f>
        <v>289.64618123362902</v>
      </c>
      <c r="F223" s="44">
        <f>Расходы!G33</f>
        <v>269.85249922549912</v>
      </c>
      <c r="G223" s="44">
        <f>Расходы!H33</f>
        <v>393.13713179506004</v>
      </c>
      <c r="H223" s="44">
        <f>Расходы!I33</f>
        <v>338.36745772488575</v>
      </c>
      <c r="I223" s="44">
        <f>Расходы!J33</f>
        <v>458.445327096482</v>
      </c>
      <c r="J223" s="44">
        <f>Расходы!K33</f>
        <v>200.47071338397848</v>
      </c>
      <c r="K223" s="44">
        <f>Расходы!L33</f>
        <v>260.58486018515447</v>
      </c>
      <c r="L223" s="44">
        <f>Расходы!M33</f>
        <v>188.71336234671102</v>
      </c>
      <c r="M223" s="44">
        <f>Расходы!N33</f>
        <v>228.23642111856373</v>
      </c>
      <c r="N223" s="44">
        <f>Расходы!O33</f>
        <v>363.8113799854969</v>
      </c>
      <c r="O223" s="44">
        <f>Расходы!P33</f>
        <v>363.78905852168668</v>
      </c>
    </row>
    <row r="224" spans="1:15" x14ac:dyDescent="0.2">
      <c r="A224" s="38" t="s">
        <v>34</v>
      </c>
      <c r="D224" s="44">
        <f>Расходы!E34</f>
        <v>283.64790842112814</v>
      </c>
      <c r="E224" s="44">
        <f>Расходы!F34</f>
        <v>419.55597123507511</v>
      </c>
      <c r="F224" s="44">
        <f>Расходы!G34</f>
        <v>301.71083169501475</v>
      </c>
      <c r="G224" s="44">
        <f>Расходы!H34</f>
        <v>364.81954777299131</v>
      </c>
      <c r="H224" s="44">
        <f>Расходы!I34</f>
        <v>355.84040263965767</v>
      </c>
      <c r="I224" s="44">
        <f>Расходы!J34</f>
        <v>487.00844374116258</v>
      </c>
      <c r="J224" s="44">
        <f>Расходы!K34</f>
        <v>361.48352909093126</v>
      </c>
      <c r="K224" s="44">
        <f>Расходы!L34</f>
        <v>273.8984331060804</v>
      </c>
      <c r="L224" s="44">
        <f>Расходы!M34</f>
        <v>385.27589279434994</v>
      </c>
      <c r="M224" s="44">
        <f>Расходы!N34</f>
        <v>381.41199805554066</v>
      </c>
      <c r="N224" s="44">
        <f>Расходы!O34</f>
        <v>408.98231844609467</v>
      </c>
      <c r="O224" s="44">
        <f>Расходы!P34</f>
        <v>344.47201896982222</v>
      </c>
    </row>
    <row r="225" spans="1:15" x14ac:dyDescent="0.2">
      <c r="A225" s="4" t="s">
        <v>36</v>
      </c>
      <c r="B225" s="4"/>
      <c r="C225" s="4"/>
      <c r="D225" s="45">
        <f>D421/D29</f>
        <v>209.73242347916036</v>
      </c>
      <c r="E225" s="45">
        <f t="shared" ref="E225:I225" si="136">E421/E29</f>
        <v>232.26708557072746</v>
      </c>
      <c r="F225" s="45">
        <f t="shared" si="136"/>
        <v>195.72886181763073</v>
      </c>
      <c r="G225" s="45">
        <f t="shared" si="136"/>
        <v>224.40329129621068</v>
      </c>
      <c r="H225" s="45">
        <f t="shared" si="136"/>
        <v>230.37797039786344</v>
      </c>
      <c r="I225" s="45">
        <f t="shared" si="136"/>
        <v>261.05725816708497</v>
      </c>
      <c r="J225" s="45">
        <f t="shared" ref="J225:O225" si="137">J421/J29</f>
        <v>200.31233829244681</v>
      </c>
      <c r="K225" s="45">
        <f t="shared" si="137"/>
        <v>228.63627496563328</v>
      </c>
      <c r="L225" s="45">
        <f t="shared" si="137"/>
        <v>250.9780220521593</v>
      </c>
      <c r="M225" s="45">
        <f t="shared" si="137"/>
        <v>246.58817188823153</v>
      </c>
      <c r="N225" s="45">
        <f t="shared" si="137"/>
        <v>221.12493725463571</v>
      </c>
      <c r="O225" s="45">
        <f t="shared" si="137"/>
        <v>219.46148210432614</v>
      </c>
    </row>
    <row r="226" spans="1:15" x14ac:dyDescent="0.2">
      <c r="A226" s="37" t="s">
        <v>24</v>
      </c>
      <c r="D226" s="46">
        <f>D422/D30</f>
        <v>125.27713212404542</v>
      </c>
      <c r="E226" s="46">
        <f t="shared" ref="E226:I226" si="138">E422/E30</f>
        <v>122.59281807802303</v>
      </c>
      <c r="F226" s="46">
        <f t="shared" si="138"/>
        <v>120.6654983385618</v>
      </c>
      <c r="G226" s="46">
        <f t="shared" si="138"/>
        <v>148.3219770181438</v>
      </c>
      <c r="H226" s="46">
        <f t="shared" si="138"/>
        <v>142.26585059541819</v>
      </c>
      <c r="I226" s="46">
        <f t="shared" si="138"/>
        <v>174.08743536272803</v>
      </c>
      <c r="J226" s="46">
        <f t="shared" ref="J226:O226" si="139">J422/J30</f>
        <v>134.75259727670579</v>
      </c>
      <c r="K226" s="46">
        <f t="shared" si="139"/>
        <v>132.20692281041809</v>
      </c>
      <c r="L226" s="46">
        <f t="shared" si="139"/>
        <v>117.20902143021506</v>
      </c>
      <c r="M226" s="46">
        <f t="shared" si="139"/>
        <v>163.79421144559078</v>
      </c>
      <c r="N226" s="46">
        <f t="shared" si="139"/>
        <v>138.14354720161575</v>
      </c>
      <c r="O226" s="46">
        <f t="shared" si="139"/>
        <v>123.25217679194867</v>
      </c>
    </row>
    <row r="227" spans="1:15" x14ac:dyDescent="0.2">
      <c r="A227" s="38" t="s">
        <v>25</v>
      </c>
      <c r="D227" s="44">
        <f>Расходы!E37</f>
        <v>184.16612220762664</v>
      </c>
      <c r="E227" s="44">
        <f>Расходы!F37</f>
        <v>122.03036086155693</v>
      </c>
      <c r="F227" s="44">
        <f>Расходы!G37</f>
        <v>84.722493590367193</v>
      </c>
      <c r="G227" s="44">
        <f>Расходы!H37</f>
        <v>211.27502891361777</v>
      </c>
      <c r="H227" s="44">
        <f>Расходы!I37</f>
        <v>156.20407698564381</v>
      </c>
      <c r="I227" s="44">
        <f>Расходы!J37</f>
        <v>170.26837561779922</v>
      </c>
      <c r="J227" s="44">
        <f>Расходы!K37</f>
        <v>144.9668395104577</v>
      </c>
      <c r="K227" s="44">
        <f>Расходы!L37</f>
        <v>82.985004644926761</v>
      </c>
      <c r="L227" s="44">
        <f>Расходы!M37</f>
        <v>116.62329052839787</v>
      </c>
      <c r="M227" s="44">
        <f>Расходы!N37</f>
        <v>78.533896900996709</v>
      </c>
      <c r="N227" s="44">
        <f>Расходы!O37</f>
        <v>125.91311257548071</v>
      </c>
      <c r="O227" s="44">
        <f>Расходы!P37</f>
        <v>99.407261868529773</v>
      </c>
    </row>
    <row r="228" spans="1:15" x14ac:dyDescent="0.2">
      <c r="A228" s="38" t="s">
        <v>26</v>
      </c>
      <c r="D228" s="44">
        <f>Расходы!E38</f>
        <v>164.33683652209609</v>
      </c>
      <c r="E228" s="44">
        <f>Расходы!F38</f>
        <v>116.19354656350289</v>
      </c>
      <c r="F228" s="44">
        <f>Расходы!G38</f>
        <v>150.03469525651272</v>
      </c>
      <c r="G228" s="44">
        <f>Расходы!H38</f>
        <v>87.884075979253041</v>
      </c>
      <c r="H228" s="44">
        <f>Расходы!I38</f>
        <v>181.20592983577612</v>
      </c>
      <c r="I228" s="44">
        <f>Расходы!J38</f>
        <v>143.44435739000002</v>
      </c>
      <c r="J228" s="44">
        <f>Расходы!K38</f>
        <v>159.22874933415869</v>
      </c>
      <c r="K228" s="44">
        <f>Расходы!L38</f>
        <v>120.54979106818902</v>
      </c>
      <c r="L228" s="44">
        <f>Расходы!M38</f>
        <v>220.02778433065473</v>
      </c>
      <c r="M228" s="44">
        <f>Расходы!N38</f>
        <v>198.50371091252643</v>
      </c>
      <c r="N228" s="44">
        <f>Расходы!O38</f>
        <v>122.97078344500783</v>
      </c>
      <c r="O228" s="44">
        <f>Расходы!P38</f>
        <v>168.85938203260841</v>
      </c>
    </row>
    <row r="229" spans="1:15" x14ac:dyDescent="0.2">
      <c r="A229" s="38" t="s">
        <v>27</v>
      </c>
      <c r="D229" s="44">
        <f>Расходы!E39</f>
        <v>75.629035647464733</v>
      </c>
      <c r="E229" s="44">
        <f>Расходы!F39</f>
        <v>128.88708050411154</v>
      </c>
      <c r="F229" s="44">
        <f>Расходы!G39</f>
        <v>80.538868690896209</v>
      </c>
      <c r="G229" s="44">
        <f>Расходы!H39</f>
        <v>88.606196625447524</v>
      </c>
      <c r="H229" s="44">
        <f>Расходы!I39</f>
        <v>91.837729262688597</v>
      </c>
      <c r="I229" s="44">
        <f>Расходы!J39</f>
        <v>235.04845825688648</v>
      </c>
      <c r="J229" s="44">
        <f>Расходы!K39</f>
        <v>118.82072476201532</v>
      </c>
      <c r="K229" s="44">
        <f>Расходы!L39</f>
        <v>226.19385455932016</v>
      </c>
      <c r="L229" s="44">
        <f>Расходы!M39</f>
        <v>116.71605266104571</v>
      </c>
      <c r="M229" s="44">
        <f>Расходы!N39</f>
        <v>142.56227952270183</v>
      </c>
      <c r="N229" s="44">
        <f>Расходы!O39</f>
        <v>134.83120508273473</v>
      </c>
      <c r="O229" s="44">
        <f>Расходы!P39</f>
        <v>88.520553864659206</v>
      </c>
    </row>
    <row r="230" spans="1:15" x14ac:dyDescent="0.2">
      <c r="A230" s="38" t="s">
        <v>28</v>
      </c>
      <c r="D230" s="44">
        <f>Расходы!E40</f>
        <v>88.728991425102521</v>
      </c>
      <c r="E230" s="44">
        <f>Расходы!F40</f>
        <v>98.526548621524071</v>
      </c>
      <c r="F230" s="44">
        <f>Расходы!G40</f>
        <v>144.38917310462116</v>
      </c>
      <c r="G230" s="44">
        <f>Расходы!H40</f>
        <v>199.85067462959802</v>
      </c>
      <c r="H230" s="44">
        <f>Расходы!I40</f>
        <v>111.96822541283944</v>
      </c>
      <c r="I230" s="44">
        <f>Расходы!J40</f>
        <v>165.11170870809681</v>
      </c>
      <c r="J230" s="44">
        <f>Расходы!K40</f>
        <v>131.03599213791094</v>
      </c>
      <c r="K230" s="44">
        <f>Расходы!L40</f>
        <v>114.00599404920358</v>
      </c>
      <c r="L230" s="44">
        <f>Расходы!M40</f>
        <v>124.00131525591176</v>
      </c>
      <c r="M230" s="44">
        <f>Расходы!N40</f>
        <v>115.56181314719008</v>
      </c>
      <c r="N230" s="44">
        <f>Расходы!O40</f>
        <v>126.14651405272542</v>
      </c>
      <c r="O230" s="44">
        <f>Расходы!P40</f>
        <v>158.87787137174018</v>
      </c>
    </row>
    <row r="231" spans="1:15" x14ac:dyDescent="0.2">
      <c r="A231" s="38" t="s">
        <v>29</v>
      </c>
      <c r="D231" s="44">
        <f>Расходы!E41</f>
        <v>91.008058469414053</v>
      </c>
      <c r="E231" s="44">
        <f>Расходы!F41</f>
        <v>131.06764265893474</v>
      </c>
      <c r="F231" s="44">
        <f>Расходы!G41</f>
        <v>89.618346898621638</v>
      </c>
      <c r="G231" s="44">
        <f>Расходы!H41</f>
        <v>75.117436499376012</v>
      </c>
      <c r="H231" s="44">
        <f>Расходы!I41</f>
        <v>148.03825087416399</v>
      </c>
      <c r="I231" s="44">
        <f>Расходы!J41</f>
        <v>106.07047289267723</v>
      </c>
      <c r="J231" s="44">
        <f>Расходы!K41</f>
        <v>107.0950696187645</v>
      </c>
      <c r="K231" s="44">
        <f>Расходы!L41</f>
        <v>162.9278936011435</v>
      </c>
      <c r="L231" s="44">
        <f>Расходы!M41</f>
        <v>79.348442889711478</v>
      </c>
      <c r="M231" s="44">
        <f>Расходы!N41</f>
        <v>192.84123773915601</v>
      </c>
      <c r="N231" s="44">
        <f>Расходы!O41</f>
        <v>166.53019631419752</v>
      </c>
      <c r="O231" s="44">
        <f>Расходы!P41</f>
        <v>67.641890711942196</v>
      </c>
    </row>
    <row r="232" spans="1:15" x14ac:dyDescent="0.2">
      <c r="A232" s="38" t="s">
        <v>30</v>
      </c>
      <c r="D232" s="44">
        <f>Расходы!E42</f>
        <v>134.05349942520689</v>
      </c>
      <c r="E232" s="44">
        <f>Расходы!F42</f>
        <v>135.80403670892792</v>
      </c>
      <c r="F232" s="44">
        <f>Расходы!G42</f>
        <v>134.53013890463185</v>
      </c>
      <c r="G232" s="44">
        <f>Расходы!H42</f>
        <v>84.635586101311333</v>
      </c>
      <c r="H232" s="44">
        <f>Расходы!I42</f>
        <v>124.42486794866235</v>
      </c>
      <c r="I232" s="44">
        <f>Расходы!J42</f>
        <v>197.58152957958089</v>
      </c>
      <c r="J232" s="44">
        <f>Расходы!K42</f>
        <v>71.527286814399574</v>
      </c>
      <c r="K232" s="44">
        <f>Расходы!L42</f>
        <v>88.368090633714061</v>
      </c>
      <c r="L232" s="44">
        <f>Расходы!M42</f>
        <v>149.25693385769853</v>
      </c>
      <c r="M232" s="44">
        <f>Расходы!N42</f>
        <v>207.94648845573607</v>
      </c>
      <c r="N232" s="44">
        <f>Расходы!O42</f>
        <v>126.06781734390215</v>
      </c>
      <c r="O232" s="44">
        <f>Расходы!P42</f>
        <v>100.04975425629172</v>
      </c>
    </row>
    <row r="233" spans="1:15" x14ac:dyDescent="0.2">
      <c r="A233" s="38" t="s">
        <v>31</v>
      </c>
      <c r="D233" s="44">
        <f>Расходы!E43</f>
        <v>103.82093925012433</v>
      </c>
      <c r="E233" s="44">
        <f>Расходы!F43</f>
        <v>158.70384093315442</v>
      </c>
      <c r="F233" s="44">
        <f>Расходы!G43</f>
        <v>143.88851672311367</v>
      </c>
      <c r="G233" s="44">
        <f>Расходы!H43</f>
        <v>134.03356792694086</v>
      </c>
      <c r="H233" s="44">
        <f>Расходы!I43</f>
        <v>143.42611298322916</v>
      </c>
      <c r="I233" s="44">
        <f>Расходы!J43</f>
        <v>121.36934364965444</v>
      </c>
      <c r="J233" s="44">
        <f>Расходы!K43</f>
        <v>203.91215850727525</v>
      </c>
      <c r="K233" s="44">
        <f>Расходы!L43</f>
        <v>97.830053153534138</v>
      </c>
      <c r="L233" s="44">
        <f>Расходы!M43</f>
        <v>140.62657928245554</v>
      </c>
      <c r="M233" s="44">
        <f>Расходы!N43</f>
        <v>89.547117053138408</v>
      </c>
      <c r="N233" s="44">
        <f>Расходы!O43</f>
        <v>160.99018787724742</v>
      </c>
      <c r="O233" s="44">
        <f>Расходы!P43</f>
        <v>156.29050911087776</v>
      </c>
    </row>
    <row r="234" spans="1:15" x14ac:dyDescent="0.2">
      <c r="A234" s="38" t="s">
        <v>32</v>
      </c>
      <c r="D234" s="44">
        <f>Расходы!E44</f>
        <v>106.73469902828315</v>
      </c>
      <c r="E234" s="44">
        <f>Расходы!F44</f>
        <v>132.3062270197004</v>
      </c>
      <c r="F234" s="44">
        <f>Расходы!G44</f>
        <v>191.54679833862173</v>
      </c>
      <c r="G234" s="44">
        <f>Расходы!H44</f>
        <v>106.98026877877361</v>
      </c>
      <c r="H234" s="44">
        <f>Расходы!I44</f>
        <v>182.62533552712</v>
      </c>
      <c r="I234" s="44">
        <f>Расходы!J44</f>
        <v>188.92955871709816</v>
      </c>
      <c r="J234" s="44">
        <f>Расходы!K44</f>
        <v>114.53096289823333</v>
      </c>
      <c r="K234" s="44">
        <f>Расходы!L44</f>
        <v>181.489522223454</v>
      </c>
      <c r="L234" s="44">
        <f>Расходы!M44</f>
        <v>74.552010010790283</v>
      </c>
      <c r="M234" s="44">
        <f>Расходы!N44</f>
        <v>218.61570274186914</v>
      </c>
      <c r="N234" s="44">
        <f>Расходы!O44</f>
        <v>135.67612873874214</v>
      </c>
      <c r="O234" s="44">
        <f>Расходы!P44</f>
        <v>111.08504799780671</v>
      </c>
    </row>
    <row r="235" spans="1:15" x14ac:dyDescent="0.2">
      <c r="A235" s="38" t="s">
        <v>33</v>
      </c>
      <c r="D235" s="44">
        <f>Расходы!E45</f>
        <v>101.64479170900233</v>
      </c>
      <c r="E235" s="44">
        <f>Расходы!F45</f>
        <v>149.91605227920294</v>
      </c>
      <c r="F235" s="44">
        <f>Расходы!G45</f>
        <v>173.37976464825016</v>
      </c>
      <c r="G235" s="44">
        <f>Расходы!H45</f>
        <v>108.29716480136888</v>
      </c>
      <c r="H235" s="44">
        <f>Расходы!I45</f>
        <v>233.71647687611315</v>
      </c>
      <c r="I235" s="44">
        <f>Расходы!J45</f>
        <v>119.49896548213722</v>
      </c>
      <c r="J235" s="44">
        <f>Расходы!K45</f>
        <v>73.817033733744225</v>
      </c>
      <c r="K235" s="44">
        <f>Расходы!L45</f>
        <v>122.55081611947678</v>
      </c>
      <c r="L235" s="44">
        <f>Расходы!M45</f>
        <v>94.64609032818035</v>
      </c>
      <c r="M235" s="44">
        <f>Расходы!N45</f>
        <v>149.32552785583789</v>
      </c>
      <c r="N235" s="44">
        <f>Расходы!O45</f>
        <v>170.08912264008228</v>
      </c>
      <c r="O235" s="44">
        <f>Расходы!P45</f>
        <v>151.34849540354</v>
      </c>
    </row>
    <row r="236" spans="1:15" x14ac:dyDescent="0.2">
      <c r="A236" s="38" t="s">
        <v>34</v>
      </c>
      <c r="D236" s="44">
        <f>Расходы!E46</f>
        <v>98.467517143971776</v>
      </c>
      <c r="E236" s="44">
        <f>Расходы!F46</f>
        <v>94.86265704178895</v>
      </c>
      <c r="F236" s="44">
        <f>Расходы!G46</f>
        <v>134.2710272498187</v>
      </c>
      <c r="G236" s="44">
        <f>Расходы!H46</f>
        <v>131.43991082648705</v>
      </c>
      <c r="H236" s="44">
        <f>Расходы!I46</f>
        <v>100.87854949399966</v>
      </c>
      <c r="I236" s="44">
        <f>Расходы!J46</f>
        <v>152.38878925762191</v>
      </c>
      <c r="J236" s="44">
        <f>Расходы!K46</f>
        <v>125.56006086632534</v>
      </c>
      <c r="K236" s="44">
        <f>Расходы!L46</f>
        <v>165.22320071209236</v>
      </c>
      <c r="L236" s="44">
        <f>Расходы!M46</f>
        <v>149.34793828385475</v>
      </c>
      <c r="M236" s="44">
        <f>Расходы!N46</f>
        <v>140.12549463630356</v>
      </c>
      <c r="N236" s="44">
        <f>Расходы!O46</f>
        <v>143.24325442388212</v>
      </c>
      <c r="O236" s="44">
        <f>Расходы!P46</f>
        <v>115.10836848659753</v>
      </c>
    </row>
    <row r="237" spans="1:15" x14ac:dyDescent="0.2">
      <c r="A237" s="37" t="s">
        <v>35</v>
      </c>
      <c r="D237" s="46">
        <f>D433/D41</f>
        <v>294.51153417188675</v>
      </c>
      <c r="E237" s="46">
        <f t="shared" ref="E237:I237" si="140">E433/E41</f>
        <v>353.96156644375242</v>
      </c>
      <c r="F237" s="46">
        <f t="shared" si="140"/>
        <v>303.28413297679504</v>
      </c>
      <c r="G237" s="46">
        <f t="shared" si="140"/>
        <v>304.27391922967342</v>
      </c>
      <c r="H237" s="46">
        <f t="shared" si="140"/>
        <v>322.21755316137552</v>
      </c>
      <c r="I237" s="46">
        <f t="shared" si="140"/>
        <v>364.32477367862941</v>
      </c>
      <c r="J237" s="46">
        <f t="shared" ref="J237:O237" si="141">J433/J41</f>
        <v>290.99641394546319</v>
      </c>
      <c r="K237" s="46">
        <f t="shared" si="141"/>
        <v>309.45170894814817</v>
      </c>
      <c r="L237" s="46">
        <f t="shared" si="141"/>
        <v>343.35369622171953</v>
      </c>
      <c r="M237" s="46">
        <f t="shared" si="141"/>
        <v>313.85369136625314</v>
      </c>
      <c r="N237" s="46">
        <f t="shared" si="141"/>
        <v>310.24848932486776</v>
      </c>
      <c r="O237" s="46">
        <f t="shared" si="141"/>
        <v>306.96732976033087</v>
      </c>
    </row>
    <row r="238" spans="1:15" x14ac:dyDescent="0.2">
      <c r="A238" s="38" t="s">
        <v>25</v>
      </c>
      <c r="D238" s="44">
        <f>Расходы!E48</f>
        <v>249.56940298561977</v>
      </c>
      <c r="E238" s="44">
        <f>Расходы!F48</f>
        <v>434.77049208944499</v>
      </c>
      <c r="F238" s="44">
        <f>Расходы!G48</f>
        <v>393.29676830323262</v>
      </c>
      <c r="G238" s="44">
        <f>Расходы!H48</f>
        <v>198.39661665272772</v>
      </c>
      <c r="H238" s="44">
        <f>Расходы!I48</f>
        <v>423.31135561891011</v>
      </c>
      <c r="I238" s="44">
        <f>Расходы!J48</f>
        <v>379.73971178438478</v>
      </c>
      <c r="J238" s="44">
        <f>Расходы!K48</f>
        <v>411.50808616354044</v>
      </c>
      <c r="K238" s="44">
        <f>Расходы!L48</f>
        <v>246.64604901582811</v>
      </c>
      <c r="L238" s="44">
        <f>Расходы!M48</f>
        <v>283.5443325675443</v>
      </c>
      <c r="M238" s="44">
        <f>Расходы!N48</f>
        <v>354.12167898958279</v>
      </c>
      <c r="N238" s="44">
        <f>Расходы!O48</f>
        <v>249.32138607671436</v>
      </c>
      <c r="O238" s="44">
        <f>Расходы!P48</f>
        <v>423.89900772362984</v>
      </c>
    </row>
    <row r="239" spans="1:15" x14ac:dyDescent="0.2">
      <c r="A239" s="38" t="s">
        <v>26</v>
      </c>
      <c r="D239" s="44">
        <f>Расходы!E49</f>
        <v>407.69364201428374</v>
      </c>
      <c r="E239" s="44">
        <f>Расходы!F49</f>
        <v>421.44732967530189</v>
      </c>
      <c r="F239" s="44">
        <f>Расходы!G49</f>
        <v>221.89942209191585</v>
      </c>
      <c r="G239" s="44">
        <f>Расходы!H49</f>
        <v>306.87304982439201</v>
      </c>
      <c r="H239" s="44">
        <f>Расходы!I49</f>
        <v>327.17368319548353</v>
      </c>
      <c r="I239" s="44">
        <f>Расходы!J49</f>
        <v>329.27777136660882</v>
      </c>
      <c r="J239" s="44">
        <f>Расходы!K49</f>
        <v>258.18296068022806</v>
      </c>
      <c r="K239" s="44">
        <f>Расходы!L49</f>
        <v>249.0876057404613</v>
      </c>
      <c r="L239" s="44">
        <f>Расходы!M49</f>
        <v>474.35355572581528</v>
      </c>
      <c r="M239" s="44">
        <f>Расходы!N49</f>
        <v>386.85205977270277</v>
      </c>
      <c r="N239" s="44">
        <f>Расходы!O49</f>
        <v>340.16367968860413</v>
      </c>
      <c r="O239" s="44">
        <f>Расходы!P49</f>
        <v>382.71266960028566</v>
      </c>
    </row>
    <row r="240" spans="1:15" x14ac:dyDescent="0.2">
      <c r="A240" s="38" t="s">
        <v>27</v>
      </c>
      <c r="D240" s="44">
        <f>Расходы!E50</f>
        <v>393.43855643408477</v>
      </c>
      <c r="E240" s="44">
        <f>Расходы!F50</f>
        <v>260.44078247555314</v>
      </c>
      <c r="F240" s="44">
        <f>Расходы!G50</f>
        <v>333.05149765242334</v>
      </c>
      <c r="G240" s="44">
        <f>Расходы!H50</f>
        <v>369.84312009482773</v>
      </c>
      <c r="H240" s="44">
        <f>Расходы!I50</f>
        <v>369.63758532871253</v>
      </c>
      <c r="I240" s="44">
        <f>Расходы!J50</f>
        <v>302.531796553726</v>
      </c>
      <c r="J240" s="44">
        <f>Расходы!K50</f>
        <v>376.57350989172124</v>
      </c>
      <c r="K240" s="44">
        <f>Расходы!L50</f>
        <v>303.22637297155546</v>
      </c>
      <c r="L240" s="44">
        <f>Расходы!M50</f>
        <v>393.78074834452553</v>
      </c>
      <c r="M240" s="44">
        <f>Расходы!N50</f>
        <v>345.87172381733228</v>
      </c>
      <c r="N240" s="44">
        <f>Расходы!O50</f>
        <v>310.04742955777755</v>
      </c>
      <c r="O240" s="44">
        <f>Расходы!P50</f>
        <v>318.31233353760172</v>
      </c>
    </row>
    <row r="241" spans="1:15" x14ac:dyDescent="0.2">
      <c r="A241" s="38" t="s">
        <v>28</v>
      </c>
      <c r="D241" s="44">
        <f>Расходы!E51</f>
        <v>292.57036100424256</v>
      </c>
      <c r="E241" s="44">
        <f>Расходы!F51</f>
        <v>343.93926219614082</v>
      </c>
      <c r="F241" s="44">
        <f>Расходы!G51</f>
        <v>329.58613177244069</v>
      </c>
      <c r="G241" s="44">
        <f>Расходы!H51</f>
        <v>411.21269773435159</v>
      </c>
      <c r="H241" s="44">
        <f>Расходы!I51</f>
        <v>231.21893805514944</v>
      </c>
      <c r="I241" s="44">
        <f>Расходы!J51</f>
        <v>259.01265908732336</v>
      </c>
      <c r="J241" s="44">
        <f>Расходы!K51</f>
        <v>298.08236085428217</v>
      </c>
      <c r="K241" s="44">
        <f>Расходы!L51</f>
        <v>251.0262879649143</v>
      </c>
      <c r="L241" s="44">
        <f>Расходы!M51</f>
        <v>432.99209225933038</v>
      </c>
      <c r="M241" s="44">
        <f>Расходы!N51</f>
        <v>389.1621791290213</v>
      </c>
      <c r="N241" s="44">
        <f>Расходы!O51</f>
        <v>394.68225370558906</v>
      </c>
      <c r="O241" s="44">
        <f>Расходы!P51</f>
        <v>361.40958229944061</v>
      </c>
    </row>
    <row r="242" spans="1:15" x14ac:dyDescent="0.2">
      <c r="A242" s="38" t="s">
        <v>29</v>
      </c>
      <c r="D242" s="44">
        <f>Расходы!E52</f>
        <v>253.68419928287994</v>
      </c>
      <c r="E242" s="44">
        <f>Расходы!F52</f>
        <v>363.20404398793102</v>
      </c>
      <c r="F242" s="44">
        <f>Расходы!G52</f>
        <v>337.63326939326174</v>
      </c>
      <c r="G242" s="44">
        <f>Расходы!H52</f>
        <v>320.65123950199541</v>
      </c>
      <c r="H242" s="44">
        <f>Расходы!I52</f>
        <v>267.89998642136209</v>
      </c>
      <c r="I242" s="44">
        <f>Расходы!J52</f>
        <v>373.17767239268903</v>
      </c>
      <c r="J242" s="44">
        <f>Расходы!K52</f>
        <v>240.72222029976103</v>
      </c>
      <c r="K242" s="44">
        <f>Расходы!L52</f>
        <v>333.49773165845272</v>
      </c>
      <c r="L242" s="44">
        <f>Расходы!M52</f>
        <v>299.21011491651097</v>
      </c>
      <c r="M242" s="44">
        <f>Расходы!N52</f>
        <v>206.14430542635819</v>
      </c>
      <c r="N242" s="44">
        <f>Расходы!O52</f>
        <v>215.01254699918914</v>
      </c>
      <c r="O242" s="44">
        <f>Расходы!P52</f>
        <v>327.79322936675908</v>
      </c>
    </row>
    <row r="243" spans="1:15" x14ac:dyDescent="0.2">
      <c r="A243" s="38" t="s">
        <v>30</v>
      </c>
      <c r="D243" s="44">
        <f>Расходы!E53</f>
        <v>395.89170451183929</v>
      </c>
      <c r="E243" s="44">
        <f>Расходы!F53</f>
        <v>239.98270243287678</v>
      </c>
      <c r="F243" s="44">
        <f>Расходы!G53</f>
        <v>288.53102141553353</v>
      </c>
      <c r="G243" s="44">
        <f>Расходы!H53</f>
        <v>298.6284934019929</v>
      </c>
      <c r="H243" s="44">
        <f>Расходы!I53</f>
        <v>352.08008750139442</v>
      </c>
      <c r="I243" s="44">
        <f>Расходы!J53</f>
        <v>351.62222524287472</v>
      </c>
      <c r="J243" s="44">
        <f>Расходы!K53</f>
        <v>272.89471290325793</v>
      </c>
      <c r="K243" s="44">
        <f>Расходы!L53</f>
        <v>378.96259610316099</v>
      </c>
      <c r="L243" s="44">
        <f>Расходы!M53</f>
        <v>426.08683705524317</v>
      </c>
      <c r="M243" s="44">
        <f>Расходы!N53</f>
        <v>421.66472189099136</v>
      </c>
      <c r="N243" s="44">
        <f>Расходы!O53</f>
        <v>226.56347451512684</v>
      </c>
      <c r="O243" s="44">
        <f>Расходы!P53</f>
        <v>487.45195959469407</v>
      </c>
    </row>
    <row r="244" spans="1:15" x14ac:dyDescent="0.2">
      <c r="A244" s="38" t="s">
        <v>31</v>
      </c>
      <c r="D244" s="44">
        <f>Расходы!E54</f>
        <v>269.05057098057011</v>
      </c>
      <c r="E244" s="44">
        <f>Расходы!F54</f>
        <v>365.68313798607738</v>
      </c>
      <c r="F244" s="44">
        <f>Расходы!G54</f>
        <v>200.70272822877951</v>
      </c>
      <c r="G244" s="44">
        <f>Расходы!H54</f>
        <v>209.03814332065912</v>
      </c>
      <c r="H244" s="44">
        <f>Расходы!I54</f>
        <v>452.31231884764463</v>
      </c>
      <c r="I244" s="44">
        <f>Расходы!J54</f>
        <v>358.46218563646556</v>
      </c>
      <c r="J244" s="44">
        <f>Расходы!K54</f>
        <v>284.28293410322078</v>
      </c>
      <c r="K244" s="44">
        <f>Расходы!L54</f>
        <v>306.73626725201092</v>
      </c>
      <c r="L244" s="44">
        <f>Расходы!M54</f>
        <v>318.55443223412396</v>
      </c>
      <c r="M244" s="44">
        <f>Расходы!N54</f>
        <v>288.12797852387712</v>
      </c>
      <c r="N244" s="44">
        <f>Расходы!O54</f>
        <v>356.63274220989069</v>
      </c>
      <c r="O244" s="44">
        <f>Расходы!P54</f>
        <v>369.11699671383815</v>
      </c>
    </row>
    <row r="245" spans="1:15" x14ac:dyDescent="0.2">
      <c r="A245" s="38" t="s">
        <v>32</v>
      </c>
      <c r="D245" s="44">
        <f>Расходы!E55</f>
        <v>320.4911369446811</v>
      </c>
      <c r="E245" s="44">
        <f>Расходы!F55</f>
        <v>301.97892376668676</v>
      </c>
      <c r="F245" s="44">
        <f>Расходы!G55</f>
        <v>407.08145185421336</v>
      </c>
      <c r="G245" s="44">
        <f>Расходы!H55</f>
        <v>366.78262165149886</v>
      </c>
      <c r="H245" s="44">
        <f>Расходы!I55</f>
        <v>293.36140092736861</v>
      </c>
      <c r="I245" s="44">
        <f>Расходы!J55</f>
        <v>244.10969218487364</v>
      </c>
      <c r="J245" s="44">
        <f>Расходы!K55</f>
        <v>350.61908606023758</v>
      </c>
      <c r="K245" s="44">
        <f>Расходы!L55</f>
        <v>221.23522044449388</v>
      </c>
      <c r="L245" s="44">
        <f>Расходы!M55</f>
        <v>357.97849378281734</v>
      </c>
      <c r="M245" s="44">
        <f>Расходы!N55</f>
        <v>489.708442889651</v>
      </c>
      <c r="N245" s="44">
        <f>Расходы!O55</f>
        <v>334.61574502522984</v>
      </c>
      <c r="O245" s="44">
        <f>Расходы!P55</f>
        <v>274.43205989378396</v>
      </c>
    </row>
    <row r="246" spans="1:15" x14ac:dyDescent="0.2">
      <c r="A246" s="38" t="s">
        <v>33</v>
      </c>
      <c r="D246" s="44">
        <f>Расходы!E56</f>
        <v>226.25422871081793</v>
      </c>
      <c r="E246" s="44">
        <f>Расходы!F56</f>
        <v>215.94582564543134</v>
      </c>
      <c r="F246" s="44">
        <f>Расходы!G56</f>
        <v>302.74579710023613</v>
      </c>
      <c r="G246" s="44">
        <f>Расходы!H56</f>
        <v>243.34442874039533</v>
      </c>
      <c r="H246" s="44">
        <f>Расходы!I56</f>
        <v>365.93588753371586</v>
      </c>
      <c r="I246" s="44">
        <f>Расходы!J56</f>
        <v>383.19722583357515</v>
      </c>
      <c r="J246" s="44">
        <f>Расходы!K56</f>
        <v>242.08481222644397</v>
      </c>
      <c r="K246" s="44">
        <f>Расходы!L56</f>
        <v>236.55786493953411</v>
      </c>
      <c r="L246" s="44">
        <f>Расходы!M56</f>
        <v>441.5484078019868</v>
      </c>
      <c r="M246" s="44">
        <f>Расходы!N56</f>
        <v>216.15588132337101</v>
      </c>
      <c r="N246" s="44">
        <f>Расходы!O56</f>
        <v>321.58137959113805</v>
      </c>
      <c r="O246" s="44">
        <f>Расходы!P56</f>
        <v>232.51348488793221</v>
      </c>
    </row>
    <row r="247" spans="1:15" x14ac:dyDescent="0.2">
      <c r="A247" s="38" t="s">
        <v>34</v>
      </c>
      <c r="D247" s="44">
        <f>Расходы!E57</f>
        <v>228.11431086397559</v>
      </c>
      <c r="E247" s="44">
        <f>Расходы!F57</f>
        <v>428.16571639492435</v>
      </c>
      <c r="F247" s="44">
        <f>Расходы!G57</f>
        <v>344.67047861724615</v>
      </c>
      <c r="G247" s="44">
        <f>Расходы!H57</f>
        <v>341.72287196359372</v>
      </c>
      <c r="H247" s="44">
        <f>Расходы!I57</f>
        <v>294.21199394900538</v>
      </c>
      <c r="I247" s="44">
        <f>Расходы!J57</f>
        <v>485.3446046324903</v>
      </c>
      <c r="J247" s="44">
        <f>Расходы!K57</f>
        <v>283.61781687303255</v>
      </c>
      <c r="K247" s="44">
        <f>Расходы!L57</f>
        <v>301.82686305863245</v>
      </c>
      <c r="L247" s="44">
        <f>Расходы!M57</f>
        <v>391.43420254484676</v>
      </c>
      <c r="M247" s="44">
        <f>Расходы!N57</f>
        <v>361.13370113678735</v>
      </c>
      <c r="N247" s="44">
        <f>Расходы!O57</f>
        <v>335.88666447839421</v>
      </c>
      <c r="O247" s="44">
        <f>Расходы!P57</f>
        <v>222.3822794907106</v>
      </c>
    </row>
    <row r="248" spans="1:15" x14ac:dyDescent="0.2">
      <c r="A248" s="38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</row>
    <row r="249" spans="1:15" x14ac:dyDescent="0.2">
      <c r="A249" s="3" t="s">
        <v>37</v>
      </c>
      <c r="B249" s="3"/>
      <c r="C249" s="3"/>
      <c r="D249" s="43">
        <f>D445/D53</f>
        <v>242.93206372920184</v>
      </c>
      <c r="E249" s="43">
        <f t="shared" ref="E249:I249" si="142">E445/E53</f>
        <v>246.44877819071112</v>
      </c>
      <c r="F249" s="43">
        <f t="shared" si="142"/>
        <v>234.23776443701718</v>
      </c>
      <c r="G249" s="43">
        <f t="shared" si="142"/>
        <v>230.52798870062546</v>
      </c>
      <c r="H249" s="43">
        <f t="shared" si="142"/>
        <v>235.27719447035739</v>
      </c>
      <c r="I249" s="43">
        <f t="shared" si="142"/>
        <v>239.53327045924144</v>
      </c>
      <c r="J249" s="43">
        <f t="shared" ref="J249:O249" si="143">J445/J53</f>
        <v>227.62635057964636</v>
      </c>
      <c r="K249" s="43">
        <f t="shared" si="143"/>
        <v>221.31404329528453</v>
      </c>
      <c r="L249" s="43">
        <f t="shared" si="143"/>
        <v>253.70608859132614</v>
      </c>
      <c r="M249" s="43">
        <f t="shared" si="143"/>
        <v>232.17112637121372</v>
      </c>
      <c r="N249" s="43">
        <f t="shared" si="143"/>
        <v>240.85554717589679</v>
      </c>
      <c r="O249" s="43">
        <f t="shared" si="143"/>
        <v>224.77693339546482</v>
      </c>
    </row>
    <row r="250" spans="1:15" x14ac:dyDescent="0.2">
      <c r="A250" s="4" t="s">
        <v>23</v>
      </c>
      <c r="B250" s="4"/>
      <c r="C250" s="4"/>
      <c r="D250" s="45">
        <f>D446/D54</f>
        <v>264.67964304025418</v>
      </c>
      <c r="E250" s="45">
        <f t="shared" ref="E250:I250" si="144">E446/E54</f>
        <v>236.95750355953089</v>
      </c>
      <c r="F250" s="45">
        <f t="shared" si="144"/>
        <v>247.62133327751502</v>
      </c>
      <c r="G250" s="45">
        <f t="shared" si="144"/>
        <v>251.26530274178634</v>
      </c>
      <c r="H250" s="45">
        <f t="shared" si="144"/>
        <v>208.729850601057</v>
      </c>
      <c r="I250" s="45">
        <f t="shared" si="144"/>
        <v>215.78204824858713</v>
      </c>
      <c r="J250" s="45">
        <f t="shared" ref="J250:O250" si="145">J446/J54</f>
        <v>255.74823107068937</v>
      </c>
      <c r="K250" s="45">
        <f t="shared" si="145"/>
        <v>227.48371190145181</v>
      </c>
      <c r="L250" s="45">
        <f t="shared" si="145"/>
        <v>239.44283345723102</v>
      </c>
      <c r="M250" s="45">
        <f t="shared" si="145"/>
        <v>251.21641799009012</v>
      </c>
      <c r="N250" s="45">
        <f t="shared" si="145"/>
        <v>200.55708128755097</v>
      </c>
      <c r="O250" s="45">
        <f t="shared" si="145"/>
        <v>226.4703864640172</v>
      </c>
    </row>
    <row r="251" spans="1:15" x14ac:dyDescent="0.2">
      <c r="A251" s="37" t="s">
        <v>24</v>
      </c>
      <c r="D251" s="46">
        <f>D447/D55</f>
        <v>150.81673477235242</v>
      </c>
      <c r="E251" s="46">
        <f t="shared" ref="E251:I251" si="146">E447/E55</f>
        <v>178.23399675204908</v>
      </c>
      <c r="F251" s="46">
        <f t="shared" si="146"/>
        <v>164.86641696463724</v>
      </c>
      <c r="G251" s="46">
        <f t="shared" si="146"/>
        <v>119.67262051011593</v>
      </c>
      <c r="H251" s="46">
        <f t="shared" si="146"/>
        <v>134.54133801788322</v>
      </c>
      <c r="I251" s="46">
        <f t="shared" si="146"/>
        <v>150.49269271322055</v>
      </c>
      <c r="J251" s="46">
        <f t="shared" ref="J251:O251" si="147">J447/J55</f>
        <v>157.72167569608109</v>
      </c>
      <c r="K251" s="46">
        <f t="shared" si="147"/>
        <v>159.74788526230662</v>
      </c>
      <c r="L251" s="46">
        <f t="shared" si="147"/>
        <v>124.14628966805242</v>
      </c>
      <c r="M251" s="46">
        <f t="shared" si="147"/>
        <v>159.13033866571757</v>
      </c>
      <c r="N251" s="46">
        <f t="shared" si="147"/>
        <v>115.42163244093511</v>
      </c>
      <c r="O251" s="46">
        <f t="shared" si="147"/>
        <v>157.46333420612009</v>
      </c>
    </row>
    <row r="252" spans="1:15" x14ac:dyDescent="0.2">
      <c r="A252" s="38" t="s">
        <v>25</v>
      </c>
      <c r="D252" s="44">
        <f>Расходы!E62</f>
        <v>150.21309653534766</v>
      </c>
      <c r="E252" s="44">
        <f>Расходы!F62</f>
        <v>142.39838691017584</v>
      </c>
      <c r="F252" s="44">
        <f>Расходы!G62</f>
        <v>124.03358155032625</v>
      </c>
      <c r="G252" s="44">
        <f>Расходы!H62</f>
        <v>193.13693842459119</v>
      </c>
      <c r="H252" s="44">
        <f>Расходы!I62</f>
        <v>97.291672582117783</v>
      </c>
      <c r="I252" s="44">
        <f>Расходы!J62</f>
        <v>114.10481408679114</v>
      </c>
      <c r="J252" s="44">
        <f>Расходы!K62</f>
        <v>106.79539097144831</v>
      </c>
      <c r="K252" s="44">
        <f>Расходы!L62</f>
        <v>171.90437273338316</v>
      </c>
      <c r="L252" s="44">
        <f>Расходы!M62</f>
        <v>150.95918837953724</v>
      </c>
      <c r="M252" s="44">
        <f>Расходы!N62</f>
        <v>144.27242284458265</v>
      </c>
      <c r="N252" s="44">
        <f>Расходы!O62</f>
        <v>123.58580770700024</v>
      </c>
      <c r="O252" s="44">
        <f>Расходы!P62</f>
        <v>212.77992466356073</v>
      </c>
    </row>
    <row r="253" spans="1:15" x14ac:dyDescent="0.2">
      <c r="A253" s="38" t="s">
        <v>26</v>
      </c>
      <c r="D253" s="44">
        <f>Расходы!E63</f>
        <v>178.50311634411472</v>
      </c>
      <c r="E253" s="44">
        <f>Расходы!F63</f>
        <v>184.10092296156853</v>
      </c>
      <c r="F253" s="44">
        <f>Расходы!G63</f>
        <v>123.13844277871608</v>
      </c>
      <c r="G253" s="44">
        <f>Расходы!H63</f>
        <v>114.64394107192295</v>
      </c>
      <c r="H253" s="44">
        <f>Расходы!I63</f>
        <v>143.83140336894394</v>
      </c>
      <c r="I253" s="44">
        <f>Расходы!J63</f>
        <v>121.04616025644427</v>
      </c>
      <c r="J253" s="44">
        <f>Расходы!K63</f>
        <v>223.42236671680141</v>
      </c>
      <c r="K253" s="44">
        <f>Расходы!L63</f>
        <v>182.35006883615162</v>
      </c>
      <c r="L253" s="44">
        <f>Расходы!M63</f>
        <v>65.543455672286441</v>
      </c>
      <c r="M253" s="44">
        <f>Расходы!N63</f>
        <v>89.22669867656559</v>
      </c>
      <c r="N253" s="44">
        <f>Расходы!O63</f>
        <v>95.491836625560978</v>
      </c>
      <c r="O253" s="44">
        <f>Расходы!P63</f>
        <v>208.13984193503399</v>
      </c>
    </row>
    <row r="254" spans="1:15" x14ac:dyDescent="0.2">
      <c r="A254" s="38" t="s">
        <v>27</v>
      </c>
      <c r="D254" s="44">
        <f>Расходы!E64</f>
        <v>105.87492114675017</v>
      </c>
      <c r="E254" s="44">
        <f>Расходы!F64</f>
        <v>172.36848551989556</v>
      </c>
      <c r="F254" s="44">
        <f>Расходы!G64</f>
        <v>129.08564992332782</v>
      </c>
      <c r="G254" s="44">
        <f>Расходы!H64</f>
        <v>62.226009895961404</v>
      </c>
      <c r="H254" s="44">
        <f>Расходы!I64</f>
        <v>105.37245086670708</v>
      </c>
      <c r="I254" s="44">
        <f>Расходы!J64</f>
        <v>116.42700014206083</v>
      </c>
      <c r="J254" s="44">
        <f>Расходы!K64</f>
        <v>218.80545155686306</v>
      </c>
      <c r="K254" s="44">
        <f>Расходы!L64</f>
        <v>81.077727554654416</v>
      </c>
      <c r="L254" s="44">
        <f>Расходы!M64</f>
        <v>79.989332446157889</v>
      </c>
      <c r="M254" s="44">
        <f>Расходы!N64</f>
        <v>128.42897720887677</v>
      </c>
      <c r="N254" s="44">
        <f>Расходы!O64</f>
        <v>77.99884898813643</v>
      </c>
      <c r="O254" s="44">
        <f>Расходы!P64</f>
        <v>134.98591874009497</v>
      </c>
    </row>
    <row r="255" spans="1:15" x14ac:dyDescent="0.2">
      <c r="A255" s="38" t="s">
        <v>28</v>
      </c>
      <c r="D255" s="44">
        <f>Расходы!E65</f>
        <v>110.69412345832644</v>
      </c>
      <c r="E255" s="44">
        <f>Расходы!F65</f>
        <v>221.5983118130579</v>
      </c>
      <c r="F255" s="44">
        <f>Расходы!G65</f>
        <v>147.76897432062003</v>
      </c>
      <c r="G255" s="44">
        <f>Расходы!H65</f>
        <v>86.909766812595265</v>
      </c>
      <c r="H255" s="44">
        <f>Расходы!I65</f>
        <v>97.057325232449585</v>
      </c>
      <c r="I255" s="44">
        <f>Расходы!J65</f>
        <v>116.15593701706274</v>
      </c>
      <c r="J255" s="44">
        <f>Расходы!K65</f>
        <v>127.42246518882624</v>
      </c>
      <c r="K255" s="44">
        <f>Расходы!L65</f>
        <v>125.7875158738006</v>
      </c>
      <c r="L255" s="44">
        <f>Расходы!M65</f>
        <v>119.84295798384689</v>
      </c>
      <c r="M255" s="44">
        <f>Расходы!N65</f>
        <v>220.24230943882554</v>
      </c>
      <c r="N255" s="44">
        <f>Расходы!O65</f>
        <v>76.193525538714283</v>
      </c>
      <c r="O255" s="44">
        <f>Расходы!P65</f>
        <v>187.90421160104302</v>
      </c>
    </row>
    <row r="256" spans="1:15" x14ac:dyDescent="0.2">
      <c r="A256" s="38" t="s">
        <v>29</v>
      </c>
      <c r="D256" s="44">
        <f>Расходы!E66</f>
        <v>168.77898973899215</v>
      </c>
      <c r="E256" s="44">
        <f>Расходы!F66</f>
        <v>214.8740746536925</v>
      </c>
      <c r="F256" s="44">
        <f>Расходы!G66</f>
        <v>193.31655425970305</v>
      </c>
      <c r="G256" s="44">
        <f>Расходы!H66</f>
        <v>238.93475274988032</v>
      </c>
      <c r="H256" s="44">
        <f>Расходы!I66</f>
        <v>120.54229132618124</v>
      </c>
      <c r="I256" s="44">
        <f>Расходы!J66</f>
        <v>102.09017943929861</v>
      </c>
      <c r="J256" s="44">
        <f>Расходы!K66</f>
        <v>192.13273532777825</v>
      </c>
      <c r="K256" s="44">
        <f>Расходы!L66</f>
        <v>95.372523643711972</v>
      </c>
      <c r="L256" s="44">
        <f>Расходы!M66</f>
        <v>193.34383548990931</v>
      </c>
      <c r="M256" s="44">
        <f>Расходы!N66</f>
        <v>184.39293118825717</v>
      </c>
      <c r="N256" s="44">
        <f>Расходы!O66</f>
        <v>174.72440115841076</v>
      </c>
      <c r="O256" s="44">
        <f>Расходы!P66</f>
        <v>173.22906125124084</v>
      </c>
    </row>
    <row r="257" spans="1:15" x14ac:dyDescent="0.2">
      <c r="A257" s="38" t="s">
        <v>30</v>
      </c>
      <c r="D257" s="44">
        <f>Расходы!E67</f>
        <v>93.303217144237863</v>
      </c>
      <c r="E257" s="44">
        <f>Расходы!F67</f>
        <v>237.56051187410543</v>
      </c>
      <c r="F257" s="44">
        <f>Расходы!G67</f>
        <v>217.36157826412361</v>
      </c>
      <c r="G257" s="44">
        <f>Расходы!H67</f>
        <v>89.861923177960733</v>
      </c>
      <c r="H257" s="44">
        <f>Расходы!I67</f>
        <v>116.01021964938842</v>
      </c>
      <c r="I257" s="44">
        <f>Расходы!J67</f>
        <v>192.99799132651461</v>
      </c>
      <c r="J257" s="44">
        <f>Расходы!K67</f>
        <v>119.0031937781151</v>
      </c>
      <c r="K257" s="44">
        <f>Расходы!L67</f>
        <v>230.3307317857255</v>
      </c>
      <c r="L257" s="44">
        <f>Расходы!M67</f>
        <v>180.8334364945047</v>
      </c>
      <c r="M257" s="44">
        <f>Расходы!N67</f>
        <v>153.31492988534296</v>
      </c>
      <c r="N257" s="44">
        <f>Расходы!O67</f>
        <v>144.33695591129091</v>
      </c>
      <c r="O257" s="44">
        <f>Расходы!P67</f>
        <v>90.715541291112913</v>
      </c>
    </row>
    <row r="258" spans="1:15" x14ac:dyDescent="0.2">
      <c r="A258" s="38" t="s">
        <v>31</v>
      </c>
      <c r="D258" s="44">
        <f>Расходы!E68</f>
        <v>212.23010030241352</v>
      </c>
      <c r="E258" s="44">
        <f>Расходы!F68</f>
        <v>133.43769731672117</v>
      </c>
      <c r="F258" s="44">
        <f>Расходы!G68</f>
        <v>207.87728304674644</v>
      </c>
      <c r="G258" s="44">
        <f>Расходы!H68</f>
        <v>120.11598507356938</v>
      </c>
      <c r="H258" s="44">
        <f>Расходы!I68</f>
        <v>123.9517837464219</v>
      </c>
      <c r="I258" s="44">
        <f>Расходы!J68</f>
        <v>154.39876558345185</v>
      </c>
      <c r="J258" s="44">
        <f>Расходы!K68</f>
        <v>143.35297245030713</v>
      </c>
      <c r="K258" s="44">
        <f>Расходы!L68</f>
        <v>96.232323949517479</v>
      </c>
      <c r="L258" s="44">
        <f>Расходы!M68</f>
        <v>103.90537289160203</v>
      </c>
      <c r="M258" s="44">
        <f>Расходы!N68</f>
        <v>137.32515797472948</v>
      </c>
      <c r="N258" s="44">
        <f>Расходы!O68</f>
        <v>117.65224491606718</v>
      </c>
      <c r="O258" s="44">
        <f>Расходы!P68</f>
        <v>226.27042590146311</v>
      </c>
    </row>
    <row r="259" spans="1:15" x14ac:dyDescent="0.2">
      <c r="A259" s="38" t="s">
        <v>32</v>
      </c>
      <c r="D259" s="44">
        <f>Расходы!E69</f>
        <v>119.2622186203424</v>
      </c>
      <c r="E259" s="44">
        <f>Расходы!F69</f>
        <v>160.37688244778991</v>
      </c>
      <c r="F259" s="44">
        <f>Расходы!G69</f>
        <v>93.153300331873197</v>
      </c>
      <c r="G259" s="44">
        <f>Расходы!H69</f>
        <v>243.55853182673766</v>
      </c>
      <c r="H259" s="44">
        <f>Расходы!I69</f>
        <v>138.10400840620864</v>
      </c>
      <c r="I259" s="44">
        <f>Расходы!J69</f>
        <v>221.10711727366714</v>
      </c>
      <c r="J259" s="44">
        <f>Расходы!K69</f>
        <v>187.36281844237686</v>
      </c>
      <c r="K259" s="44">
        <f>Расходы!L69</f>
        <v>111.93682698794726</v>
      </c>
      <c r="L259" s="44">
        <f>Расходы!M69</f>
        <v>101.15431981360921</v>
      </c>
      <c r="M259" s="44">
        <f>Расходы!N69</f>
        <v>153.89179354733889</v>
      </c>
      <c r="N259" s="44">
        <f>Расходы!O69</f>
        <v>105.91811667158626</v>
      </c>
      <c r="O259" s="44">
        <f>Расходы!P69</f>
        <v>148.724859398495</v>
      </c>
    </row>
    <row r="260" spans="1:15" x14ac:dyDescent="0.2">
      <c r="A260" s="38" t="s">
        <v>33</v>
      </c>
      <c r="D260" s="44">
        <f>Расходы!E70</f>
        <v>152.40032642150331</v>
      </c>
      <c r="E260" s="44">
        <f>Расходы!F70</f>
        <v>110.65084018570531</v>
      </c>
      <c r="F260" s="44">
        <f>Расходы!G70</f>
        <v>197.78493693085309</v>
      </c>
      <c r="G260" s="44">
        <f>Расходы!H70</f>
        <v>145.84999838978524</v>
      </c>
      <c r="H260" s="44">
        <f>Расходы!I70</f>
        <v>125.9398615209609</v>
      </c>
      <c r="I260" s="44">
        <f>Расходы!J70</f>
        <v>107.58552692739335</v>
      </c>
      <c r="J260" s="44">
        <f>Расходы!K70</f>
        <v>130.38805607187953</v>
      </c>
      <c r="K260" s="44">
        <f>Расходы!L70</f>
        <v>162.26043473514349</v>
      </c>
      <c r="L260" s="44">
        <f>Расходы!M70</f>
        <v>70.979533250416566</v>
      </c>
      <c r="M260" s="44">
        <f>Расходы!N70</f>
        <v>101.84555291174891</v>
      </c>
      <c r="N260" s="44">
        <f>Расходы!O70</f>
        <v>176.03280436862875</v>
      </c>
      <c r="O260" s="44">
        <f>Расходы!P70</f>
        <v>137.76470529120922</v>
      </c>
    </row>
    <row r="261" spans="1:15" x14ac:dyDescent="0.2">
      <c r="A261" s="38" t="s">
        <v>34</v>
      </c>
      <c r="D261" s="44">
        <f>Расходы!E71</f>
        <v>146.9901240322701</v>
      </c>
      <c r="E261" s="44">
        <f>Расходы!F71</f>
        <v>138.95614220178402</v>
      </c>
      <c r="F261" s="44">
        <f>Расходы!G71</f>
        <v>173.0509548139531</v>
      </c>
      <c r="G261" s="44">
        <f>Расходы!H71</f>
        <v>127.97600253423246</v>
      </c>
      <c r="H261" s="44">
        <f>Расходы!I71</f>
        <v>214.79406296959206</v>
      </c>
      <c r="I261" s="44">
        <f>Расходы!J71</f>
        <v>128.0561798731004</v>
      </c>
      <c r="J261" s="44">
        <f>Расходы!K71</f>
        <v>166.6093848302248</v>
      </c>
      <c r="K261" s="44">
        <f>Расходы!L71</f>
        <v>186.57919086398795</v>
      </c>
      <c r="L261" s="44">
        <f>Расходы!M71</f>
        <v>127.5537724740395</v>
      </c>
      <c r="M261" s="44">
        <f>Расходы!N71</f>
        <v>130.12007025571498</v>
      </c>
      <c r="N261" s="44">
        <f>Расходы!O71</f>
        <v>166.04244808346968</v>
      </c>
      <c r="O261" s="44">
        <f>Расходы!P71</f>
        <v>151.86420371667768</v>
      </c>
    </row>
    <row r="262" spans="1:15" x14ac:dyDescent="0.2">
      <c r="A262" s="37" t="s">
        <v>35</v>
      </c>
      <c r="D262" s="46">
        <f>D458/D66</f>
        <v>335.49691639762523</v>
      </c>
      <c r="E262" s="46">
        <f t="shared" ref="E262:I262" si="148">E458/E66</f>
        <v>286.43121616359622</v>
      </c>
      <c r="F262" s="46">
        <f t="shared" si="148"/>
        <v>331.73158528957168</v>
      </c>
      <c r="G262" s="46">
        <f t="shared" si="148"/>
        <v>328.07896653674186</v>
      </c>
      <c r="H262" s="46">
        <f t="shared" si="148"/>
        <v>307.69894088889413</v>
      </c>
      <c r="I262" s="46">
        <f t="shared" si="148"/>
        <v>272.25628396046812</v>
      </c>
      <c r="J262" s="46">
        <f t="shared" ref="J262:O262" si="149">J458/J66</f>
        <v>357.43307792577559</v>
      </c>
      <c r="K262" s="46">
        <f t="shared" si="149"/>
        <v>283.76995373748548</v>
      </c>
      <c r="L262" s="46">
        <f t="shared" si="149"/>
        <v>344.71690200581492</v>
      </c>
      <c r="M262" s="46">
        <f t="shared" si="149"/>
        <v>342.51964196875059</v>
      </c>
      <c r="N262" s="46">
        <f t="shared" si="149"/>
        <v>279.78822236725222</v>
      </c>
      <c r="O262" s="46">
        <f t="shared" si="149"/>
        <v>355.76906189371169</v>
      </c>
    </row>
    <row r="263" spans="1:15" x14ac:dyDescent="0.2">
      <c r="A263" s="38" t="s">
        <v>25</v>
      </c>
      <c r="D263" s="44">
        <f>Расходы!E73</f>
        <v>233.56773701079962</v>
      </c>
      <c r="E263" s="44">
        <f>Расходы!F73</f>
        <v>233.02816281622941</v>
      </c>
      <c r="F263" s="44">
        <f>Расходы!G73</f>
        <v>318.89049520794094</v>
      </c>
      <c r="G263" s="44">
        <f>Расходы!H73</f>
        <v>228.89152469504597</v>
      </c>
      <c r="H263" s="44">
        <f>Расходы!I73</f>
        <v>467.72541875078679</v>
      </c>
      <c r="I263" s="44">
        <f>Расходы!J73</f>
        <v>282.16507995937837</v>
      </c>
      <c r="J263" s="44">
        <f>Расходы!K73</f>
        <v>198.32727106910153</v>
      </c>
      <c r="K263" s="44">
        <f>Расходы!L73</f>
        <v>377.57498379733323</v>
      </c>
      <c r="L263" s="44">
        <f>Расходы!M73</f>
        <v>282.55723060087979</v>
      </c>
      <c r="M263" s="44">
        <f>Расходы!N73</f>
        <v>261.07780393955994</v>
      </c>
      <c r="N263" s="44">
        <f>Расходы!O73</f>
        <v>287.72608481268259</v>
      </c>
      <c r="O263" s="44">
        <f>Расходы!P73</f>
        <v>447.44593594884606</v>
      </c>
    </row>
    <row r="264" spans="1:15" x14ac:dyDescent="0.2">
      <c r="A264" s="38" t="s">
        <v>26</v>
      </c>
      <c r="D264" s="44">
        <f>Расходы!E74</f>
        <v>296.36925069405606</v>
      </c>
      <c r="E264" s="44">
        <f>Расходы!F74</f>
        <v>377.55250818012138</v>
      </c>
      <c r="F264" s="44">
        <f>Расходы!G74</f>
        <v>244.10314041589399</v>
      </c>
      <c r="G264" s="44">
        <f>Расходы!H74</f>
        <v>310.69707677041868</v>
      </c>
      <c r="H264" s="44">
        <f>Расходы!I74</f>
        <v>329.79185231228263</v>
      </c>
      <c r="I264" s="44">
        <f>Расходы!J74</f>
        <v>201.88735647658527</v>
      </c>
      <c r="J264" s="44">
        <f>Расходы!K74</f>
        <v>318.68910643912574</v>
      </c>
      <c r="K264" s="44">
        <f>Расходы!L74</f>
        <v>339.41427082908154</v>
      </c>
      <c r="L264" s="44">
        <f>Расходы!M74</f>
        <v>332.79875362476531</v>
      </c>
      <c r="M264" s="44">
        <f>Расходы!N74</f>
        <v>355.9149151545779</v>
      </c>
      <c r="N264" s="44">
        <f>Расходы!O74</f>
        <v>422.25701847746069</v>
      </c>
      <c r="O264" s="44">
        <f>Расходы!P74</f>
        <v>475.42833477955469</v>
      </c>
    </row>
    <row r="265" spans="1:15" x14ac:dyDescent="0.2">
      <c r="A265" s="38" t="s">
        <v>27</v>
      </c>
      <c r="D265" s="44">
        <f>Расходы!E75</f>
        <v>239.7261259237674</v>
      </c>
      <c r="E265" s="44">
        <f>Расходы!F75</f>
        <v>447.92036943315128</v>
      </c>
      <c r="F265" s="44">
        <f>Расходы!G75</f>
        <v>362.11677518031138</v>
      </c>
      <c r="G265" s="44">
        <f>Расходы!H75</f>
        <v>209.84311050206014</v>
      </c>
      <c r="H265" s="44">
        <f>Расходы!I75</f>
        <v>427.84627778271732</v>
      </c>
      <c r="I265" s="44">
        <f>Расходы!J75</f>
        <v>277.25682642387659</v>
      </c>
      <c r="J265" s="44">
        <f>Расходы!K75</f>
        <v>234.01926849457271</v>
      </c>
      <c r="K265" s="44">
        <f>Расходы!L75</f>
        <v>190.44598099973993</v>
      </c>
      <c r="L265" s="44">
        <f>Расходы!M75</f>
        <v>270.02614569017919</v>
      </c>
      <c r="M265" s="44">
        <f>Расходы!N75</f>
        <v>295.75758492445181</v>
      </c>
      <c r="N265" s="44">
        <f>Расходы!O75</f>
        <v>236.33040556603655</v>
      </c>
      <c r="O265" s="44">
        <f>Расходы!P75</f>
        <v>399.37498186056996</v>
      </c>
    </row>
    <row r="266" spans="1:15" x14ac:dyDescent="0.2">
      <c r="A266" s="38" t="s">
        <v>28</v>
      </c>
      <c r="D266" s="44">
        <f>Расходы!E76</f>
        <v>363.37982855310776</v>
      </c>
      <c r="E266" s="44">
        <f>Расходы!F76</f>
        <v>298.13875610795162</v>
      </c>
      <c r="F266" s="44">
        <f>Расходы!G76</f>
        <v>393.5169887024644</v>
      </c>
      <c r="G266" s="44">
        <f>Расходы!H76</f>
        <v>353.22828457318997</v>
      </c>
      <c r="H266" s="44">
        <f>Расходы!I76</f>
        <v>401.38428407683591</v>
      </c>
      <c r="I266" s="44">
        <f>Расходы!J76</f>
        <v>283.89380886266616</v>
      </c>
      <c r="J266" s="44">
        <f>Расходы!K76</f>
        <v>450.7046946156355</v>
      </c>
      <c r="K266" s="44">
        <f>Расходы!L76</f>
        <v>373.12647195818266</v>
      </c>
      <c r="L266" s="44">
        <f>Расходы!M76</f>
        <v>283.2343440045513</v>
      </c>
      <c r="M266" s="44">
        <f>Расходы!N76</f>
        <v>437.34087640000456</v>
      </c>
      <c r="N266" s="44">
        <f>Расходы!O76</f>
        <v>267.02521422313606</v>
      </c>
      <c r="O266" s="44">
        <f>Расходы!P76</f>
        <v>292.68767822321712</v>
      </c>
    </row>
    <row r="267" spans="1:15" x14ac:dyDescent="0.2">
      <c r="A267" s="38" t="s">
        <v>29</v>
      </c>
      <c r="D267" s="44">
        <f>Расходы!E77</f>
        <v>398.48511645499184</v>
      </c>
      <c r="E267" s="44">
        <f>Расходы!F77</f>
        <v>330.10613595283144</v>
      </c>
      <c r="F267" s="44">
        <f>Расходы!G77</f>
        <v>403.22840344679764</v>
      </c>
      <c r="G267" s="44">
        <f>Расходы!H77</f>
        <v>226.06770891617782</v>
      </c>
      <c r="H267" s="44">
        <f>Расходы!I77</f>
        <v>299.5167849961299</v>
      </c>
      <c r="I267" s="44">
        <f>Расходы!J77</f>
        <v>320.25185836109205</v>
      </c>
      <c r="J267" s="44">
        <f>Расходы!K77</f>
        <v>228.06341022179515</v>
      </c>
      <c r="K267" s="44">
        <f>Расходы!L77</f>
        <v>339.24701422410857</v>
      </c>
      <c r="L267" s="44">
        <f>Расходы!M77</f>
        <v>344.46891012240826</v>
      </c>
      <c r="M267" s="44">
        <f>Расходы!N77</f>
        <v>245.19764390742804</v>
      </c>
      <c r="N267" s="44">
        <f>Расходы!O77</f>
        <v>226.75870728251297</v>
      </c>
      <c r="O267" s="44">
        <f>Расходы!P77</f>
        <v>302.74258098658311</v>
      </c>
    </row>
    <row r="268" spans="1:15" x14ac:dyDescent="0.2">
      <c r="A268" s="38" t="s">
        <v>30</v>
      </c>
      <c r="D268" s="44">
        <f>Расходы!E78</f>
        <v>386.40844622559894</v>
      </c>
      <c r="E268" s="44">
        <f>Расходы!F78</f>
        <v>428.49516152901805</v>
      </c>
      <c r="F268" s="44">
        <f>Расходы!G78</f>
        <v>218.51251623724914</v>
      </c>
      <c r="G268" s="44">
        <f>Расходы!H78</f>
        <v>459.1709709550841</v>
      </c>
      <c r="H268" s="44">
        <f>Расходы!I78</f>
        <v>353.11537503830004</v>
      </c>
      <c r="I268" s="44">
        <f>Расходы!J78</f>
        <v>376.59493039255585</v>
      </c>
      <c r="J268" s="44">
        <f>Расходы!K78</f>
        <v>227.46513071996614</v>
      </c>
      <c r="K268" s="44">
        <f>Расходы!L78</f>
        <v>360.63526010275609</v>
      </c>
      <c r="L268" s="44">
        <f>Расходы!M78</f>
        <v>232.71681116954312</v>
      </c>
      <c r="M268" s="44">
        <f>Расходы!N78</f>
        <v>405.28073156661782</v>
      </c>
      <c r="N268" s="44">
        <f>Расходы!O78</f>
        <v>261.00370083165421</v>
      </c>
      <c r="O268" s="44">
        <f>Расходы!P78</f>
        <v>241.22289855021975</v>
      </c>
    </row>
    <row r="269" spans="1:15" x14ac:dyDescent="0.2">
      <c r="A269" s="38" t="s">
        <v>31</v>
      </c>
      <c r="D269" s="44">
        <f>Расходы!E79</f>
        <v>307.12839146805419</v>
      </c>
      <c r="E269" s="44">
        <f>Расходы!F79</f>
        <v>240.50290801134483</v>
      </c>
      <c r="F269" s="44">
        <f>Расходы!G79</f>
        <v>352.04285482583157</v>
      </c>
      <c r="G269" s="44">
        <f>Расходы!H79</f>
        <v>342.4151176199594</v>
      </c>
      <c r="H269" s="44">
        <f>Расходы!I79</f>
        <v>239.2574865813196</v>
      </c>
      <c r="I269" s="44">
        <f>Расходы!J79</f>
        <v>301.11987121773859</v>
      </c>
      <c r="J269" s="44">
        <f>Расходы!K79</f>
        <v>462.53672574408364</v>
      </c>
      <c r="K269" s="44">
        <f>Расходы!L79</f>
        <v>381.4758802919402</v>
      </c>
      <c r="L269" s="44">
        <f>Расходы!M79</f>
        <v>236.76132352138237</v>
      </c>
      <c r="M269" s="44">
        <f>Расходы!N79</f>
        <v>283.05590062813553</v>
      </c>
      <c r="N269" s="44">
        <f>Расходы!O79</f>
        <v>293.54347014082248</v>
      </c>
      <c r="O269" s="44">
        <f>Расходы!P79</f>
        <v>262.76981984822726</v>
      </c>
    </row>
    <row r="270" spans="1:15" x14ac:dyDescent="0.2">
      <c r="A270" s="38" t="s">
        <v>32</v>
      </c>
      <c r="D270" s="44">
        <f>Расходы!E80</f>
        <v>354.95997862231957</v>
      </c>
      <c r="E270" s="44">
        <f>Расходы!F80</f>
        <v>217.29418883666102</v>
      </c>
      <c r="F270" s="44">
        <f>Расходы!G80</f>
        <v>381.13046181549925</v>
      </c>
      <c r="G270" s="44">
        <f>Расходы!H80</f>
        <v>316.7105420134904</v>
      </c>
      <c r="H270" s="44">
        <f>Расходы!I80</f>
        <v>254.82708128014227</v>
      </c>
      <c r="I270" s="44">
        <f>Расходы!J80</f>
        <v>297.14406219284058</v>
      </c>
      <c r="J270" s="44">
        <f>Расходы!K80</f>
        <v>380.46174679159788</v>
      </c>
      <c r="K270" s="44">
        <f>Расходы!L80</f>
        <v>196.03371039701079</v>
      </c>
      <c r="L270" s="44">
        <f>Расходы!M80</f>
        <v>267.10344677818114</v>
      </c>
      <c r="M270" s="44">
        <f>Расходы!N80</f>
        <v>221.23568227582112</v>
      </c>
      <c r="N270" s="44">
        <f>Расходы!O80</f>
        <v>441.46329786546147</v>
      </c>
      <c r="O270" s="44">
        <f>Расходы!P80</f>
        <v>372.20093435266165</v>
      </c>
    </row>
    <row r="271" spans="1:15" x14ac:dyDescent="0.2">
      <c r="A271" s="38" t="s">
        <v>33</v>
      </c>
      <c r="D271" s="44">
        <f>Расходы!E81</f>
        <v>418.57231541399784</v>
      </c>
      <c r="E271" s="44">
        <f>Расходы!F81</f>
        <v>374.91737260250642</v>
      </c>
      <c r="F271" s="44">
        <f>Расходы!G81</f>
        <v>273.58843527852088</v>
      </c>
      <c r="G271" s="44">
        <f>Расходы!H81</f>
        <v>418.59243468339872</v>
      </c>
      <c r="H271" s="44">
        <f>Расходы!I81</f>
        <v>356.58039336369347</v>
      </c>
      <c r="I271" s="44">
        <f>Расходы!J81</f>
        <v>369.76824275531294</v>
      </c>
      <c r="J271" s="44">
        <f>Расходы!K81</f>
        <v>423.97880557628446</v>
      </c>
      <c r="K271" s="44">
        <f>Расходы!L81</f>
        <v>252.56416611124925</v>
      </c>
      <c r="L271" s="44">
        <f>Расходы!M81</f>
        <v>297.345678911601</v>
      </c>
      <c r="M271" s="44">
        <f>Расходы!N81</f>
        <v>380.1289087482678</v>
      </c>
      <c r="N271" s="44">
        <f>Расходы!O81</f>
        <v>361.91962238929091</v>
      </c>
      <c r="O271" s="44">
        <f>Расходы!P81</f>
        <v>241.77407770002671</v>
      </c>
    </row>
    <row r="272" spans="1:15" x14ac:dyDescent="0.2">
      <c r="A272" s="38" t="s">
        <v>34</v>
      </c>
      <c r="D272" s="44">
        <f>Расходы!E82</f>
        <v>402.67544185560536</v>
      </c>
      <c r="E272" s="44">
        <f>Расходы!F82</f>
        <v>252.18001799423749</v>
      </c>
      <c r="F272" s="44">
        <f>Расходы!G82</f>
        <v>340.26700723326451</v>
      </c>
      <c r="G272" s="44">
        <f>Расходы!H82</f>
        <v>391.6802713112271</v>
      </c>
      <c r="H272" s="44">
        <f>Расходы!I82</f>
        <v>283.85121225518492</v>
      </c>
      <c r="I272" s="44">
        <f>Расходы!J82</f>
        <v>209.28679346759824</v>
      </c>
      <c r="J272" s="44">
        <f>Расходы!K82</f>
        <v>357.13091569790345</v>
      </c>
      <c r="K272" s="44">
        <f>Расходы!L82</f>
        <v>234.05740511685565</v>
      </c>
      <c r="L272" s="44">
        <f>Расходы!M82</f>
        <v>460.78936072577079</v>
      </c>
      <c r="M272" s="44">
        <f>Расходы!N82</f>
        <v>215.50130844966961</v>
      </c>
      <c r="N272" s="44">
        <f>Расходы!O82</f>
        <v>303.61710856825283</v>
      </c>
      <c r="O272" s="44">
        <f>Расходы!P82</f>
        <v>209.71866601141483</v>
      </c>
    </row>
    <row r="273" spans="1:15" x14ac:dyDescent="0.2">
      <c r="A273" s="4" t="s">
        <v>36</v>
      </c>
      <c r="B273" s="4"/>
      <c r="C273" s="4"/>
      <c r="D273" s="45">
        <f>D469/D77</f>
        <v>228.49546769866095</v>
      </c>
      <c r="E273" s="45">
        <f t="shared" ref="E273:I273" si="150">E469/E77</f>
        <v>254.28778652065253</v>
      </c>
      <c r="F273" s="45">
        <f t="shared" si="150"/>
        <v>226.58164524555878</v>
      </c>
      <c r="G273" s="45">
        <f t="shared" si="150"/>
        <v>219.38455641131472</v>
      </c>
      <c r="H273" s="45">
        <f t="shared" si="150"/>
        <v>252.99375696946873</v>
      </c>
      <c r="I273" s="45">
        <f t="shared" si="150"/>
        <v>254.49041696431109</v>
      </c>
      <c r="J273" s="45">
        <f t="shared" ref="J273:O273" si="151">J469/J77</f>
        <v>208.48968471920338</v>
      </c>
      <c r="K273" s="45">
        <f t="shared" si="151"/>
        <v>217.67406858807138</v>
      </c>
      <c r="L273" s="45">
        <f t="shared" si="151"/>
        <v>263.25901422521787</v>
      </c>
      <c r="M273" s="45">
        <f t="shared" si="151"/>
        <v>219.95739152650674</v>
      </c>
      <c r="N273" s="45">
        <f t="shared" si="151"/>
        <v>267.07295012702667</v>
      </c>
      <c r="O273" s="45">
        <f t="shared" si="151"/>
        <v>223.60943686316037</v>
      </c>
    </row>
    <row r="274" spans="1:15" x14ac:dyDescent="0.2">
      <c r="A274" s="37" t="s">
        <v>24</v>
      </c>
      <c r="D274" s="46">
        <f>D470/D78</f>
        <v>146.16108179990621</v>
      </c>
      <c r="E274" s="46">
        <f t="shared" ref="E274:I274" si="152">E470/E78</f>
        <v>143.65360370984067</v>
      </c>
      <c r="F274" s="46">
        <f t="shared" si="152"/>
        <v>134.10212477601405</v>
      </c>
      <c r="G274" s="46">
        <f t="shared" si="152"/>
        <v>136.52350762108873</v>
      </c>
      <c r="H274" s="46">
        <f t="shared" si="152"/>
        <v>152.79846346550576</v>
      </c>
      <c r="I274" s="46">
        <f t="shared" si="152"/>
        <v>145.90676633622235</v>
      </c>
      <c r="J274" s="46">
        <f t="shared" ref="J274:O274" si="153">J470/J78</f>
        <v>150.04075508976726</v>
      </c>
      <c r="K274" s="46">
        <f t="shared" si="153"/>
        <v>130.53466937138703</v>
      </c>
      <c r="L274" s="46">
        <f t="shared" si="153"/>
        <v>151.77757669105725</v>
      </c>
      <c r="M274" s="46">
        <f t="shared" si="153"/>
        <v>135.67530468925335</v>
      </c>
      <c r="N274" s="46">
        <f t="shared" si="153"/>
        <v>148.39712099055026</v>
      </c>
      <c r="O274" s="46">
        <f t="shared" si="153"/>
        <v>156.27128076795404</v>
      </c>
    </row>
    <row r="275" spans="1:15" x14ac:dyDescent="0.2">
      <c r="A275" s="38" t="s">
        <v>25</v>
      </c>
      <c r="D275" s="44">
        <f>Расходы!E85</f>
        <v>110.24560243257478</v>
      </c>
      <c r="E275" s="44">
        <f>Расходы!F85</f>
        <v>70.550390017331281</v>
      </c>
      <c r="F275" s="44">
        <f>Расходы!G85</f>
        <v>150.50217947116991</v>
      </c>
      <c r="G275" s="44">
        <f>Расходы!H85</f>
        <v>82.979836703320828</v>
      </c>
      <c r="H275" s="44">
        <f>Расходы!I85</f>
        <v>161.17108051674563</v>
      </c>
      <c r="I275" s="44">
        <f>Расходы!J85</f>
        <v>114.14722448934228</v>
      </c>
      <c r="J275" s="44">
        <f>Расходы!K85</f>
        <v>158.24345464044151</v>
      </c>
      <c r="K275" s="44">
        <f>Расходы!L85</f>
        <v>114.73949483679169</v>
      </c>
      <c r="L275" s="44">
        <f>Расходы!M85</f>
        <v>167.60931514101262</v>
      </c>
      <c r="M275" s="44">
        <f>Расходы!N85</f>
        <v>76.324412977169388</v>
      </c>
      <c r="N275" s="44">
        <f>Расходы!O85</f>
        <v>86.379015448903658</v>
      </c>
      <c r="O275" s="44">
        <f>Расходы!P85</f>
        <v>98.133637621570813</v>
      </c>
    </row>
    <row r="276" spans="1:15" x14ac:dyDescent="0.2">
      <c r="A276" s="38" t="s">
        <v>26</v>
      </c>
      <c r="D276" s="44">
        <f>Расходы!E86</f>
        <v>158.65786425000508</v>
      </c>
      <c r="E276" s="44">
        <f>Расходы!F86</f>
        <v>171.92931819092519</v>
      </c>
      <c r="F276" s="44">
        <f>Расходы!G86</f>
        <v>97.097331875493637</v>
      </c>
      <c r="G276" s="44">
        <f>Расходы!H86</f>
        <v>186.52262057236058</v>
      </c>
      <c r="H276" s="44">
        <f>Расходы!I86</f>
        <v>102.48252600761413</v>
      </c>
      <c r="I276" s="44">
        <f>Расходы!J86</f>
        <v>184.86747495001566</v>
      </c>
      <c r="J276" s="44">
        <f>Расходы!K86</f>
        <v>161.91033376692147</v>
      </c>
      <c r="K276" s="44">
        <f>Расходы!L86</f>
        <v>135.42422302305422</v>
      </c>
      <c r="L276" s="44">
        <f>Расходы!M86</f>
        <v>139.20843691338536</v>
      </c>
      <c r="M276" s="44">
        <f>Расходы!N86</f>
        <v>118.29538503826895</v>
      </c>
      <c r="N276" s="44">
        <f>Расходы!O86</f>
        <v>109.53054489427286</v>
      </c>
      <c r="O276" s="44">
        <f>Расходы!P86</f>
        <v>102.24309576389774</v>
      </c>
    </row>
    <row r="277" spans="1:15" x14ac:dyDescent="0.2">
      <c r="A277" s="38" t="s">
        <v>27</v>
      </c>
      <c r="D277" s="44">
        <f>Расходы!E87</f>
        <v>104.681899817211</v>
      </c>
      <c r="E277" s="44">
        <f>Расходы!F87</f>
        <v>229.64114756421407</v>
      </c>
      <c r="F277" s="44">
        <f>Расходы!G87</f>
        <v>187.65316075031018</v>
      </c>
      <c r="G277" s="44">
        <f>Расходы!H87</f>
        <v>91.298175837487577</v>
      </c>
      <c r="H277" s="44">
        <f>Расходы!I87</f>
        <v>142.09728930694428</v>
      </c>
      <c r="I277" s="44">
        <f>Расходы!J87</f>
        <v>160.46802426867924</v>
      </c>
      <c r="J277" s="44">
        <f>Расходы!K87</f>
        <v>80.682821482399532</v>
      </c>
      <c r="K277" s="44">
        <f>Расходы!L87</f>
        <v>97.321477951494046</v>
      </c>
      <c r="L277" s="44">
        <f>Расходы!M87</f>
        <v>127.74966962274958</v>
      </c>
      <c r="M277" s="44">
        <f>Расходы!N87</f>
        <v>200.60348460210196</v>
      </c>
      <c r="N277" s="44">
        <f>Расходы!O87</f>
        <v>242.04740911167497</v>
      </c>
      <c r="O277" s="44">
        <f>Расходы!P87</f>
        <v>68.92739953384924</v>
      </c>
    </row>
    <row r="278" spans="1:15" x14ac:dyDescent="0.2">
      <c r="A278" s="38" t="s">
        <v>28</v>
      </c>
      <c r="D278" s="44">
        <f>Расходы!E88</f>
        <v>116.0066317806555</v>
      </c>
      <c r="E278" s="44">
        <f>Расходы!F88</f>
        <v>113.92381064592344</v>
      </c>
      <c r="F278" s="44">
        <f>Расходы!G88</f>
        <v>161.40121642092078</v>
      </c>
      <c r="G278" s="44">
        <f>Расходы!H88</f>
        <v>96.395368894853505</v>
      </c>
      <c r="H278" s="44">
        <f>Расходы!I88</f>
        <v>180.24023540350404</v>
      </c>
      <c r="I278" s="44">
        <f>Расходы!J88</f>
        <v>133.24883734810439</v>
      </c>
      <c r="J278" s="44">
        <f>Расходы!K88</f>
        <v>167.96427110217169</v>
      </c>
      <c r="K278" s="44">
        <f>Расходы!L88</f>
        <v>103.71704518670364</v>
      </c>
      <c r="L278" s="44">
        <f>Расходы!M88</f>
        <v>125.75921551729161</v>
      </c>
      <c r="M278" s="44">
        <f>Расходы!N88</f>
        <v>84.852417736525936</v>
      </c>
      <c r="N278" s="44">
        <f>Расходы!O88</f>
        <v>169.83605282581885</v>
      </c>
      <c r="O278" s="44">
        <f>Расходы!P88</f>
        <v>94.363033489849684</v>
      </c>
    </row>
    <row r="279" spans="1:15" x14ac:dyDescent="0.2">
      <c r="A279" s="38" t="s">
        <v>29</v>
      </c>
      <c r="D279" s="44">
        <f>Расходы!E89</f>
        <v>162.18320016030901</v>
      </c>
      <c r="E279" s="44">
        <f>Расходы!F89</f>
        <v>128.70050991416821</v>
      </c>
      <c r="F279" s="44">
        <f>Расходы!G89</f>
        <v>136.4300065838917</v>
      </c>
      <c r="G279" s="44">
        <f>Расходы!H89</f>
        <v>108.0087194272124</v>
      </c>
      <c r="H279" s="44">
        <f>Расходы!I89</f>
        <v>106.15455879403521</v>
      </c>
      <c r="I279" s="44">
        <f>Расходы!J89</f>
        <v>139.0806426901986</v>
      </c>
      <c r="J279" s="44">
        <f>Расходы!K89</f>
        <v>105.65938678895988</v>
      </c>
      <c r="K279" s="44">
        <f>Расходы!L89</f>
        <v>83.507914901781518</v>
      </c>
      <c r="L279" s="44">
        <f>Расходы!M89</f>
        <v>189.96868905308276</v>
      </c>
      <c r="M279" s="44">
        <f>Расходы!N89</f>
        <v>105.66410263260401</v>
      </c>
      <c r="N279" s="44">
        <f>Расходы!O89</f>
        <v>147.21962268209671</v>
      </c>
      <c r="O279" s="44">
        <f>Расходы!P89</f>
        <v>77.110915988208404</v>
      </c>
    </row>
    <row r="280" spans="1:15" x14ac:dyDescent="0.2">
      <c r="A280" s="38" t="s">
        <v>30</v>
      </c>
      <c r="D280" s="44">
        <f>Расходы!E90</f>
        <v>116.08908682900484</v>
      </c>
      <c r="E280" s="44">
        <f>Расходы!F90</f>
        <v>100.1882461749837</v>
      </c>
      <c r="F280" s="44">
        <f>Расходы!G90</f>
        <v>152.12632929930024</v>
      </c>
      <c r="G280" s="44">
        <f>Расходы!H90</f>
        <v>238.15223513696597</v>
      </c>
      <c r="H280" s="44">
        <f>Расходы!I90</f>
        <v>176.75191353790058</v>
      </c>
      <c r="I280" s="44">
        <f>Расходы!J90</f>
        <v>197.87277041700622</v>
      </c>
      <c r="J280" s="44">
        <f>Расходы!K90</f>
        <v>238.50447680488776</v>
      </c>
      <c r="K280" s="44">
        <f>Расходы!L90</f>
        <v>176.55741206631166</v>
      </c>
      <c r="L280" s="44">
        <f>Расходы!M90</f>
        <v>168.60722450429066</v>
      </c>
      <c r="M280" s="44">
        <f>Расходы!N90</f>
        <v>188.03649031531592</v>
      </c>
      <c r="N280" s="44">
        <f>Расходы!O90</f>
        <v>98.575409623975986</v>
      </c>
      <c r="O280" s="44">
        <f>Расходы!P90</f>
        <v>214.88652781962546</v>
      </c>
    </row>
    <row r="281" spans="1:15" x14ac:dyDescent="0.2">
      <c r="A281" s="38" t="s">
        <v>31</v>
      </c>
      <c r="D281" s="44">
        <f>Расходы!E91</f>
        <v>132.104074864501</v>
      </c>
      <c r="E281" s="44">
        <f>Расходы!F91</f>
        <v>84.745983539852688</v>
      </c>
      <c r="F281" s="44">
        <f>Расходы!G91</f>
        <v>112.24188132497906</v>
      </c>
      <c r="G281" s="44">
        <f>Расходы!H91</f>
        <v>141.68019569298937</v>
      </c>
      <c r="H281" s="44">
        <f>Расходы!I91</f>
        <v>222.11774209627183</v>
      </c>
      <c r="I281" s="44">
        <f>Расходы!J91</f>
        <v>59.412662408035949</v>
      </c>
      <c r="J281" s="44">
        <f>Расходы!K91</f>
        <v>211.32666803572224</v>
      </c>
      <c r="K281" s="44">
        <f>Расходы!L91</f>
        <v>146.19826989042434</v>
      </c>
      <c r="L281" s="44">
        <f>Расходы!M91</f>
        <v>187.17731025682096</v>
      </c>
      <c r="M281" s="44">
        <f>Расходы!N91</f>
        <v>127.5292402807534</v>
      </c>
      <c r="N281" s="44">
        <f>Расходы!O91</f>
        <v>155.38414141335002</v>
      </c>
      <c r="O281" s="44">
        <f>Расходы!P91</f>
        <v>116.11909806214173</v>
      </c>
    </row>
    <row r="282" spans="1:15" x14ac:dyDescent="0.2">
      <c r="A282" s="38" t="s">
        <v>32</v>
      </c>
      <c r="D282" s="44">
        <f>Расходы!E92</f>
        <v>153.43815850791182</v>
      </c>
      <c r="E282" s="44">
        <f>Расходы!F92</f>
        <v>131.11162310477476</v>
      </c>
      <c r="F282" s="44">
        <f>Расходы!G92</f>
        <v>173.67684369643473</v>
      </c>
      <c r="G282" s="44">
        <f>Расходы!H92</f>
        <v>120.28916735430336</v>
      </c>
      <c r="H282" s="44">
        <f>Расходы!I92</f>
        <v>89.623254576971476</v>
      </c>
      <c r="I282" s="44">
        <f>Расходы!J92</f>
        <v>199.4327769706079</v>
      </c>
      <c r="J282" s="44">
        <f>Расходы!K92</f>
        <v>125.06550327695059</v>
      </c>
      <c r="K282" s="44">
        <f>Расходы!L92</f>
        <v>96.272190101677353</v>
      </c>
      <c r="L282" s="44">
        <f>Расходы!M92</f>
        <v>99.341160321376222</v>
      </c>
      <c r="M282" s="44">
        <f>Расходы!N92</f>
        <v>154.48914076973338</v>
      </c>
      <c r="N282" s="44">
        <f>Расходы!O92</f>
        <v>145.65671643060631</v>
      </c>
      <c r="O282" s="44">
        <f>Расходы!P92</f>
        <v>161.66696668675721</v>
      </c>
    </row>
    <row r="283" spans="1:15" x14ac:dyDescent="0.2">
      <c r="A283" s="38" t="s">
        <v>33</v>
      </c>
      <c r="D283" s="44">
        <f>Расходы!E93</f>
        <v>150.55237769673275</v>
      </c>
      <c r="E283" s="44">
        <f>Расходы!F93</f>
        <v>63.85505574082454</v>
      </c>
      <c r="F283" s="44">
        <f>Расходы!G93</f>
        <v>170.9799366579816</v>
      </c>
      <c r="G283" s="44">
        <f>Расходы!H93</f>
        <v>169.51666886123331</v>
      </c>
      <c r="H283" s="44">
        <f>Расходы!I93</f>
        <v>132.36533251860436</v>
      </c>
      <c r="I283" s="44">
        <f>Расходы!J93</f>
        <v>165.11361756925797</v>
      </c>
      <c r="J283" s="44">
        <f>Расходы!K93</f>
        <v>132.02131003627889</v>
      </c>
      <c r="K283" s="44">
        <f>Расходы!L93</f>
        <v>121.9823420164105</v>
      </c>
      <c r="L283" s="44">
        <f>Расходы!M93</f>
        <v>131.41468585405809</v>
      </c>
      <c r="M283" s="44">
        <f>Расходы!N93</f>
        <v>138.63648587390662</v>
      </c>
      <c r="N283" s="44">
        <f>Расходы!O93</f>
        <v>73.443918922040226</v>
      </c>
      <c r="O283" s="44">
        <f>Расходы!P93</f>
        <v>192.43554364781383</v>
      </c>
    </row>
    <row r="284" spans="1:15" x14ac:dyDescent="0.2">
      <c r="A284" s="38" t="s">
        <v>34</v>
      </c>
      <c r="D284" s="44">
        <f>Расходы!E94</f>
        <v>114.56802073226966</v>
      </c>
      <c r="E284" s="44">
        <f>Расходы!F94</f>
        <v>110.45918171477227</v>
      </c>
      <c r="F284" s="44">
        <f>Расходы!G94</f>
        <v>86.027002185130584</v>
      </c>
      <c r="G284" s="44">
        <f>Расходы!H94</f>
        <v>149.17017624387842</v>
      </c>
      <c r="H284" s="44">
        <f>Расходы!I94</f>
        <v>130.96316713181801</v>
      </c>
      <c r="I284" s="44">
        <f>Расходы!J94</f>
        <v>216.31173297498</v>
      </c>
      <c r="J284" s="44">
        <f>Расходы!K94</f>
        <v>92.929321528168586</v>
      </c>
      <c r="K284" s="44">
        <f>Расходы!L94</f>
        <v>144.96255651477119</v>
      </c>
      <c r="L284" s="44">
        <f>Расходы!M94</f>
        <v>184.78089568536254</v>
      </c>
      <c r="M284" s="44">
        <f>Расходы!N94</f>
        <v>115.99826445341331</v>
      </c>
      <c r="N284" s="44">
        <f>Расходы!O94</f>
        <v>143.31835717389333</v>
      </c>
      <c r="O284" s="44">
        <f>Расходы!P94</f>
        <v>141.16354916163249</v>
      </c>
    </row>
    <row r="285" spans="1:15" x14ac:dyDescent="0.2">
      <c r="A285" s="37" t="s">
        <v>35</v>
      </c>
      <c r="D285" s="46">
        <f>D481/D89</f>
        <v>292.17161026008245</v>
      </c>
      <c r="E285" s="46">
        <f t="shared" ref="E285:I285" si="154">E481/E89</f>
        <v>341.72542920212385</v>
      </c>
      <c r="F285" s="46">
        <f t="shared" si="154"/>
        <v>308.75840945396357</v>
      </c>
      <c r="G285" s="46">
        <f t="shared" si="154"/>
        <v>266.45761631992076</v>
      </c>
      <c r="H285" s="46">
        <f t="shared" si="154"/>
        <v>369.03387380111866</v>
      </c>
      <c r="I285" s="46">
        <f t="shared" si="154"/>
        <v>348.7771922308911</v>
      </c>
      <c r="J285" s="46">
        <f t="shared" ref="J285:O285" si="155">J481/J89</f>
        <v>285.49247019830125</v>
      </c>
      <c r="K285" s="46">
        <f t="shared" si="155"/>
        <v>302.24614002056904</v>
      </c>
      <c r="L285" s="46">
        <f t="shared" si="155"/>
        <v>332.73636603031423</v>
      </c>
      <c r="M285" s="46">
        <f t="shared" si="155"/>
        <v>328.29653457473887</v>
      </c>
      <c r="N285" s="46">
        <f t="shared" si="155"/>
        <v>391.7452558490225</v>
      </c>
      <c r="O285" s="46">
        <f t="shared" si="155"/>
        <v>342.41660077885462</v>
      </c>
    </row>
    <row r="286" spans="1:15" x14ac:dyDescent="0.2">
      <c r="A286" s="38" t="s">
        <v>25</v>
      </c>
      <c r="D286" s="44">
        <f>Расходы!E96</f>
        <v>223.48755416548013</v>
      </c>
      <c r="E286" s="44">
        <f>Расходы!F96</f>
        <v>367.00628298600526</v>
      </c>
      <c r="F286" s="44">
        <f>Расходы!G96</f>
        <v>245.16556626489137</v>
      </c>
      <c r="G286" s="44">
        <f>Расходы!H96</f>
        <v>272.39348753916477</v>
      </c>
      <c r="H286" s="44">
        <f>Расходы!I96</f>
        <v>299.43411691298962</v>
      </c>
      <c r="I286" s="44">
        <f>Расходы!J96</f>
        <v>231.60817712241172</v>
      </c>
      <c r="J286" s="44">
        <f>Расходы!K96</f>
        <v>316.23310857931256</v>
      </c>
      <c r="K286" s="44">
        <f>Расходы!L96</f>
        <v>323.68094180319395</v>
      </c>
      <c r="L286" s="44">
        <f>Расходы!M96</f>
        <v>391.79316782837174</v>
      </c>
      <c r="M286" s="44">
        <f>Расходы!N96</f>
        <v>397.15269769694811</v>
      </c>
      <c r="N286" s="44">
        <f>Расходы!O96</f>
        <v>269.47386952796364</v>
      </c>
      <c r="O286" s="44">
        <f>Расходы!P96</f>
        <v>369.09319972113428</v>
      </c>
    </row>
    <row r="287" spans="1:15" x14ac:dyDescent="0.2">
      <c r="A287" s="38" t="s">
        <v>26</v>
      </c>
      <c r="D287" s="44">
        <f>Расходы!E97</f>
        <v>220.75437383763494</v>
      </c>
      <c r="E287" s="44">
        <f>Расходы!F97</f>
        <v>332.01055455048669</v>
      </c>
      <c r="F287" s="44">
        <f>Расходы!G97</f>
        <v>373.36563264070071</v>
      </c>
      <c r="G287" s="44">
        <f>Расходы!H97</f>
        <v>310.09545518315235</v>
      </c>
      <c r="H287" s="44">
        <f>Расходы!I97</f>
        <v>373.72938029449352</v>
      </c>
      <c r="I287" s="44">
        <f>Расходы!J97</f>
        <v>398.19292582063628</v>
      </c>
      <c r="J287" s="44">
        <f>Расходы!K97</f>
        <v>216.75885410384009</v>
      </c>
      <c r="K287" s="44">
        <f>Расходы!L97</f>
        <v>333.16941991598736</v>
      </c>
      <c r="L287" s="44">
        <f>Расходы!M97</f>
        <v>233.89640996630652</v>
      </c>
      <c r="M287" s="44">
        <f>Расходы!N97</f>
        <v>334.00046594742565</v>
      </c>
      <c r="N287" s="44">
        <f>Расходы!O97</f>
        <v>287.351379940215</v>
      </c>
      <c r="O287" s="44">
        <f>Расходы!P97</f>
        <v>336.90525473777666</v>
      </c>
    </row>
    <row r="288" spans="1:15" x14ac:dyDescent="0.2">
      <c r="A288" s="38" t="s">
        <v>27</v>
      </c>
      <c r="D288" s="44">
        <f>Расходы!E98</f>
        <v>362.40548916094679</v>
      </c>
      <c r="E288" s="44">
        <f>Расходы!F98</f>
        <v>340.38037717894417</v>
      </c>
      <c r="F288" s="44">
        <f>Расходы!G98</f>
        <v>245.21438230915004</v>
      </c>
      <c r="G288" s="44">
        <f>Расходы!H98</f>
        <v>368.44079900882099</v>
      </c>
      <c r="H288" s="44">
        <f>Расходы!I98</f>
        <v>302.03386003931411</v>
      </c>
      <c r="I288" s="44">
        <f>Расходы!J98</f>
        <v>287.67290831602077</v>
      </c>
      <c r="J288" s="44">
        <f>Расходы!K98</f>
        <v>337.37101564119456</v>
      </c>
      <c r="K288" s="44">
        <f>Расходы!L98</f>
        <v>392.74683188785252</v>
      </c>
      <c r="L288" s="44">
        <f>Расходы!M98</f>
        <v>331.53892158010495</v>
      </c>
      <c r="M288" s="44">
        <f>Расходы!N98</f>
        <v>441.56185179912177</v>
      </c>
      <c r="N288" s="44">
        <f>Расходы!O98</f>
        <v>363.55772847107755</v>
      </c>
      <c r="O288" s="44">
        <f>Расходы!P98</f>
        <v>232.44321987509252</v>
      </c>
    </row>
    <row r="289" spans="1:15" x14ac:dyDescent="0.2">
      <c r="A289" s="38" t="s">
        <v>28</v>
      </c>
      <c r="D289" s="44">
        <f>Расходы!E99</f>
        <v>274.20530832890904</v>
      </c>
      <c r="E289" s="44">
        <f>Расходы!F99</f>
        <v>283.82757496261189</v>
      </c>
      <c r="F289" s="44">
        <f>Расходы!G99</f>
        <v>362.56029872914218</v>
      </c>
      <c r="G289" s="44">
        <f>Расходы!H99</f>
        <v>301.98073292704555</v>
      </c>
      <c r="H289" s="44">
        <f>Расходы!I99</f>
        <v>242.57203717576292</v>
      </c>
      <c r="I289" s="44">
        <f>Расходы!J99</f>
        <v>350.79700201808458</v>
      </c>
      <c r="J289" s="44">
        <f>Расходы!K99</f>
        <v>491.1390136557967</v>
      </c>
      <c r="K289" s="44">
        <f>Расходы!L99</f>
        <v>390.94673556801558</v>
      </c>
      <c r="L289" s="44">
        <f>Расходы!M99</f>
        <v>417.22450782591301</v>
      </c>
      <c r="M289" s="44">
        <f>Расходы!N99</f>
        <v>239.30873800600216</v>
      </c>
      <c r="N289" s="44">
        <f>Расходы!O99</f>
        <v>454.89163116374766</v>
      </c>
      <c r="O289" s="44">
        <f>Расходы!P99</f>
        <v>425.28714084152148</v>
      </c>
    </row>
    <row r="290" spans="1:15" x14ac:dyDescent="0.2">
      <c r="A290" s="38" t="s">
        <v>29</v>
      </c>
      <c r="D290" s="44">
        <f>Расходы!E100</f>
        <v>383.94012013875647</v>
      </c>
      <c r="E290" s="44">
        <f>Расходы!F100</f>
        <v>260.56370446170195</v>
      </c>
      <c r="F290" s="44">
        <f>Расходы!G100</f>
        <v>216.95155572901862</v>
      </c>
      <c r="G290" s="44">
        <f>Расходы!H100</f>
        <v>247.75107819190114</v>
      </c>
      <c r="H290" s="44">
        <f>Расходы!I100</f>
        <v>317.80235438061959</v>
      </c>
      <c r="I290" s="44">
        <f>Расходы!J100</f>
        <v>444.8258660311879</v>
      </c>
      <c r="J290" s="44">
        <f>Расходы!K100</f>
        <v>262.80319422503555</v>
      </c>
      <c r="K290" s="44">
        <f>Расходы!L100</f>
        <v>277.58664022347978</v>
      </c>
      <c r="L290" s="44">
        <f>Расходы!M100</f>
        <v>194.59551528059086</v>
      </c>
      <c r="M290" s="44">
        <f>Расходы!N100</f>
        <v>360.63034814684289</v>
      </c>
      <c r="N290" s="44">
        <f>Расходы!O100</f>
        <v>400.58220816934613</v>
      </c>
      <c r="O290" s="44">
        <f>Расходы!P100</f>
        <v>382.21264392602149</v>
      </c>
    </row>
    <row r="291" spans="1:15" x14ac:dyDescent="0.2">
      <c r="A291" s="38" t="s">
        <v>30</v>
      </c>
      <c r="D291" s="44">
        <f>Расходы!E101</f>
        <v>277.41049791430248</v>
      </c>
      <c r="E291" s="44">
        <f>Расходы!F101</f>
        <v>407.82913502626997</v>
      </c>
      <c r="F291" s="44">
        <f>Расходы!G101</f>
        <v>363.92807482834621</v>
      </c>
      <c r="G291" s="44">
        <f>Расходы!H101</f>
        <v>308.98676154375056</v>
      </c>
      <c r="H291" s="44">
        <f>Расходы!I101</f>
        <v>311.47952653367992</v>
      </c>
      <c r="I291" s="44">
        <f>Расходы!J101</f>
        <v>416.62933555046425</v>
      </c>
      <c r="J291" s="44">
        <f>Расходы!K101</f>
        <v>290.65110187711707</v>
      </c>
      <c r="K291" s="44">
        <f>Расходы!L101</f>
        <v>417.20636349598942</v>
      </c>
      <c r="L291" s="44">
        <f>Расходы!M101</f>
        <v>256.04643182904528</v>
      </c>
      <c r="M291" s="44">
        <f>Расходы!N101</f>
        <v>269.89599958220344</v>
      </c>
      <c r="N291" s="44">
        <f>Расходы!O101</f>
        <v>358.21965288548131</v>
      </c>
      <c r="O291" s="44">
        <f>Расходы!P101</f>
        <v>350.03254946946981</v>
      </c>
    </row>
    <row r="292" spans="1:15" x14ac:dyDescent="0.2">
      <c r="A292" s="38" t="s">
        <v>31</v>
      </c>
      <c r="D292" s="44">
        <f>Расходы!E102</f>
        <v>280.27467393944482</v>
      </c>
      <c r="E292" s="44">
        <f>Расходы!F102</f>
        <v>361.15897559272804</v>
      </c>
      <c r="F292" s="44">
        <f>Расходы!G102</f>
        <v>272.06657239157568</v>
      </c>
      <c r="G292" s="44">
        <f>Расходы!H102</f>
        <v>198.17072609712085</v>
      </c>
      <c r="H292" s="44">
        <f>Расходы!I102</f>
        <v>373.28576578328648</v>
      </c>
      <c r="I292" s="44">
        <f>Расходы!J102</f>
        <v>354.67830364476885</v>
      </c>
      <c r="J292" s="44">
        <f>Расходы!K102</f>
        <v>246.17602991239923</v>
      </c>
      <c r="K292" s="44">
        <f>Расходы!L102</f>
        <v>323.34202808380712</v>
      </c>
      <c r="L292" s="44">
        <f>Расходы!M102</f>
        <v>451.34742970597904</v>
      </c>
      <c r="M292" s="44">
        <f>Расходы!N102</f>
        <v>323.05931734517213</v>
      </c>
      <c r="N292" s="44">
        <f>Расходы!O102</f>
        <v>478.35765894843223</v>
      </c>
      <c r="O292" s="44">
        <f>Расходы!P102</f>
        <v>323.41817697387063</v>
      </c>
    </row>
    <row r="293" spans="1:15" x14ac:dyDescent="0.2">
      <c r="A293" s="38" t="s">
        <v>32</v>
      </c>
      <c r="D293" s="44">
        <f>Расходы!E103</f>
        <v>252.69376623957439</v>
      </c>
      <c r="E293" s="44">
        <f>Расходы!F103</f>
        <v>396.64311711291606</v>
      </c>
      <c r="F293" s="44">
        <f>Расходы!G103</f>
        <v>339.72049133371763</v>
      </c>
      <c r="G293" s="44">
        <f>Расходы!H103</f>
        <v>323.37559176576184</v>
      </c>
      <c r="H293" s="44">
        <f>Расходы!I103</f>
        <v>428.48485665345203</v>
      </c>
      <c r="I293" s="44">
        <f>Расходы!J103</f>
        <v>251.89098691379715</v>
      </c>
      <c r="J293" s="44">
        <f>Расходы!K103</f>
        <v>235.60291307537932</v>
      </c>
      <c r="K293" s="44">
        <f>Расходы!L103</f>
        <v>223.38720199699981</v>
      </c>
      <c r="L293" s="44">
        <f>Расходы!M103</f>
        <v>466.18382440450858</v>
      </c>
      <c r="M293" s="44">
        <f>Расходы!N103</f>
        <v>335.53484752597734</v>
      </c>
      <c r="N293" s="44">
        <f>Расходы!O103</f>
        <v>465.8139129524522</v>
      </c>
      <c r="O293" s="44">
        <f>Расходы!P103</f>
        <v>394.77243314263518</v>
      </c>
    </row>
    <row r="294" spans="1:15" x14ac:dyDescent="0.2">
      <c r="A294" s="38" t="s">
        <v>33</v>
      </c>
      <c r="D294" s="44">
        <f>Расходы!E104</f>
        <v>318.3508366559098</v>
      </c>
      <c r="E294" s="44">
        <f>Расходы!F104</f>
        <v>408.78006606001145</v>
      </c>
      <c r="F294" s="44">
        <f>Расходы!G104</f>
        <v>231.85058874495476</v>
      </c>
      <c r="G294" s="44">
        <f>Расходы!H104</f>
        <v>218.49287993737929</v>
      </c>
      <c r="H294" s="44">
        <f>Расходы!I104</f>
        <v>227.12061101046439</v>
      </c>
      <c r="I294" s="44">
        <f>Расходы!J104</f>
        <v>235.25717801655708</v>
      </c>
      <c r="J294" s="44">
        <f>Расходы!K104</f>
        <v>212.4416597446716</v>
      </c>
      <c r="K294" s="44">
        <f>Расходы!L104</f>
        <v>394.27431303599701</v>
      </c>
      <c r="L294" s="44">
        <f>Расходы!M104</f>
        <v>399.01795037012977</v>
      </c>
      <c r="M294" s="44">
        <f>Расходы!N104</f>
        <v>467.22358315269202</v>
      </c>
      <c r="N294" s="44">
        <f>Расходы!O104</f>
        <v>295.86521305704366</v>
      </c>
      <c r="O294" s="44">
        <f>Расходы!P104</f>
        <v>426.05945301181617</v>
      </c>
    </row>
    <row r="295" spans="1:15" x14ac:dyDescent="0.2">
      <c r="A295" s="38" t="s">
        <v>34</v>
      </c>
      <c r="D295" s="44">
        <f>Расходы!E105</f>
        <v>263.19074174265546</v>
      </c>
      <c r="E295" s="44">
        <f>Расходы!F105</f>
        <v>252.09291778925714</v>
      </c>
      <c r="F295" s="44">
        <f>Расходы!G105</f>
        <v>235.54960363806049</v>
      </c>
      <c r="G295" s="44">
        <f>Расходы!H105</f>
        <v>283.00354027679151</v>
      </c>
      <c r="H295" s="44">
        <f>Расходы!I105</f>
        <v>388.80970980654536</v>
      </c>
      <c r="I295" s="44">
        <f>Расходы!J105</f>
        <v>217.68588971843965</v>
      </c>
      <c r="J295" s="44">
        <f>Расходы!K105</f>
        <v>206.97946513079964</v>
      </c>
      <c r="K295" s="44">
        <f>Расходы!L105</f>
        <v>253.02026807412511</v>
      </c>
      <c r="L295" s="44">
        <f>Расходы!M105</f>
        <v>238.38767948662621</v>
      </c>
      <c r="M295" s="44">
        <f>Расходы!N105</f>
        <v>256.54602558334403</v>
      </c>
      <c r="N295" s="44">
        <f>Расходы!O105</f>
        <v>441.50403672570479</v>
      </c>
      <c r="O295" s="44">
        <f>Расходы!P105</f>
        <v>375.41861805546432</v>
      </c>
    </row>
    <row r="296" spans="1:15" x14ac:dyDescent="0.2"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</row>
    <row r="297" spans="1:15" x14ac:dyDescent="0.2">
      <c r="A297" s="3" t="s">
        <v>52</v>
      </c>
      <c r="B297" s="3"/>
      <c r="C297" s="3"/>
      <c r="D297" s="43">
        <f>D299+D347</f>
        <v>525497.41811697045</v>
      </c>
      <c r="E297" s="43">
        <f t="shared" ref="E297:I297" si="156">E299+E347</f>
        <v>536151.03878688288</v>
      </c>
      <c r="F297" s="43">
        <f t="shared" si="156"/>
        <v>659596.93070721696</v>
      </c>
      <c r="G297" s="43">
        <f t="shared" si="156"/>
        <v>678298.89438657858</v>
      </c>
      <c r="H297" s="43">
        <f t="shared" si="156"/>
        <v>694448.97505201271</v>
      </c>
      <c r="I297" s="43">
        <f t="shared" si="156"/>
        <v>566581.06952888565</v>
      </c>
      <c r="J297" s="43">
        <f t="shared" ref="J297:O297" si="157">J299+J347</f>
        <v>608540.62811869173</v>
      </c>
      <c r="K297" s="43">
        <f t="shared" si="157"/>
        <v>661382.82971404376</v>
      </c>
      <c r="L297" s="43">
        <f t="shared" si="157"/>
        <v>581067.85779484548</v>
      </c>
      <c r="M297" s="43">
        <f t="shared" si="157"/>
        <v>699568.48245740344</v>
      </c>
      <c r="N297" s="43">
        <f t="shared" si="157"/>
        <v>684216.46544457937</v>
      </c>
      <c r="O297" s="43">
        <f t="shared" si="157"/>
        <v>552610.44124727976</v>
      </c>
    </row>
    <row r="298" spans="1:15" x14ac:dyDescent="0.2">
      <c r="A298" s="37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</row>
    <row r="299" spans="1:15" x14ac:dyDescent="0.2">
      <c r="A299" s="3" t="s">
        <v>22</v>
      </c>
      <c r="B299" s="3"/>
      <c r="C299" s="3"/>
      <c r="D299" s="43">
        <f>D300+D323</f>
        <v>240063.19131449083</v>
      </c>
      <c r="E299" s="43">
        <f t="shared" ref="E299:I299" si="158">E300+E323</f>
        <v>237597.06596139623</v>
      </c>
      <c r="F299" s="43">
        <f t="shared" si="158"/>
        <v>196353.01144871998</v>
      </c>
      <c r="G299" s="43">
        <f t="shared" si="158"/>
        <v>245961.71802177059</v>
      </c>
      <c r="H299" s="43">
        <f t="shared" si="158"/>
        <v>330484.01850629959</v>
      </c>
      <c r="I299" s="43">
        <f t="shared" si="158"/>
        <v>272584.84192158951</v>
      </c>
      <c r="J299" s="43">
        <f t="shared" ref="J299" si="159">J300+J323</f>
        <v>286408.18935413507</v>
      </c>
      <c r="K299" s="43">
        <f t="shared" ref="K299" si="160">K300+K323</f>
        <v>259562.88545375282</v>
      </c>
      <c r="L299" s="43">
        <f t="shared" ref="L299" si="161">L300+L323</f>
        <v>219132.42445864895</v>
      </c>
      <c r="M299" s="43">
        <f t="shared" ref="M299" si="162">M300+M323</f>
        <v>268749.11675643898</v>
      </c>
      <c r="N299" s="43">
        <f t="shared" ref="N299" si="163">N300+N323</f>
        <v>309422.26432556054</v>
      </c>
      <c r="O299" s="43">
        <f t="shared" ref="O299" si="164">O300+O323</f>
        <v>295129.54592364491</v>
      </c>
    </row>
    <row r="300" spans="1:15" x14ac:dyDescent="0.2">
      <c r="A300" s="4" t="s">
        <v>23</v>
      </c>
      <c r="B300" s="4"/>
      <c r="C300" s="4"/>
      <c r="D300" s="45">
        <f>D301+D312</f>
        <v>145990.84925621963</v>
      </c>
      <c r="E300" s="45">
        <f t="shared" ref="E300:I300" si="165">E301+E312</f>
        <v>112654.05526097665</v>
      </c>
      <c r="F300" s="45">
        <f t="shared" si="165"/>
        <v>113158.22231371354</v>
      </c>
      <c r="G300" s="45">
        <f t="shared" si="165"/>
        <v>126039.05826643636</v>
      </c>
      <c r="H300" s="45">
        <f t="shared" si="165"/>
        <v>142050.8628983995</v>
      </c>
      <c r="I300" s="45">
        <f t="shared" si="165"/>
        <v>128445.79536921108</v>
      </c>
      <c r="J300" s="45">
        <f t="shared" ref="J300" si="166">J301+J312</f>
        <v>165047.28705549645</v>
      </c>
      <c r="K300" s="45">
        <f t="shared" ref="K300" si="167">K301+K312</f>
        <v>128108.61023908464</v>
      </c>
      <c r="L300" s="45">
        <f t="shared" ref="L300" si="168">L301+L312</f>
        <v>111447.19845258645</v>
      </c>
      <c r="M300" s="45">
        <f t="shared" ref="M300" si="169">M301+M312</f>
        <v>158393.61334170634</v>
      </c>
      <c r="N300" s="45">
        <f t="shared" ref="N300" si="170">N301+N312</f>
        <v>139046.75990055865</v>
      </c>
      <c r="O300" s="45">
        <f t="shared" ref="O300" si="171">O301+O312</f>
        <v>144256.55320121953</v>
      </c>
    </row>
    <row r="301" spans="1:15" x14ac:dyDescent="0.2">
      <c r="A301" s="37" t="s">
        <v>24</v>
      </c>
      <c r="D301" s="46">
        <f>SUM(D302:D311)</f>
        <v>34799.970273190484</v>
      </c>
      <c r="E301" s="46">
        <f t="shared" ref="E301:I301" si="172">SUM(E302:E311)</f>
        <v>33725.641958252818</v>
      </c>
      <c r="F301" s="46">
        <f t="shared" si="172"/>
        <v>27452.806521426268</v>
      </c>
      <c r="G301" s="46">
        <f t="shared" si="172"/>
        <v>47520.003974565552</v>
      </c>
      <c r="H301" s="46">
        <f t="shared" si="172"/>
        <v>31937.200158925894</v>
      </c>
      <c r="I301" s="46">
        <f t="shared" si="172"/>
        <v>48891.712363393832</v>
      </c>
      <c r="J301" s="46">
        <f t="shared" ref="J301" si="173">SUM(J302:J311)</f>
        <v>68840.379584178299</v>
      </c>
      <c r="K301" s="46">
        <f t="shared" ref="K301" si="174">SUM(K302:K311)</f>
        <v>40976.869523855225</v>
      </c>
      <c r="L301" s="46">
        <f t="shared" ref="L301" si="175">SUM(L302:L311)</f>
        <v>46655.056654987435</v>
      </c>
      <c r="M301" s="46">
        <f t="shared" ref="M301" si="176">SUM(M302:M311)</f>
        <v>56824.060242172563</v>
      </c>
      <c r="N301" s="46">
        <f t="shared" ref="N301" si="177">SUM(N302:N311)</f>
        <v>35010.050621099486</v>
      </c>
      <c r="O301" s="46">
        <f t="shared" ref="O301" si="178">SUM(O302:O311)</f>
        <v>45081.232725296526</v>
      </c>
    </row>
    <row r="302" spans="1:15" x14ac:dyDescent="0.2">
      <c r="A302" s="38" t="s">
        <v>25</v>
      </c>
      <c r="D302" s="44">
        <f>D8*D106</f>
        <v>330.0265250484432</v>
      </c>
      <c r="E302" s="44">
        <f t="shared" ref="E302:I302" si="179">E8*E106</f>
        <v>1046.265297782139</v>
      </c>
      <c r="F302" s="44">
        <f t="shared" si="179"/>
        <v>307.52302778729234</v>
      </c>
      <c r="G302" s="44">
        <f t="shared" si="179"/>
        <v>4770.0540908942503</v>
      </c>
      <c r="H302" s="44">
        <f t="shared" si="179"/>
        <v>609.27230029460816</v>
      </c>
      <c r="I302" s="44">
        <f t="shared" si="179"/>
        <v>1543.6739903841017</v>
      </c>
      <c r="J302" s="44">
        <f t="shared" ref="J302:O317" si="180">J8*J106</f>
        <v>455.61295862204565</v>
      </c>
      <c r="K302" s="44">
        <f t="shared" si="180"/>
        <v>725.01187334896917</v>
      </c>
      <c r="L302" s="44">
        <f t="shared" si="180"/>
        <v>3290.8837977845533</v>
      </c>
      <c r="M302" s="44">
        <f t="shared" si="180"/>
        <v>2112.4039964318667</v>
      </c>
      <c r="N302" s="44">
        <f t="shared" si="180"/>
        <v>1356.1072298359238</v>
      </c>
      <c r="O302" s="44">
        <f t="shared" si="180"/>
        <v>6332.4893099176425</v>
      </c>
    </row>
    <row r="303" spans="1:15" x14ac:dyDescent="0.2">
      <c r="A303" s="38" t="s">
        <v>26</v>
      </c>
      <c r="D303" s="44">
        <f t="shared" ref="D303:I366" si="181">D9*D107</f>
        <v>7219.4269937004092</v>
      </c>
      <c r="E303" s="44">
        <f t="shared" si="181"/>
        <v>733.5351930869374</v>
      </c>
      <c r="F303" s="44">
        <f t="shared" si="181"/>
        <v>3430.2288535590442</v>
      </c>
      <c r="G303" s="44">
        <f t="shared" si="181"/>
        <v>9391.063176641881</v>
      </c>
      <c r="H303" s="44">
        <f t="shared" si="181"/>
        <v>3554.6221121295052</v>
      </c>
      <c r="I303" s="44">
        <f t="shared" si="181"/>
        <v>2849.7482425023763</v>
      </c>
      <c r="J303" s="44">
        <f t="shared" si="180"/>
        <v>866.2048166891135</v>
      </c>
      <c r="K303" s="44">
        <f t="shared" si="180"/>
        <v>955.53009316883549</v>
      </c>
      <c r="L303" s="44">
        <f t="shared" si="180"/>
        <v>7681.3902397243619</v>
      </c>
      <c r="M303" s="44">
        <f t="shared" si="180"/>
        <v>1644.8549778113506</v>
      </c>
      <c r="N303" s="44">
        <f t="shared" si="180"/>
        <v>3294.8495901163519</v>
      </c>
      <c r="O303" s="44">
        <f t="shared" si="180"/>
        <v>1347.1269845255358</v>
      </c>
    </row>
    <row r="304" spans="1:15" x14ac:dyDescent="0.2">
      <c r="A304" s="38" t="s">
        <v>27</v>
      </c>
      <c r="D304" s="44">
        <f t="shared" si="181"/>
        <v>2593.3876381285781</v>
      </c>
      <c r="E304" s="44">
        <f t="shared" si="181"/>
        <v>4763.1891574670635</v>
      </c>
      <c r="F304" s="44">
        <f t="shared" si="181"/>
        <v>1913.0477792884919</v>
      </c>
      <c r="G304" s="44">
        <f t="shared" si="181"/>
        <v>2260.6925672172538</v>
      </c>
      <c r="H304" s="44">
        <f t="shared" si="181"/>
        <v>2002.0544973687238</v>
      </c>
      <c r="I304" s="44">
        <f t="shared" si="181"/>
        <v>13834.092222103491</v>
      </c>
      <c r="J304" s="44">
        <f t="shared" si="180"/>
        <v>169.85848433515972</v>
      </c>
      <c r="K304" s="44">
        <f t="shared" si="180"/>
        <v>6529.1185214355064</v>
      </c>
      <c r="L304" s="44">
        <f t="shared" si="180"/>
        <v>3369.954235554309</v>
      </c>
      <c r="M304" s="44">
        <f t="shared" si="180"/>
        <v>3425.6807760971583</v>
      </c>
      <c r="N304" s="44">
        <f t="shared" si="180"/>
        <v>3112.4372523350453</v>
      </c>
      <c r="O304" s="44">
        <f t="shared" si="180"/>
        <v>5016.1584412725088</v>
      </c>
    </row>
    <row r="305" spans="1:15" x14ac:dyDescent="0.2">
      <c r="A305" s="38" t="s">
        <v>28</v>
      </c>
      <c r="D305" s="44">
        <f t="shared" si="181"/>
        <v>1969.7856028679219</v>
      </c>
      <c r="E305" s="44">
        <f t="shared" si="181"/>
        <v>235.91411092206761</v>
      </c>
      <c r="F305" s="44">
        <f t="shared" si="181"/>
        <v>395.87054895324752</v>
      </c>
      <c r="G305" s="44">
        <f t="shared" si="181"/>
        <v>1491.18582960507</v>
      </c>
      <c r="H305" s="44">
        <f t="shared" si="181"/>
        <v>5565.6396444491629</v>
      </c>
      <c r="I305" s="44">
        <f t="shared" si="181"/>
        <v>1709.1720202632007</v>
      </c>
      <c r="J305" s="44">
        <f t="shared" si="180"/>
        <v>10103.951608834592</v>
      </c>
      <c r="K305" s="44">
        <f t="shared" si="180"/>
        <v>13197.089341223031</v>
      </c>
      <c r="L305" s="44">
        <f t="shared" si="180"/>
        <v>5271.5332072378396</v>
      </c>
      <c r="M305" s="44">
        <f t="shared" si="180"/>
        <v>8907.3916201422817</v>
      </c>
      <c r="N305" s="44">
        <f t="shared" si="180"/>
        <v>3459.5111258503962</v>
      </c>
      <c r="O305" s="44">
        <f t="shared" si="180"/>
        <v>5271.7308586447298</v>
      </c>
    </row>
    <row r="306" spans="1:15" x14ac:dyDescent="0.2">
      <c r="A306" s="38" t="s">
        <v>29</v>
      </c>
      <c r="D306" s="44">
        <f t="shared" si="181"/>
        <v>8636.4325848921289</v>
      </c>
      <c r="E306" s="44">
        <f t="shared" si="181"/>
        <v>1675.7354295828034</v>
      </c>
      <c r="F306" s="44">
        <f t="shared" si="181"/>
        <v>6096.0731926226381</v>
      </c>
      <c r="G306" s="44">
        <f t="shared" si="181"/>
        <v>8821.5417771727789</v>
      </c>
      <c r="H306" s="44">
        <f t="shared" si="181"/>
        <v>4512.9508484163016</v>
      </c>
      <c r="I306" s="44">
        <f t="shared" si="181"/>
        <v>3174.6992072914154</v>
      </c>
      <c r="J306" s="44">
        <f t="shared" si="180"/>
        <v>14510.773906652086</v>
      </c>
      <c r="K306" s="44">
        <f t="shared" si="180"/>
        <v>8099.6297793728481</v>
      </c>
      <c r="L306" s="44">
        <f t="shared" si="180"/>
        <v>11588.34738949898</v>
      </c>
      <c r="M306" s="44">
        <f t="shared" si="180"/>
        <v>6139.1135549459241</v>
      </c>
      <c r="N306" s="44">
        <f t="shared" si="180"/>
        <v>4277.7846463563537</v>
      </c>
      <c r="O306" s="44">
        <f t="shared" si="180"/>
        <v>15173.357631191451</v>
      </c>
    </row>
    <row r="307" spans="1:15" x14ac:dyDescent="0.2">
      <c r="A307" s="38" t="s">
        <v>30</v>
      </c>
      <c r="D307" s="44">
        <f t="shared" si="181"/>
        <v>8525.7809153414819</v>
      </c>
      <c r="E307" s="44">
        <f t="shared" si="181"/>
        <v>3934.1990754976869</v>
      </c>
      <c r="F307" s="44">
        <f t="shared" si="181"/>
        <v>2435.8491562310046</v>
      </c>
      <c r="G307" s="44">
        <f t="shared" si="181"/>
        <v>8887.7860226549874</v>
      </c>
      <c r="H307" s="44">
        <f t="shared" si="181"/>
        <v>3106.6943229615176</v>
      </c>
      <c r="I307" s="44">
        <f t="shared" si="181"/>
        <v>3531.257340045544</v>
      </c>
      <c r="J307" s="44">
        <f t="shared" si="180"/>
        <v>5208.3658187004612</v>
      </c>
      <c r="K307" s="44">
        <f t="shared" si="180"/>
        <v>1301.7987529313118</v>
      </c>
      <c r="L307" s="44">
        <f t="shared" si="180"/>
        <v>288.03369956306216</v>
      </c>
      <c r="M307" s="44">
        <f t="shared" si="180"/>
        <v>442.22427495568724</v>
      </c>
      <c r="N307" s="44">
        <f t="shared" si="180"/>
        <v>412.68345836938647</v>
      </c>
      <c r="O307" s="44">
        <f t="shared" si="180"/>
        <v>269.10525423359758</v>
      </c>
    </row>
    <row r="308" spans="1:15" x14ac:dyDescent="0.2">
      <c r="A308" s="38" t="s">
        <v>31</v>
      </c>
      <c r="D308" s="44">
        <f t="shared" si="181"/>
        <v>134.14794448954922</v>
      </c>
      <c r="E308" s="44">
        <f t="shared" si="181"/>
        <v>10478.241367713095</v>
      </c>
      <c r="F308" s="44">
        <f t="shared" si="181"/>
        <v>5392.1248149092553</v>
      </c>
      <c r="G308" s="44">
        <f t="shared" si="181"/>
        <v>3809.6092904661314</v>
      </c>
      <c r="H308" s="44">
        <f t="shared" si="181"/>
        <v>6259.5298349670475</v>
      </c>
      <c r="I308" s="44">
        <f t="shared" si="181"/>
        <v>1934.5174817370275</v>
      </c>
      <c r="J308" s="44">
        <f t="shared" si="180"/>
        <v>2755.1650363226249</v>
      </c>
      <c r="K308" s="44">
        <f t="shared" si="180"/>
        <v>3698.1776859637393</v>
      </c>
      <c r="L308" s="44">
        <f t="shared" si="180"/>
        <v>3023.9439413020264</v>
      </c>
      <c r="M308" s="44">
        <f t="shared" si="180"/>
        <v>264.47014230146112</v>
      </c>
      <c r="N308" s="44">
        <f t="shared" si="180"/>
        <v>11536.515242130688</v>
      </c>
      <c r="O308" s="44">
        <f t="shared" si="180"/>
        <v>6733.7307207495605</v>
      </c>
    </row>
    <row r="309" spans="1:15" x14ac:dyDescent="0.2">
      <c r="A309" s="38" t="s">
        <v>32</v>
      </c>
      <c r="D309" s="44">
        <f t="shared" si="181"/>
        <v>576.7905099646465</v>
      </c>
      <c r="E309" s="44">
        <f t="shared" si="181"/>
        <v>5133.4542079733383</v>
      </c>
      <c r="F309" s="44">
        <f t="shared" si="181"/>
        <v>5053.0941737003959</v>
      </c>
      <c r="G309" s="44">
        <f t="shared" si="181"/>
        <v>2290.5455979763242</v>
      </c>
      <c r="H309" s="44">
        <f t="shared" si="181"/>
        <v>2034.2450611505885</v>
      </c>
      <c r="I309" s="44">
        <f t="shared" si="181"/>
        <v>5571.2952323443278</v>
      </c>
      <c r="J309" s="44">
        <f t="shared" si="180"/>
        <v>7969.1020012468498</v>
      </c>
      <c r="K309" s="44">
        <f t="shared" si="180"/>
        <v>2896.370283220213</v>
      </c>
      <c r="L309" s="44">
        <f t="shared" si="180"/>
        <v>4360.9291276887698</v>
      </c>
      <c r="M309" s="44">
        <f t="shared" si="180"/>
        <v>5969.0618618200633</v>
      </c>
      <c r="N309" s="44">
        <f t="shared" si="180"/>
        <v>4104.4444952528447</v>
      </c>
      <c r="O309" s="44">
        <f t="shared" si="180"/>
        <v>1507.9325745668295</v>
      </c>
    </row>
    <row r="310" spans="1:15" x14ac:dyDescent="0.2">
      <c r="A310" s="38" t="s">
        <v>33</v>
      </c>
      <c r="D310" s="44">
        <f t="shared" si="181"/>
        <v>3397.5677534364445</v>
      </c>
      <c r="E310" s="44">
        <f t="shared" si="181"/>
        <v>932.48870455086001</v>
      </c>
      <c r="F310" s="44">
        <f t="shared" si="181"/>
        <v>841.09747293990426</v>
      </c>
      <c r="G310" s="44">
        <f t="shared" si="181"/>
        <v>1536.8517873792798</v>
      </c>
      <c r="H310" s="44">
        <f t="shared" si="181"/>
        <v>3019.2212199583678</v>
      </c>
      <c r="I310" s="44">
        <f t="shared" si="181"/>
        <v>5604.7213504734473</v>
      </c>
      <c r="J310" s="44">
        <f t="shared" si="180"/>
        <v>11146.768224124984</v>
      </c>
      <c r="K310" s="44">
        <f t="shared" si="180"/>
        <v>1585.5817953385554</v>
      </c>
      <c r="L310" s="44">
        <f t="shared" si="180"/>
        <v>1871.8389313239286</v>
      </c>
      <c r="M310" s="44">
        <f t="shared" si="180"/>
        <v>14742.788008682262</v>
      </c>
      <c r="N310" s="44">
        <f t="shared" si="180"/>
        <v>2520.59604947563</v>
      </c>
      <c r="O310" s="44">
        <f t="shared" si="180"/>
        <v>254.79703999881207</v>
      </c>
    </row>
    <row r="311" spans="1:15" x14ac:dyDescent="0.2">
      <c r="A311" s="38" t="s">
        <v>34</v>
      </c>
      <c r="D311" s="44">
        <f t="shared" si="181"/>
        <v>1416.6238053208792</v>
      </c>
      <c r="E311" s="44">
        <f t="shared" si="181"/>
        <v>4792.6194136768345</v>
      </c>
      <c r="F311" s="44">
        <f t="shared" si="181"/>
        <v>1587.897501434989</v>
      </c>
      <c r="G311" s="44">
        <f t="shared" si="181"/>
        <v>4260.6738345575914</v>
      </c>
      <c r="H311" s="44">
        <f t="shared" si="181"/>
        <v>1272.9703172300731</v>
      </c>
      <c r="I311" s="44">
        <f t="shared" si="181"/>
        <v>9138.5352762489019</v>
      </c>
      <c r="J311" s="44">
        <f t="shared" si="180"/>
        <v>15654.576728650389</v>
      </c>
      <c r="K311" s="44">
        <f t="shared" si="180"/>
        <v>1988.561397852226</v>
      </c>
      <c r="L311" s="44">
        <f t="shared" si="180"/>
        <v>5908.2020853096037</v>
      </c>
      <c r="M311" s="44">
        <f t="shared" si="180"/>
        <v>13176.071028984512</v>
      </c>
      <c r="N311" s="44">
        <f t="shared" si="180"/>
        <v>935.12153137686994</v>
      </c>
      <c r="O311" s="44">
        <f t="shared" si="180"/>
        <v>3174.8039101958566</v>
      </c>
    </row>
    <row r="312" spans="1:15" x14ac:dyDescent="0.2">
      <c r="A312" s="37" t="s">
        <v>35</v>
      </c>
      <c r="D312" s="46">
        <f>SUM(D313:D322)</f>
        <v>111190.87898302914</v>
      </c>
      <c r="E312" s="46">
        <f t="shared" ref="E312:I312" si="182">SUM(E313:E322)</f>
        <v>78928.413302723828</v>
      </c>
      <c r="F312" s="46">
        <f t="shared" si="182"/>
        <v>85705.415792287269</v>
      </c>
      <c r="G312" s="46">
        <f t="shared" si="182"/>
        <v>78519.054291870809</v>
      </c>
      <c r="H312" s="46">
        <f t="shared" si="182"/>
        <v>110113.6627394736</v>
      </c>
      <c r="I312" s="46">
        <f t="shared" si="182"/>
        <v>79554.083005817243</v>
      </c>
      <c r="J312" s="46">
        <f t="shared" ref="J312" si="183">SUM(J313:J322)</f>
        <v>96206.907471318147</v>
      </c>
      <c r="K312" s="46">
        <f t="shared" ref="K312" si="184">SUM(K313:K322)</f>
        <v>87131.740715229418</v>
      </c>
      <c r="L312" s="46">
        <f t="shared" ref="L312" si="185">SUM(L313:L322)</f>
        <v>64792.141797599019</v>
      </c>
      <c r="M312" s="46">
        <f t="shared" ref="M312" si="186">SUM(M313:M322)</f>
        <v>101569.55309953378</v>
      </c>
      <c r="N312" s="46">
        <f t="shared" ref="N312" si="187">SUM(N313:N322)</f>
        <v>104036.70927945917</v>
      </c>
      <c r="O312" s="46">
        <f t="shared" ref="O312" si="188">SUM(O313:O322)</f>
        <v>99175.320475922999</v>
      </c>
    </row>
    <row r="313" spans="1:15" x14ac:dyDescent="0.2">
      <c r="A313" s="38" t="s">
        <v>25</v>
      </c>
      <c r="D313" s="44">
        <f t="shared" si="181"/>
        <v>19144.277147548073</v>
      </c>
      <c r="E313" s="44">
        <f t="shared" si="181"/>
        <v>8629.2798204617247</v>
      </c>
      <c r="F313" s="44">
        <f t="shared" si="181"/>
        <v>9980.5246453681539</v>
      </c>
      <c r="G313" s="44">
        <f t="shared" si="181"/>
        <v>2409.0082575532133</v>
      </c>
      <c r="H313" s="44">
        <f t="shared" si="181"/>
        <v>14314.340865291586</v>
      </c>
      <c r="I313" s="44">
        <f t="shared" si="181"/>
        <v>5450.9163717109541</v>
      </c>
      <c r="J313" s="44">
        <f t="shared" si="180"/>
        <v>2095.6665186403466</v>
      </c>
      <c r="K313" s="44">
        <f t="shared" si="180"/>
        <v>3651.666935493065</v>
      </c>
      <c r="L313" s="44">
        <f t="shared" si="180"/>
        <v>24687.924653044902</v>
      </c>
      <c r="M313" s="44">
        <f t="shared" si="180"/>
        <v>1680.5810960937356</v>
      </c>
      <c r="N313" s="44">
        <f t="shared" si="180"/>
        <v>24845.176824781756</v>
      </c>
      <c r="O313" s="44">
        <f t="shared" si="180"/>
        <v>12071.633422597461</v>
      </c>
    </row>
    <row r="314" spans="1:15" x14ac:dyDescent="0.2">
      <c r="A314" s="38" t="s">
        <v>26</v>
      </c>
      <c r="D314" s="44">
        <f t="shared" si="181"/>
        <v>11251.87867923434</v>
      </c>
      <c r="E314" s="44">
        <f t="shared" si="181"/>
        <v>2772.5055773838626</v>
      </c>
      <c r="F314" s="44">
        <f t="shared" si="181"/>
        <v>9103.8202273919469</v>
      </c>
      <c r="G314" s="44">
        <f t="shared" si="181"/>
        <v>6839.5936666713833</v>
      </c>
      <c r="H314" s="44">
        <f t="shared" si="181"/>
        <v>13179.698812704153</v>
      </c>
      <c r="I314" s="44">
        <f t="shared" si="181"/>
        <v>15740.129000668478</v>
      </c>
      <c r="J314" s="44">
        <f t="shared" si="180"/>
        <v>6192.655367142429</v>
      </c>
      <c r="K314" s="44">
        <f t="shared" si="180"/>
        <v>13114.781683581663</v>
      </c>
      <c r="L314" s="44">
        <f t="shared" si="180"/>
        <v>7631.473520294162</v>
      </c>
      <c r="M314" s="44">
        <f t="shared" si="180"/>
        <v>2837.9608458401131</v>
      </c>
      <c r="N314" s="44">
        <f t="shared" si="180"/>
        <v>7080.1241099294484</v>
      </c>
      <c r="O314" s="44">
        <f t="shared" si="180"/>
        <v>781.42021939624817</v>
      </c>
    </row>
    <row r="315" spans="1:15" x14ac:dyDescent="0.2">
      <c r="A315" s="38" t="s">
        <v>27</v>
      </c>
      <c r="D315" s="44">
        <f t="shared" si="181"/>
        <v>2675.9095189684595</v>
      </c>
      <c r="E315" s="44">
        <f t="shared" si="181"/>
        <v>6643.1113703274723</v>
      </c>
      <c r="F315" s="44">
        <f t="shared" si="181"/>
        <v>10939.50079421665</v>
      </c>
      <c r="G315" s="44">
        <f t="shared" si="181"/>
        <v>20661.442821983841</v>
      </c>
      <c r="H315" s="44">
        <f t="shared" si="181"/>
        <v>14367.929376943095</v>
      </c>
      <c r="I315" s="44">
        <f t="shared" si="181"/>
        <v>8722.8083506045768</v>
      </c>
      <c r="J315" s="44">
        <f t="shared" si="180"/>
        <v>8872.1709848538376</v>
      </c>
      <c r="K315" s="44">
        <f t="shared" si="180"/>
        <v>2231.6767562730661</v>
      </c>
      <c r="L315" s="44">
        <f t="shared" si="180"/>
        <v>1109.0139387237991</v>
      </c>
      <c r="M315" s="44">
        <f t="shared" si="180"/>
        <v>12837.158459066191</v>
      </c>
      <c r="N315" s="44">
        <f t="shared" si="180"/>
        <v>6870.4371398532694</v>
      </c>
      <c r="O315" s="44">
        <f t="shared" si="180"/>
        <v>1512.5545473508121</v>
      </c>
    </row>
    <row r="316" spans="1:15" x14ac:dyDescent="0.2">
      <c r="A316" s="38" t="s">
        <v>28</v>
      </c>
      <c r="D316" s="44">
        <f t="shared" si="181"/>
        <v>7834.8520211392142</v>
      </c>
      <c r="E316" s="44">
        <f t="shared" si="181"/>
        <v>8667.6962941680649</v>
      </c>
      <c r="F316" s="44">
        <f t="shared" si="181"/>
        <v>17681.896867621366</v>
      </c>
      <c r="G316" s="44">
        <f t="shared" si="181"/>
        <v>5497.0522088544813</v>
      </c>
      <c r="H316" s="44">
        <f t="shared" si="181"/>
        <v>14990.907952742391</v>
      </c>
      <c r="I316" s="44">
        <f t="shared" si="181"/>
        <v>7808.2036939864238</v>
      </c>
      <c r="J316" s="44">
        <f t="shared" si="180"/>
        <v>14351.977791902338</v>
      </c>
      <c r="K316" s="44">
        <f t="shared" si="180"/>
        <v>12543.745890996608</v>
      </c>
      <c r="L316" s="44">
        <f t="shared" si="180"/>
        <v>1008.9971921493337</v>
      </c>
      <c r="M316" s="44">
        <f t="shared" si="180"/>
        <v>21376.291459082844</v>
      </c>
      <c r="N316" s="44">
        <f t="shared" si="180"/>
        <v>1434.4094966090654</v>
      </c>
      <c r="O316" s="44">
        <f t="shared" si="180"/>
        <v>10513.149798629011</v>
      </c>
    </row>
    <row r="317" spans="1:15" x14ac:dyDescent="0.2">
      <c r="A317" s="38" t="s">
        <v>29</v>
      </c>
      <c r="D317" s="44">
        <f t="shared" si="181"/>
        <v>11622.533021672329</v>
      </c>
      <c r="E317" s="44">
        <f t="shared" si="181"/>
        <v>2373.5294940716726</v>
      </c>
      <c r="F317" s="44">
        <f t="shared" si="181"/>
        <v>2921.2854693456675</v>
      </c>
      <c r="G317" s="44">
        <f t="shared" si="181"/>
        <v>3638.9456848811033</v>
      </c>
      <c r="H317" s="44">
        <f t="shared" si="181"/>
        <v>23023.825696212512</v>
      </c>
      <c r="I317" s="44">
        <f t="shared" si="181"/>
        <v>1980.4999206741527</v>
      </c>
      <c r="J317" s="44">
        <f t="shared" si="180"/>
        <v>11430.418042103751</v>
      </c>
      <c r="K317" s="44">
        <f t="shared" si="180"/>
        <v>11128.952200502437</v>
      </c>
      <c r="L317" s="44">
        <f t="shared" si="180"/>
        <v>5164.3457725919498</v>
      </c>
      <c r="M317" s="44">
        <f t="shared" si="180"/>
        <v>19606.992439692349</v>
      </c>
      <c r="N317" s="44">
        <f t="shared" si="180"/>
        <v>2076.4196002465378</v>
      </c>
      <c r="O317" s="44">
        <f t="shared" si="180"/>
        <v>12359.919187669419</v>
      </c>
    </row>
    <row r="318" spans="1:15" x14ac:dyDescent="0.2">
      <c r="A318" s="38" t="s">
        <v>30</v>
      </c>
      <c r="D318" s="44">
        <f t="shared" si="181"/>
        <v>18753.121961895842</v>
      </c>
      <c r="E318" s="44">
        <f t="shared" si="181"/>
        <v>12860.117921973031</v>
      </c>
      <c r="F318" s="44">
        <f t="shared" si="181"/>
        <v>1918.9290675810294</v>
      </c>
      <c r="G318" s="44">
        <f t="shared" si="181"/>
        <v>2685.1325522848847</v>
      </c>
      <c r="H318" s="44">
        <f t="shared" si="181"/>
        <v>10040.88360979738</v>
      </c>
      <c r="I318" s="44">
        <f t="shared" si="181"/>
        <v>4575.585071813176</v>
      </c>
      <c r="J318" s="44">
        <f t="shared" ref="J318:O333" si="189">J24*J122</f>
        <v>11960.682430644189</v>
      </c>
      <c r="K318" s="44">
        <f t="shared" si="189"/>
        <v>8257.9057271162164</v>
      </c>
      <c r="L318" s="44">
        <f t="shared" si="189"/>
        <v>3051.0146812021339</v>
      </c>
      <c r="M318" s="44">
        <f t="shared" si="189"/>
        <v>25191.188584438511</v>
      </c>
      <c r="N318" s="44">
        <f t="shared" si="189"/>
        <v>5750.676135262891</v>
      </c>
      <c r="O318" s="44">
        <f t="shared" si="189"/>
        <v>1724.3419671770948</v>
      </c>
    </row>
    <row r="319" spans="1:15" x14ac:dyDescent="0.2">
      <c r="A319" s="38" t="s">
        <v>31</v>
      </c>
      <c r="D319" s="44">
        <f t="shared" si="181"/>
        <v>26608.876213796353</v>
      </c>
      <c r="E319" s="44">
        <f t="shared" si="181"/>
        <v>4743.0556349859453</v>
      </c>
      <c r="F319" s="44">
        <f t="shared" si="181"/>
        <v>3709.8231610441831</v>
      </c>
      <c r="G319" s="44">
        <f t="shared" si="181"/>
        <v>14274.392970261275</v>
      </c>
      <c r="H319" s="44">
        <f t="shared" si="181"/>
        <v>6699.2867564799435</v>
      </c>
      <c r="I319" s="44">
        <f t="shared" si="181"/>
        <v>7621.3014125799673</v>
      </c>
      <c r="J319" s="44">
        <f t="shared" si="189"/>
        <v>8045.3507858139901</v>
      </c>
      <c r="K319" s="44">
        <f t="shared" si="189"/>
        <v>3733.4549554177293</v>
      </c>
      <c r="L319" s="44">
        <f t="shared" si="189"/>
        <v>5523.0769660307324</v>
      </c>
      <c r="M319" s="44">
        <f t="shared" si="189"/>
        <v>1013.8848697315698</v>
      </c>
      <c r="N319" s="44">
        <f t="shared" si="189"/>
        <v>15632.027304065999</v>
      </c>
      <c r="O319" s="44">
        <f t="shared" si="189"/>
        <v>30414.666624711215</v>
      </c>
    </row>
    <row r="320" spans="1:15" x14ac:dyDescent="0.2">
      <c r="A320" s="38" t="s">
        <v>32</v>
      </c>
      <c r="D320" s="44">
        <f t="shared" si="181"/>
        <v>4454.432707820858</v>
      </c>
      <c r="E320" s="44">
        <f t="shared" si="181"/>
        <v>17823.718101111768</v>
      </c>
      <c r="F320" s="44">
        <f t="shared" si="181"/>
        <v>7940.3434625043092</v>
      </c>
      <c r="G320" s="44">
        <f t="shared" si="181"/>
        <v>2316.6644807465773</v>
      </c>
      <c r="H320" s="44">
        <f t="shared" si="181"/>
        <v>9090.9241376169357</v>
      </c>
      <c r="I320" s="44">
        <f t="shared" si="181"/>
        <v>11606.898765269154</v>
      </c>
      <c r="J320" s="44">
        <f t="shared" si="189"/>
        <v>6237.21370049905</v>
      </c>
      <c r="K320" s="44">
        <f t="shared" si="189"/>
        <v>8463.1947996016497</v>
      </c>
      <c r="L320" s="44">
        <f t="shared" si="189"/>
        <v>7242.3209413690493</v>
      </c>
      <c r="M320" s="44">
        <f t="shared" si="189"/>
        <v>9399.6568886636287</v>
      </c>
      <c r="N320" s="44">
        <f t="shared" si="189"/>
        <v>17570.893569833999</v>
      </c>
      <c r="O320" s="44">
        <f t="shared" si="189"/>
        <v>5231.9324658825826</v>
      </c>
    </row>
    <row r="321" spans="1:15" x14ac:dyDescent="0.2">
      <c r="A321" s="38" t="s">
        <v>33</v>
      </c>
      <c r="D321" s="44">
        <f t="shared" si="181"/>
        <v>8649.2904270010295</v>
      </c>
      <c r="E321" s="44">
        <f t="shared" si="181"/>
        <v>7071.7860740328797</v>
      </c>
      <c r="F321" s="44">
        <f t="shared" si="181"/>
        <v>10778.080285133205</v>
      </c>
      <c r="G321" s="44">
        <f t="shared" si="181"/>
        <v>12728.902816734475</v>
      </c>
      <c r="H321" s="44">
        <f t="shared" si="181"/>
        <v>542.41618574898587</v>
      </c>
      <c r="I321" s="44">
        <f t="shared" si="181"/>
        <v>5791.9063714229751</v>
      </c>
      <c r="J321" s="44">
        <f t="shared" si="189"/>
        <v>15096.129085002764</v>
      </c>
      <c r="K321" s="44">
        <f t="shared" si="189"/>
        <v>15055.670773281694</v>
      </c>
      <c r="L321" s="44">
        <f t="shared" si="189"/>
        <v>229.37994785775339</v>
      </c>
      <c r="M321" s="44">
        <f t="shared" si="189"/>
        <v>4358.7530797318659</v>
      </c>
      <c r="N321" s="44">
        <f t="shared" si="189"/>
        <v>12514.570340249677</v>
      </c>
      <c r="O321" s="44">
        <f t="shared" si="189"/>
        <v>3172.8241829375702</v>
      </c>
    </row>
    <row r="322" spans="1:15" x14ac:dyDescent="0.2">
      <c r="A322" s="38" t="s">
        <v>34</v>
      </c>
      <c r="D322" s="44">
        <f t="shared" si="181"/>
        <v>195.70728395261889</v>
      </c>
      <c r="E322" s="44">
        <f t="shared" si="181"/>
        <v>7343.6130142074162</v>
      </c>
      <c r="F322" s="44">
        <f t="shared" si="181"/>
        <v>10731.211812080755</v>
      </c>
      <c r="G322" s="44">
        <f t="shared" si="181"/>
        <v>7467.9188318995712</v>
      </c>
      <c r="H322" s="44">
        <f t="shared" si="181"/>
        <v>3863.449345936624</v>
      </c>
      <c r="I322" s="44">
        <f t="shared" si="181"/>
        <v>10255.834047087385</v>
      </c>
      <c r="J322" s="44">
        <f t="shared" si="189"/>
        <v>11924.642764715445</v>
      </c>
      <c r="K322" s="44">
        <f t="shared" si="189"/>
        <v>8950.6909929653066</v>
      </c>
      <c r="L322" s="44">
        <f t="shared" si="189"/>
        <v>9144.5941843351975</v>
      </c>
      <c r="M322" s="44">
        <f t="shared" si="189"/>
        <v>3267.0853771929828</v>
      </c>
      <c r="N322" s="44">
        <f t="shared" si="189"/>
        <v>10261.974758626535</v>
      </c>
      <c r="O322" s="44">
        <f t="shared" si="189"/>
        <v>21392.878059571583</v>
      </c>
    </row>
    <row r="323" spans="1:15" x14ac:dyDescent="0.2">
      <c r="A323" s="4" t="s">
        <v>36</v>
      </c>
      <c r="B323" s="4"/>
      <c r="C323" s="4"/>
      <c r="D323" s="45">
        <f>D324+D335</f>
        <v>94072.342058271199</v>
      </c>
      <c r="E323" s="45">
        <f t="shared" ref="E323:I323" si="190">E324+E335</f>
        <v>124943.01070041959</v>
      </c>
      <c r="F323" s="45">
        <f t="shared" si="190"/>
        <v>83194.789135006431</v>
      </c>
      <c r="G323" s="45">
        <f t="shared" si="190"/>
        <v>119922.65975533424</v>
      </c>
      <c r="H323" s="45">
        <f t="shared" si="190"/>
        <v>188433.15560790012</v>
      </c>
      <c r="I323" s="45">
        <f t="shared" si="190"/>
        <v>144139.04655237845</v>
      </c>
      <c r="J323" s="45">
        <f t="shared" ref="J323" si="191">J324+J335</f>
        <v>121360.90229863863</v>
      </c>
      <c r="K323" s="45">
        <f t="shared" ref="K323" si="192">K324+K335</f>
        <v>131454.27521466819</v>
      </c>
      <c r="L323" s="45">
        <f t="shared" ref="L323" si="193">L324+L335</f>
        <v>107685.22600606251</v>
      </c>
      <c r="M323" s="45">
        <f t="shared" ref="M323" si="194">M324+M335</f>
        <v>110355.50341473267</v>
      </c>
      <c r="N323" s="45">
        <f t="shared" ref="N323" si="195">N324+N335</f>
        <v>170375.50442500191</v>
      </c>
      <c r="O323" s="45">
        <f t="shared" ref="O323" si="196">O324+O335</f>
        <v>150872.99272242538</v>
      </c>
    </row>
    <row r="324" spans="1:15" x14ac:dyDescent="0.2">
      <c r="A324" s="37" t="s">
        <v>24</v>
      </c>
      <c r="D324" s="46">
        <f>SUM(D325:D334)</f>
        <v>29490.87393687712</v>
      </c>
      <c r="E324" s="46">
        <f t="shared" ref="E324:I324" si="197">SUM(E325:E334)</f>
        <v>37380.466813171006</v>
      </c>
      <c r="F324" s="46">
        <f t="shared" si="197"/>
        <v>29790.673068414522</v>
      </c>
      <c r="G324" s="46">
        <f t="shared" si="197"/>
        <v>38056.261707994461</v>
      </c>
      <c r="H324" s="46">
        <f t="shared" si="197"/>
        <v>57408.479825379691</v>
      </c>
      <c r="I324" s="46">
        <f t="shared" si="197"/>
        <v>51554.707430077542</v>
      </c>
      <c r="J324" s="46">
        <f t="shared" ref="J324" si="198">SUM(J325:J334)</f>
        <v>46805.037370315113</v>
      </c>
      <c r="K324" s="46">
        <f t="shared" ref="K324" si="199">SUM(K325:K334)</f>
        <v>36265.362283396331</v>
      </c>
      <c r="L324" s="46">
        <f t="shared" ref="L324" si="200">SUM(L325:L334)</f>
        <v>20939.83025109439</v>
      </c>
      <c r="M324" s="46">
        <f t="shared" ref="M324" si="201">SUM(M325:M334)</f>
        <v>28910.02345631284</v>
      </c>
      <c r="N324" s="46">
        <f t="shared" ref="N324" si="202">SUM(N325:N334)</f>
        <v>59797.789026600862</v>
      </c>
      <c r="O324" s="46">
        <f t="shared" ref="O324" si="203">SUM(O325:O334)</f>
        <v>42174.617068695043</v>
      </c>
    </row>
    <row r="325" spans="1:15" x14ac:dyDescent="0.2">
      <c r="A325" s="38" t="s">
        <v>25</v>
      </c>
      <c r="D325" s="44">
        <f t="shared" si="181"/>
        <v>9933.5590219639635</v>
      </c>
      <c r="E325" s="44">
        <f t="shared" si="181"/>
        <v>2086.0957940581334</v>
      </c>
      <c r="F325" s="44">
        <f t="shared" si="181"/>
        <v>5981.5097700214801</v>
      </c>
      <c r="G325" s="44">
        <f t="shared" si="181"/>
        <v>13443.098304855024</v>
      </c>
      <c r="H325" s="44">
        <f t="shared" si="181"/>
        <v>6308.6626503665702</v>
      </c>
      <c r="I325" s="44">
        <f t="shared" si="181"/>
        <v>1244.919729505677</v>
      </c>
      <c r="J325" s="44">
        <f t="shared" si="189"/>
        <v>10621.088602527059</v>
      </c>
      <c r="K325" s="44">
        <f t="shared" si="189"/>
        <v>5008.4919754191715</v>
      </c>
      <c r="L325" s="44">
        <f t="shared" si="189"/>
        <v>392.31660682578831</v>
      </c>
      <c r="M325" s="44">
        <f t="shared" si="189"/>
        <v>1961.2452337719005</v>
      </c>
      <c r="N325" s="44">
        <f t="shared" si="189"/>
        <v>4495.7108914664732</v>
      </c>
      <c r="O325" s="44">
        <f t="shared" si="189"/>
        <v>9434.4386872609321</v>
      </c>
    </row>
    <row r="326" spans="1:15" x14ac:dyDescent="0.2">
      <c r="A326" s="38" t="s">
        <v>26</v>
      </c>
      <c r="D326" s="44">
        <f t="shared" si="181"/>
        <v>2662.2842695954014</v>
      </c>
      <c r="E326" s="44">
        <f t="shared" si="181"/>
        <v>6891.3212255317667</v>
      </c>
      <c r="F326" s="44">
        <f t="shared" si="181"/>
        <v>2647.5020009132863</v>
      </c>
      <c r="G326" s="44">
        <f t="shared" si="181"/>
        <v>542.15198647496754</v>
      </c>
      <c r="H326" s="44">
        <f t="shared" si="181"/>
        <v>640.52370795646709</v>
      </c>
      <c r="I326" s="44">
        <f t="shared" si="181"/>
        <v>2660.795159093695</v>
      </c>
      <c r="J326" s="44">
        <f t="shared" si="189"/>
        <v>5726.829893317753</v>
      </c>
      <c r="K326" s="44">
        <f t="shared" si="189"/>
        <v>5483.9118812230645</v>
      </c>
      <c r="L326" s="44">
        <f t="shared" si="189"/>
        <v>571.60106386769348</v>
      </c>
      <c r="M326" s="44">
        <f t="shared" si="189"/>
        <v>6536.4052759573842</v>
      </c>
      <c r="N326" s="44">
        <f t="shared" si="189"/>
        <v>13433.811407802443</v>
      </c>
      <c r="O326" s="44">
        <f t="shared" si="189"/>
        <v>11407.800921704971</v>
      </c>
    </row>
    <row r="327" spans="1:15" x14ac:dyDescent="0.2">
      <c r="A327" s="38" t="s">
        <v>27</v>
      </c>
      <c r="D327" s="44">
        <f t="shared" si="181"/>
        <v>2164.563497203892</v>
      </c>
      <c r="E327" s="44">
        <f t="shared" si="181"/>
        <v>6649.031097098894</v>
      </c>
      <c r="F327" s="44">
        <f t="shared" si="181"/>
        <v>3003.9155802804671</v>
      </c>
      <c r="G327" s="44">
        <f t="shared" si="181"/>
        <v>3422.8803533235396</v>
      </c>
      <c r="H327" s="44">
        <f t="shared" si="181"/>
        <v>2959.6631599438424</v>
      </c>
      <c r="I327" s="44">
        <f t="shared" si="181"/>
        <v>7877.659974605217</v>
      </c>
      <c r="J327" s="44">
        <f t="shared" si="189"/>
        <v>5404.3771635992907</v>
      </c>
      <c r="K327" s="44">
        <f t="shared" si="189"/>
        <v>930.02392295872903</v>
      </c>
      <c r="L327" s="44">
        <f t="shared" si="189"/>
        <v>4192.8835557000602</v>
      </c>
      <c r="M327" s="44">
        <f t="shared" si="189"/>
        <v>2717.7971067409944</v>
      </c>
      <c r="N327" s="44">
        <f t="shared" si="189"/>
        <v>3485.3804982330053</v>
      </c>
      <c r="O327" s="44">
        <f t="shared" si="189"/>
        <v>5071.2319029547789</v>
      </c>
    </row>
    <row r="328" spans="1:15" x14ac:dyDescent="0.2">
      <c r="A328" s="38" t="s">
        <v>28</v>
      </c>
      <c r="D328" s="44">
        <f t="shared" si="181"/>
        <v>1734.6194074592581</v>
      </c>
      <c r="E328" s="44">
        <f t="shared" si="181"/>
        <v>1794.2993414232233</v>
      </c>
      <c r="F328" s="44">
        <f t="shared" si="181"/>
        <v>1403.5827350994173</v>
      </c>
      <c r="G328" s="44">
        <f t="shared" si="181"/>
        <v>6311.515330263519</v>
      </c>
      <c r="H328" s="44">
        <f t="shared" si="181"/>
        <v>4222.1300715608186</v>
      </c>
      <c r="I328" s="44">
        <f t="shared" si="181"/>
        <v>632.60391843625609</v>
      </c>
      <c r="J328" s="44">
        <f t="shared" si="189"/>
        <v>4961.2294534888224</v>
      </c>
      <c r="K328" s="44">
        <f t="shared" si="189"/>
        <v>4145.5588230878275</v>
      </c>
      <c r="L328" s="44">
        <f t="shared" si="189"/>
        <v>428.14199525775638</v>
      </c>
      <c r="M328" s="44">
        <f t="shared" si="189"/>
        <v>211.34836542758336</v>
      </c>
      <c r="N328" s="44">
        <f t="shared" si="189"/>
        <v>8493.0671886458986</v>
      </c>
      <c r="O328" s="44">
        <f t="shared" si="189"/>
        <v>6297.6266183485313</v>
      </c>
    </row>
    <row r="329" spans="1:15" x14ac:dyDescent="0.2">
      <c r="A329" s="38" t="s">
        <v>29</v>
      </c>
      <c r="D329" s="44">
        <f t="shared" si="181"/>
        <v>1622.878731842424</v>
      </c>
      <c r="E329" s="44">
        <f t="shared" si="181"/>
        <v>6703.2795707226023</v>
      </c>
      <c r="F329" s="44">
        <f t="shared" si="181"/>
        <v>4291.5753019914227</v>
      </c>
      <c r="G329" s="44">
        <f t="shared" si="181"/>
        <v>321.3884539250659</v>
      </c>
      <c r="H329" s="44">
        <f t="shared" si="181"/>
        <v>5818.5657289504888</v>
      </c>
      <c r="I329" s="44">
        <f t="shared" si="181"/>
        <v>981.13945177116318</v>
      </c>
      <c r="J329" s="44">
        <f t="shared" si="189"/>
        <v>2526.5742490332841</v>
      </c>
      <c r="K329" s="44">
        <f t="shared" si="189"/>
        <v>12731.973653364936</v>
      </c>
      <c r="L329" s="44">
        <f t="shared" si="189"/>
        <v>4234.1578626969085</v>
      </c>
      <c r="M329" s="44">
        <f t="shared" si="189"/>
        <v>1662.9216514285802</v>
      </c>
      <c r="N329" s="44">
        <f t="shared" si="189"/>
        <v>5485.9911262930746</v>
      </c>
      <c r="O329" s="44">
        <f t="shared" si="189"/>
        <v>1135.3258986704684</v>
      </c>
    </row>
    <row r="330" spans="1:15" x14ac:dyDescent="0.2">
      <c r="A330" s="38" t="s">
        <v>30</v>
      </c>
      <c r="D330" s="44">
        <f t="shared" si="181"/>
        <v>1174.7419351781855</v>
      </c>
      <c r="E330" s="44">
        <f t="shared" si="181"/>
        <v>3726.6968484944246</v>
      </c>
      <c r="F330" s="44">
        <f t="shared" si="181"/>
        <v>2139.0053309511541</v>
      </c>
      <c r="G330" s="44">
        <f t="shared" si="181"/>
        <v>193.91642742877707</v>
      </c>
      <c r="H330" s="44">
        <f t="shared" si="181"/>
        <v>13111.95383611436</v>
      </c>
      <c r="I330" s="44">
        <f t="shared" si="181"/>
        <v>13662.999491759418</v>
      </c>
      <c r="J330" s="44">
        <f t="shared" si="189"/>
        <v>1991.5187900016367</v>
      </c>
      <c r="K330" s="44">
        <f t="shared" si="189"/>
        <v>278.12703978145146</v>
      </c>
      <c r="L330" s="44">
        <f t="shared" si="189"/>
        <v>1132.4340164641283</v>
      </c>
      <c r="M330" s="44">
        <f t="shared" si="189"/>
        <v>3479.1820907880051</v>
      </c>
      <c r="N330" s="44">
        <f t="shared" si="189"/>
        <v>8697.9013252693749</v>
      </c>
      <c r="O330" s="44">
        <f t="shared" si="189"/>
        <v>1742.5022708549225</v>
      </c>
    </row>
    <row r="331" spans="1:15" x14ac:dyDescent="0.2">
      <c r="A331" s="38" t="s">
        <v>31</v>
      </c>
      <c r="D331" s="44">
        <f t="shared" si="181"/>
        <v>6821.4493092656921</v>
      </c>
      <c r="E331" s="44">
        <f t="shared" si="181"/>
        <v>2423.1992994800939</v>
      </c>
      <c r="F331" s="44">
        <f t="shared" si="181"/>
        <v>215.8091020891093</v>
      </c>
      <c r="G331" s="44">
        <f t="shared" si="181"/>
        <v>2218.5026628493092</v>
      </c>
      <c r="H331" s="44">
        <f t="shared" si="181"/>
        <v>471.48767594546979</v>
      </c>
      <c r="I331" s="44">
        <f t="shared" si="181"/>
        <v>1260.4853982082298</v>
      </c>
      <c r="J331" s="44">
        <f t="shared" si="189"/>
        <v>8050.3982242426355</v>
      </c>
      <c r="K331" s="44">
        <f t="shared" si="189"/>
        <v>1107.7906852604433</v>
      </c>
      <c r="L331" s="44">
        <f t="shared" si="189"/>
        <v>3523.6483856828563</v>
      </c>
      <c r="M331" s="44">
        <f t="shared" si="189"/>
        <v>2399.0038797784932</v>
      </c>
      <c r="N331" s="44">
        <f t="shared" si="189"/>
        <v>8260.3569817686093</v>
      </c>
      <c r="O331" s="44">
        <f t="shared" si="189"/>
        <v>476.82113352391173</v>
      </c>
    </row>
    <row r="332" spans="1:15" x14ac:dyDescent="0.2">
      <c r="A332" s="38" t="s">
        <v>32</v>
      </c>
      <c r="D332" s="44">
        <f t="shared" si="181"/>
        <v>36.847756589459465</v>
      </c>
      <c r="E332" s="44">
        <f t="shared" si="181"/>
        <v>896.73696512998686</v>
      </c>
      <c r="F332" s="44">
        <f t="shared" si="181"/>
        <v>6719.0601328352514</v>
      </c>
      <c r="G332" s="44">
        <f t="shared" si="181"/>
        <v>4848.6335271296621</v>
      </c>
      <c r="H332" s="44">
        <f t="shared" si="181"/>
        <v>5305.0355999648473</v>
      </c>
      <c r="I332" s="44">
        <f t="shared" si="181"/>
        <v>5052.1178646037015</v>
      </c>
      <c r="J332" s="44">
        <f t="shared" si="189"/>
        <v>655.43440882821949</v>
      </c>
      <c r="K332" s="44">
        <f t="shared" si="189"/>
        <v>1917.3087644386039</v>
      </c>
      <c r="L332" s="44">
        <f t="shared" si="189"/>
        <v>1559.7742236687159</v>
      </c>
      <c r="M332" s="44">
        <f t="shared" si="189"/>
        <v>6078.2199963127086</v>
      </c>
      <c r="N332" s="44">
        <f t="shared" si="189"/>
        <v>4137.7781142763442</v>
      </c>
      <c r="O332" s="44">
        <f t="shared" si="189"/>
        <v>4699.0178969810213</v>
      </c>
    </row>
    <row r="333" spans="1:15" x14ac:dyDescent="0.2">
      <c r="A333" s="38" t="s">
        <v>33</v>
      </c>
      <c r="D333" s="44">
        <f t="shared" si="181"/>
        <v>1747.3658210436336</v>
      </c>
      <c r="E333" s="44">
        <f t="shared" si="181"/>
        <v>1179.7764347689499</v>
      </c>
      <c r="F333" s="44">
        <f t="shared" si="181"/>
        <v>282.47087691590997</v>
      </c>
      <c r="G333" s="44">
        <f t="shared" si="181"/>
        <v>5151.620675396467</v>
      </c>
      <c r="H333" s="44">
        <f t="shared" si="181"/>
        <v>9531.8072917625195</v>
      </c>
      <c r="I333" s="44">
        <f t="shared" si="181"/>
        <v>2987.5411661962748</v>
      </c>
      <c r="J333" s="44">
        <f t="shared" si="189"/>
        <v>3562.2772872962073</v>
      </c>
      <c r="K333" s="44">
        <f t="shared" si="189"/>
        <v>883.00838614280246</v>
      </c>
      <c r="L333" s="44">
        <f t="shared" si="189"/>
        <v>750.23058563898019</v>
      </c>
      <c r="M333" s="44">
        <f t="shared" si="189"/>
        <v>1052.5241929426184</v>
      </c>
      <c r="N333" s="44">
        <f t="shared" si="189"/>
        <v>2277.7855542440757</v>
      </c>
      <c r="O333" s="44">
        <f t="shared" si="189"/>
        <v>352.22040871266989</v>
      </c>
    </row>
    <row r="334" spans="1:15" x14ac:dyDescent="0.2">
      <c r="A334" s="38" t="s">
        <v>34</v>
      </c>
      <c r="D334" s="44">
        <f t="shared" si="181"/>
        <v>1592.5641867352062</v>
      </c>
      <c r="E334" s="44">
        <f t="shared" si="181"/>
        <v>5030.0302364629288</v>
      </c>
      <c r="F334" s="44">
        <f t="shared" si="181"/>
        <v>3106.2422373170248</v>
      </c>
      <c r="G334" s="44">
        <f t="shared" si="181"/>
        <v>1602.5539863481317</v>
      </c>
      <c r="H334" s="44">
        <f t="shared" si="181"/>
        <v>9038.6501028143102</v>
      </c>
      <c r="I334" s="44">
        <f t="shared" si="181"/>
        <v>15194.44527589791</v>
      </c>
      <c r="J334" s="44">
        <f t="shared" ref="J334:O344" si="204">J40*J138</f>
        <v>3305.3092979802109</v>
      </c>
      <c r="K334" s="44">
        <f t="shared" si="204"/>
        <v>3779.1671517193004</v>
      </c>
      <c r="L334" s="44">
        <f t="shared" si="204"/>
        <v>4154.641955291504</v>
      </c>
      <c r="M334" s="44">
        <f t="shared" si="204"/>
        <v>2811.3756631645647</v>
      </c>
      <c r="N334" s="44">
        <f t="shared" si="204"/>
        <v>1030.0059386015716</v>
      </c>
      <c r="O334" s="44">
        <f t="shared" si="204"/>
        <v>1557.6313296828389</v>
      </c>
    </row>
    <row r="335" spans="1:15" x14ac:dyDescent="0.2">
      <c r="A335" s="37" t="s">
        <v>35</v>
      </c>
      <c r="D335" s="46">
        <f>SUM(D336:D345)</f>
        <v>64581.468121394071</v>
      </c>
      <c r="E335" s="46">
        <f t="shared" ref="E335:I335" si="205">SUM(E336:E345)</f>
        <v>87562.543887248583</v>
      </c>
      <c r="F335" s="46">
        <f t="shared" si="205"/>
        <v>53404.116066591901</v>
      </c>
      <c r="G335" s="46">
        <f t="shared" si="205"/>
        <v>81866.398047339782</v>
      </c>
      <c r="H335" s="46">
        <f t="shared" si="205"/>
        <v>131024.67578252044</v>
      </c>
      <c r="I335" s="46">
        <f t="shared" si="205"/>
        <v>92584.339122300895</v>
      </c>
      <c r="J335" s="46">
        <f t="shared" ref="J335" si="206">SUM(J336:J345)</f>
        <v>74555.864928323514</v>
      </c>
      <c r="K335" s="46">
        <f t="shared" ref="K335" si="207">SUM(K336:K345)</f>
        <v>95188.912931271872</v>
      </c>
      <c r="L335" s="46">
        <f t="shared" ref="L335" si="208">SUM(L336:L345)</f>
        <v>86745.395754968122</v>
      </c>
      <c r="M335" s="46">
        <f t="shared" ref="M335" si="209">SUM(M336:M345)</f>
        <v>81445.479958419819</v>
      </c>
      <c r="N335" s="46">
        <f t="shared" ref="N335" si="210">SUM(N336:N345)</f>
        <v>110577.71539840105</v>
      </c>
      <c r="O335" s="46">
        <f t="shared" ref="O335" si="211">SUM(O336:O345)</f>
        <v>108698.37565373034</v>
      </c>
    </row>
    <row r="336" spans="1:15" x14ac:dyDescent="0.2">
      <c r="A336" s="38" t="s">
        <v>25</v>
      </c>
      <c r="D336" s="44">
        <f t="shared" si="181"/>
        <v>21580.551337563666</v>
      </c>
      <c r="E336" s="44">
        <f t="shared" si="181"/>
        <v>9208.1926117510029</v>
      </c>
      <c r="F336" s="44">
        <f t="shared" si="181"/>
        <v>3916.4540661179594</v>
      </c>
      <c r="G336" s="44">
        <f t="shared" si="181"/>
        <v>2133.1668320248573</v>
      </c>
      <c r="H336" s="44">
        <f t="shared" si="181"/>
        <v>9162.7153473725448</v>
      </c>
      <c r="I336" s="44">
        <f t="shared" si="181"/>
        <v>13831.945801466067</v>
      </c>
      <c r="J336" s="44">
        <f t="shared" si="204"/>
        <v>4861.1367462551725</v>
      </c>
      <c r="K336" s="44">
        <f t="shared" si="204"/>
        <v>427.75278298277465</v>
      </c>
      <c r="L336" s="44">
        <f t="shared" si="204"/>
        <v>21519.764840296208</v>
      </c>
      <c r="M336" s="44">
        <f t="shared" si="204"/>
        <v>7867.4564867053632</v>
      </c>
      <c r="N336" s="44">
        <f t="shared" si="204"/>
        <v>26551.905265923459</v>
      </c>
      <c r="O336" s="44">
        <f t="shared" si="204"/>
        <v>12035.988021552097</v>
      </c>
    </row>
    <row r="337" spans="1:15" x14ac:dyDescent="0.2">
      <c r="A337" s="38" t="s">
        <v>26</v>
      </c>
      <c r="D337" s="44">
        <f t="shared" si="181"/>
        <v>4277.5898819647236</v>
      </c>
      <c r="E337" s="44">
        <f t="shared" si="181"/>
        <v>15203.482324511793</v>
      </c>
      <c r="F337" s="44">
        <f t="shared" si="181"/>
        <v>6859.8827136589434</v>
      </c>
      <c r="G337" s="44">
        <f t="shared" si="181"/>
        <v>7893.4584798355254</v>
      </c>
      <c r="H337" s="44">
        <f t="shared" si="181"/>
        <v>2127.3632021413177</v>
      </c>
      <c r="I337" s="44">
        <f t="shared" si="181"/>
        <v>28160.822255844665</v>
      </c>
      <c r="J337" s="44">
        <f t="shared" si="204"/>
        <v>22.440775350481367</v>
      </c>
      <c r="K337" s="44">
        <f t="shared" si="204"/>
        <v>4449.3860781736421</v>
      </c>
      <c r="L337" s="44">
        <f t="shared" si="204"/>
        <v>3850.0224209076673</v>
      </c>
      <c r="M337" s="44">
        <f t="shared" si="204"/>
        <v>9565.9222002219285</v>
      </c>
      <c r="N337" s="44">
        <f t="shared" si="204"/>
        <v>18987.172366814946</v>
      </c>
      <c r="O337" s="44">
        <f t="shared" si="204"/>
        <v>9418.0820538923581</v>
      </c>
    </row>
    <row r="338" spans="1:15" x14ac:dyDescent="0.2">
      <c r="A338" s="38" t="s">
        <v>27</v>
      </c>
      <c r="D338" s="44">
        <f t="shared" si="181"/>
        <v>8151.4723677582242</v>
      </c>
      <c r="E338" s="44">
        <f t="shared" si="181"/>
        <v>3287.9087764263227</v>
      </c>
      <c r="F338" s="44">
        <f t="shared" si="181"/>
        <v>10479.124382231426</v>
      </c>
      <c r="G338" s="44">
        <f t="shared" si="181"/>
        <v>6008.0518642344414</v>
      </c>
      <c r="H338" s="44">
        <f t="shared" si="181"/>
        <v>1505.9248531321475</v>
      </c>
      <c r="I338" s="44">
        <f t="shared" si="181"/>
        <v>8893.8897804067401</v>
      </c>
      <c r="J338" s="44">
        <f t="shared" si="204"/>
        <v>2097.5321781908333</v>
      </c>
      <c r="K338" s="44">
        <f t="shared" si="204"/>
        <v>18761.870764281368</v>
      </c>
      <c r="L338" s="44">
        <f t="shared" si="204"/>
        <v>1627.8450087475353</v>
      </c>
      <c r="M338" s="44">
        <f t="shared" si="204"/>
        <v>4235.545940749882</v>
      </c>
      <c r="N338" s="44">
        <f t="shared" si="204"/>
        <v>3353.9126016579803</v>
      </c>
      <c r="O338" s="44">
        <f t="shared" si="204"/>
        <v>10426.979945815732</v>
      </c>
    </row>
    <row r="339" spans="1:15" x14ac:dyDescent="0.2">
      <c r="A339" s="38" t="s">
        <v>28</v>
      </c>
      <c r="D339" s="44">
        <f t="shared" si="181"/>
        <v>5154.5459612354189</v>
      </c>
      <c r="E339" s="44">
        <f t="shared" si="181"/>
        <v>1348.1735707789223</v>
      </c>
      <c r="F339" s="44">
        <f t="shared" si="181"/>
        <v>1409.3616563055382</v>
      </c>
      <c r="G339" s="44">
        <f t="shared" si="181"/>
        <v>13168.684092886548</v>
      </c>
      <c r="H339" s="44">
        <f t="shared" si="181"/>
        <v>28980.001469876373</v>
      </c>
      <c r="I339" s="44">
        <f t="shared" si="181"/>
        <v>2350.7174514046828</v>
      </c>
      <c r="J339" s="44">
        <f t="shared" si="204"/>
        <v>14172.985749118103</v>
      </c>
      <c r="K339" s="44">
        <f t="shared" si="204"/>
        <v>3897.7342951175083</v>
      </c>
      <c r="L339" s="44">
        <f t="shared" si="204"/>
        <v>9192.1552762753672</v>
      </c>
      <c r="M339" s="44">
        <f t="shared" si="204"/>
        <v>1136.3337584726294</v>
      </c>
      <c r="N339" s="44">
        <f t="shared" si="204"/>
        <v>7805.5277125218081</v>
      </c>
      <c r="O339" s="44">
        <f t="shared" si="204"/>
        <v>729.34429898101359</v>
      </c>
    </row>
    <row r="340" spans="1:15" x14ac:dyDescent="0.2">
      <c r="A340" s="38" t="s">
        <v>29</v>
      </c>
      <c r="D340" s="44">
        <f t="shared" si="181"/>
        <v>5516.4509582792298</v>
      </c>
      <c r="E340" s="44">
        <f t="shared" si="181"/>
        <v>11710.219968146426</v>
      </c>
      <c r="F340" s="44">
        <f t="shared" si="181"/>
        <v>7288.1684016999134</v>
      </c>
      <c r="G340" s="44">
        <f t="shared" si="181"/>
        <v>5039.3857923719934</v>
      </c>
      <c r="H340" s="44">
        <f t="shared" si="181"/>
        <v>4279.6665142041265</v>
      </c>
      <c r="I340" s="44">
        <f t="shared" si="181"/>
        <v>3163.940225348701</v>
      </c>
      <c r="J340" s="44">
        <f t="shared" si="204"/>
        <v>15634.705370301532</v>
      </c>
      <c r="K340" s="44">
        <f t="shared" si="204"/>
        <v>16682.862597947322</v>
      </c>
      <c r="L340" s="44">
        <f t="shared" si="204"/>
        <v>17480.904789702163</v>
      </c>
      <c r="M340" s="44">
        <f t="shared" si="204"/>
        <v>4594.6435499194258</v>
      </c>
      <c r="N340" s="44">
        <f t="shared" si="204"/>
        <v>3499.1819897771898</v>
      </c>
      <c r="O340" s="44">
        <f t="shared" si="204"/>
        <v>9551.6884869218738</v>
      </c>
    </row>
    <row r="341" spans="1:15" x14ac:dyDescent="0.2">
      <c r="A341" s="38" t="s">
        <v>30</v>
      </c>
      <c r="D341" s="44">
        <f t="shared" si="181"/>
        <v>5674.4627225482909</v>
      </c>
      <c r="E341" s="44">
        <f t="shared" si="181"/>
        <v>6391.4591836613899</v>
      </c>
      <c r="F341" s="44">
        <f t="shared" si="181"/>
        <v>2582.7239218601353</v>
      </c>
      <c r="G341" s="44">
        <f t="shared" si="181"/>
        <v>24494.020695498519</v>
      </c>
      <c r="H341" s="44">
        <f t="shared" si="181"/>
        <v>27986.451825450022</v>
      </c>
      <c r="I341" s="44">
        <f t="shared" si="181"/>
        <v>6753.9244707800044</v>
      </c>
      <c r="J341" s="44">
        <f t="shared" si="204"/>
        <v>5738.4557450168486</v>
      </c>
      <c r="K341" s="44">
        <f t="shared" si="204"/>
        <v>13780.71051588935</v>
      </c>
      <c r="L341" s="44">
        <f t="shared" si="204"/>
        <v>5654.2437903642904</v>
      </c>
      <c r="M341" s="44">
        <f t="shared" si="204"/>
        <v>6439.2306689605621</v>
      </c>
      <c r="N341" s="44">
        <f t="shared" si="204"/>
        <v>4894.8267829346651</v>
      </c>
      <c r="O341" s="44">
        <f t="shared" si="204"/>
        <v>3674.2484191922531</v>
      </c>
    </row>
    <row r="342" spans="1:15" x14ac:dyDescent="0.2">
      <c r="A342" s="38" t="s">
        <v>31</v>
      </c>
      <c r="D342" s="44">
        <f t="shared" si="181"/>
        <v>3128.5814854601726</v>
      </c>
      <c r="E342" s="44">
        <f t="shared" si="181"/>
        <v>4035.3499214434096</v>
      </c>
      <c r="F342" s="44">
        <f t="shared" si="181"/>
        <v>5550.6734398009603</v>
      </c>
      <c r="G342" s="44">
        <f t="shared" si="181"/>
        <v>8964.2135203266571</v>
      </c>
      <c r="H342" s="44">
        <f t="shared" si="181"/>
        <v>17111.181124666462</v>
      </c>
      <c r="I342" s="44">
        <f t="shared" si="181"/>
        <v>6687.8680462039893</v>
      </c>
      <c r="J342" s="44">
        <f t="shared" si="204"/>
        <v>23502.046987589725</v>
      </c>
      <c r="K342" s="44">
        <f t="shared" si="204"/>
        <v>7958.028213415806</v>
      </c>
      <c r="L342" s="44">
        <f t="shared" si="204"/>
        <v>16121.603607810956</v>
      </c>
      <c r="M342" s="44">
        <f t="shared" si="204"/>
        <v>15693.806671538066</v>
      </c>
      <c r="N342" s="44">
        <f t="shared" si="204"/>
        <v>11115.87417883403</v>
      </c>
      <c r="O342" s="44">
        <f t="shared" si="204"/>
        <v>8931.5289585699211</v>
      </c>
    </row>
    <row r="343" spans="1:15" x14ac:dyDescent="0.2">
      <c r="A343" s="38" t="s">
        <v>32</v>
      </c>
      <c r="D343" s="44">
        <f t="shared" si="181"/>
        <v>3892.0252596710325</v>
      </c>
      <c r="E343" s="44">
        <f t="shared" si="181"/>
        <v>11391.949222689902</v>
      </c>
      <c r="F343" s="44">
        <f t="shared" si="181"/>
        <v>1168.7858199182217</v>
      </c>
      <c r="G343" s="44">
        <f t="shared" si="181"/>
        <v>2032.0903390231172</v>
      </c>
      <c r="H343" s="44">
        <f t="shared" si="181"/>
        <v>12079.33241843886</v>
      </c>
      <c r="I343" s="44">
        <f t="shared" si="181"/>
        <v>4.7610269634568869</v>
      </c>
      <c r="J343" s="44">
        <f t="shared" si="204"/>
        <v>5573.305153352484</v>
      </c>
      <c r="K343" s="44">
        <f t="shared" si="204"/>
        <v>1485.3343289110796</v>
      </c>
      <c r="L343" s="44">
        <f t="shared" si="204"/>
        <v>5828.36090288177</v>
      </c>
      <c r="M343" s="44">
        <f t="shared" si="204"/>
        <v>7068.5046267813959</v>
      </c>
      <c r="N343" s="44">
        <f t="shared" si="204"/>
        <v>6730.1325408808925</v>
      </c>
      <c r="O343" s="44">
        <f t="shared" si="204"/>
        <v>14108.253878451927</v>
      </c>
    </row>
    <row r="344" spans="1:15" x14ac:dyDescent="0.2">
      <c r="A344" s="38" t="s">
        <v>33</v>
      </c>
      <c r="D344" s="44">
        <f t="shared" si="181"/>
        <v>4200.042767502825</v>
      </c>
      <c r="E344" s="44">
        <f t="shared" si="181"/>
        <v>8727.4718075277888</v>
      </c>
      <c r="F344" s="44">
        <f t="shared" si="181"/>
        <v>10113.007735770845</v>
      </c>
      <c r="G344" s="44">
        <f t="shared" si="181"/>
        <v>9540.2389636938988</v>
      </c>
      <c r="H344" s="44">
        <f t="shared" si="181"/>
        <v>2157.7120137873349</v>
      </c>
      <c r="I344" s="44">
        <f t="shared" si="181"/>
        <v>9679.9455255683024</v>
      </c>
      <c r="J344" s="44">
        <f t="shared" si="204"/>
        <v>583.09266747252934</v>
      </c>
      <c r="K344" s="44">
        <f t="shared" si="204"/>
        <v>6677.1916349743424</v>
      </c>
      <c r="L344" s="44">
        <f t="shared" si="204"/>
        <v>3003.686881756737</v>
      </c>
      <c r="M344" s="44">
        <f t="shared" si="204"/>
        <v>23781.839761204457</v>
      </c>
      <c r="N344" s="44">
        <f t="shared" si="204"/>
        <v>2832.6418698371522</v>
      </c>
      <c r="O344" s="44">
        <f t="shared" si="204"/>
        <v>11352.129352377831</v>
      </c>
    </row>
    <row r="345" spans="1:15" x14ac:dyDescent="0.2">
      <c r="A345" s="38" t="s">
        <v>34</v>
      </c>
      <c r="D345" s="44">
        <f t="shared" si="181"/>
        <v>3005.7453794104881</v>
      </c>
      <c r="E345" s="44">
        <f t="shared" si="181"/>
        <v>16258.336500311614</v>
      </c>
      <c r="F345" s="44">
        <f t="shared" ref="E345:I359" si="212">F51*F149</f>
        <v>4035.9339292279619</v>
      </c>
      <c r="G345" s="44">
        <f t="shared" si="212"/>
        <v>2593.0874674442312</v>
      </c>
      <c r="H345" s="44">
        <f t="shared" si="212"/>
        <v>25634.327013451264</v>
      </c>
      <c r="I345" s="44">
        <f t="shared" si="212"/>
        <v>13056.52453831429</v>
      </c>
      <c r="J345" s="44">
        <f t="shared" ref="J345:O345" si="213">J51*J149</f>
        <v>2370.1635556757992</v>
      </c>
      <c r="K345" s="44">
        <f t="shared" si="213"/>
        <v>21068.04171957869</v>
      </c>
      <c r="L345" s="44">
        <f t="shared" si="213"/>
        <v>2466.808236225439</v>
      </c>
      <c r="M345" s="44">
        <f t="shared" si="213"/>
        <v>1062.1962938661002</v>
      </c>
      <c r="N345" s="44">
        <f t="shared" si="213"/>
        <v>24806.540089218917</v>
      </c>
      <c r="O345" s="44">
        <f t="shared" si="213"/>
        <v>28470.132237975344</v>
      </c>
    </row>
    <row r="346" spans="1:15" x14ac:dyDescent="0.2">
      <c r="A346" s="38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</row>
    <row r="347" spans="1:15" x14ac:dyDescent="0.2">
      <c r="A347" s="3" t="s">
        <v>37</v>
      </c>
      <c r="B347" s="3"/>
      <c r="C347" s="3"/>
      <c r="D347" s="43">
        <f>D348+D371</f>
        <v>285434.22680247959</v>
      </c>
      <c r="E347" s="43">
        <f t="shared" ref="E347:I347" si="214">E348+E371</f>
        <v>298553.97282548668</v>
      </c>
      <c r="F347" s="43">
        <f t="shared" si="214"/>
        <v>463243.91925849696</v>
      </c>
      <c r="G347" s="43">
        <f t="shared" si="214"/>
        <v>432337.17636480799</v>
      </c>
      <c r="H347" s="43">
        <f t="shared" si="214"/>
        <v>363964.95654571312</v>
      </c>
      <c r="I347" s="43">
        <f t="shared" si="214"/>
        <v>293996.2276072962</v>
      </c>
      <c r="J347" s="43">
        <f t="shared" ref="J347" si="215">J348+J371</f>
        <v>322132.43876455672</v>
      </c>
      <c r="K347" s="43">
        <f t="shared" ref="K347" si="216">K348+K371</f>
        <v>401819.94426029094</v>
      </c>
      <c r="L347" s="43">
        <f t="shared" ref="L347" si="217">L348+L371</f>
        <v>361935.43333619647</v>
      </c>
      <c r="M347" s="43">
        <f t="shared" ref="M347" si="218">M348+M371</f>
        <v>430819.36570096447</v>
      </c>
      <c r="N347" s="43">
        <f t="shared" ref="N347" si="219">N348+N371</f>
        <v>374794.20111901884</v>
      </c>
      <c r="O347" s="43">
        <f t="shared" ref="O347" si="220">O348+O371</f>
        <v>257480.89532363488</v>
      </c>
    </row>
    <row r="348" spans="1:15" x14ac:dyDescent="0.2">
      <c r="A348" s="4" t="s">
        <v>23</v>
      </c>
      <c r="B348" s="4"/>
      <c r="C348" s="4"/>
      <c r="D348" s="45">
        <f>D349+D360</f>
        <v>120863.63101195125</v>
      </c>
      <c r="E348" s="45">
        <f t="shared" ref="E348:I348" si="221">E349+E360</f>
        <v>136187.3998168938</v>
      </c>
      <c r="F348" s="45">
        <f t="shared" si="221"/>
        <v>166586.51316173351</v>
      </c>
      <c r="G348" s="45">
        <f t="shared" si="221"/>
        <v>144200.26864225973</v>
      </c>
      <c r="H348" s="45">
        <f t="shared" si="221"/>
        <v>135620.09415356326</v>
      </c>
      <c r="I348" s="45">
        <f t="shared" si="221"/>
        <v>113210.61956593761</v>
      </c>
      <c r="J348" s="45">
        <f t="shared" ref="J348" si="222">J349+J360</f>
        <v>138315.66834348754</v>
      </c>
      <c r="K348" s="45">
        <f t="shared" ref="K348" si="223">K349+K360</f>
        <v>154060.20520576055</v>
      </c>
      <c r="L348" s="45">
        <f t="shared" ref="L348" si="224">L349+L360</f>
        <v>143256.47724035219</v>
      </c>
      <c r="M348" s="45">
        <f t="shared" ref="M348" si="225">M349+M360</f>
        <v>172321.86743177328</v>
      </c>
      <c r="N348" s="45">
        <f t="shared" ref="N348" si="226">N349+N360</f>
        <v>142484.70641257937</v>
      </c>
      <c r="O348" s="45">
        <f t="shared" ref="O348" si="227">O349+O360</f>
        <v>105322.02143781164</v>
      </c>
    </row>
    <row r="349" spans="1:15" x14ac:dyDescent="0.2">
      <c r="A349" s="37" t="s">
        <v>24</v>
      </c>
      <c r="D349" s="46">
        <f>SUM(D350:D359)</f>
        <v>27491.71470597617</v>
      </c>
      <c r="E349" s="46">
        <f t="shared" ref="E349:I349" si="228">SUM(E350:E359)</f>
        <v>40840.054910997576</v>
      </c>
      <c r="F349" s="46">
        <f t="shared" si="228"/>
        <v>56434.499577431154</v>
      </c>
      <c r="G349" s="46">
        <f t="shared" si="228"/>
        <v>27873.32831170212</v>
      </c>
      <c r="H349" s="46">
        <f t="shared" si="228"/>
        <v>47508.527694526361</v>
      </c>
      <c r="I349" s="46">
        <f t="shared" si="228"/>
        <v>30507.384616966294</v>
      </c>
      <c r="J349" s="46">
        <f t="shared" ref="J349" si="229">SUM(J350:J359)</f>
        <v>44413.771345509616</v>
      </c>
      <c r="K349" s="46">
        <f t="shared" ref="K349" si="230">SUM(K350:K359)</f>
        <v>46967.485216555069</v>
      </c>
      <c r="L349" s="46">
        <f t="shared" ref="L349" si="231">SUM(L350:L359)</f>
        <v>41075.587171995721</v>
      </c>
      <c r="M349" s="46">
        <f t="shared" ref="M349" si="232">SUM(M350:M359)</f>
        <v>52758.915908634925</v>
      </c>
      <c r="N349" s="46">
        <f t="shared" ref="N349" si="233">SUM(N350:N359)</f>
        <v>38685.734339992181</v>
      </c>
      <c r="O349" s="46">
        <f t="shared" ref="O349" si="234">SUM(O350:O359)</f>
        <v>49198.603598014612</v>
      </c>
    </row>
    <row r="350" spans="1:15" x14ac:dyDescent="0.2">
      <c r="A350" s="38" t="s">
        <v>25</v>
      </c>
      <c r="D350" s="44">
        <f t="shared" si="181"/>
        <v>2122.7883977785255</v>
      </c>
      <c r="E350" s="44">
        <f t="shared" si="212"/>
        <v>31.599135208702361</v>
      </c>
      <c r="F350" s="44">
        <f t="shared" si="212"/>
        <v>4242.4810913003939</v>
      </c>
      <c r="G350" s="44">
        <f t="shared" si="212"/>
        <v>2733.9801913513743</v>
      </c>
      <c r="H350" s="44">
        <f t="shared" si="212"/>
        <v>3161.7097846139432</v>
      </c>
      <c r="I350" s="44">
        <f t="shared" si="212"/>
        <v>650.01934091520479</v>
      </c>
      <c r="J350" s="44">
        <f t="shared" ref="J350:O350" si="235">J56*J154</f>
        <v>1595.1195819571469</v>
      </c>
      <c r="K350" s="44">
        <f t="shared" si="235"/>
        <v>3247.2225468971333</v>
      </c>
      <c r="L350" s="44">
        <f t="shared" si="235"/>
        <v>2231.8418432137373</v>
      </c>
      <c r="M350" s="44">
        <f t="shared" si="235"/>
        <v>1209.4318001503837</v>
      </c>
      <c r="N350" s="44">
        <f t="shared" si="235"/>
        <v>2764.2875667765411</v>
      </c>
      <c r="O350" s="44">
        <f t="shared" si="235"/>
        <v>5903.583555685891</v>
      </c>
    </row>
    <row r="351" spans="1:15" x14ac:dyDescent="0.2">
      <c r="A351" s="38" t="s">
        <v>26</v>
      </c>
      <c r="D351" s="44">
        <f t="shared" si="181"/>
        <v>5930.5568216447546</v>
      </c>
      <c r="E351" s="44">
        <f t="shared" si="212"/>
        <v>3711.8844890354139</v>
      </c>
      <c r="F351" s="44">
        <f t="shared" si="212"/>
        <v>5445.5765642866145</v>
      </c>
      <c r="G351" s="44">
        <f t="shared" si="212"/>
        <v>2170.0111675441558</v>
      </c>
      <c r="H351" s="44">
        <f t="shared" si="212"/>
        <v>7825.8463732044302</v>
      </c>
      <c r="I351" s="44">
        <f t="shared" si="212"/>
        <v>311.79357670577014</v>
      </c>
      <c r="J351" s="44">
        <f t="shared" ref="J351:O351" si="236">J57*J155</f>
        <v>6369.773553896468</v>
      </c>
      <c r="K351" s="44">
        <f t="shared" si="236"/>
        <v>1744.1994135913299</v>
      </c>
      <c r="L351" s="44">
        <f t="shared" si="236"/>
        <v>3195.6626090373775</v>
      </c>
      <c r="M351" s="44">
        <f t="shared" si="236"/>
        <v>1127.2395669736554</v>
      </c>
      <c r="N351" s="44">
        <f t="shared" si="236"/>
        <v>5302.3202360322712</v>
      </c>
      <c r="O351" s="44">
        <f t="shared" si="236"/>
        <v>3800.1222909776843</v>
      </c>
    </row>
    <row r="352" spans="1:15" x14ac:dyDescent="0.2">
      <c r="A352" s="38" t="s">
        <v>27</v>
      </c>
      <c r="D352" s="44">
        <f t="shared" si="181"/>
        <v>724.09781395365383</v>
      </c>
      <c r="E352" s="44">
        <f t="shared" si="212"/>
        <v>13250.152992469904</v>
      </c>
      <c r="F352" s="44">
        <f t="shared" si="212"/>
        <v>5842.2110328214067</v>
      </c>
      <c r="G352" s="44">
        <f t="shared" si="212"/>
        <v>4632.1048129948167</v>
      </c>
      <c r="H352" s="44">
        <f t="shared" si="212"/>
        <v>2619.1684499497132</v>
      </c>
      <c r="I352" s="44">
        <f t="shared" si="212"/>
        <v>6594.7483091284903</v>
      </c>
      <c r="J352" s="44">
        <f t="shared" ref="J352:O352" si="237">J58*J156</f>
        <v>265.64336787885071</v>
      </c>
      <c r="K352" s="44">
        <f t="shared" si="237"/>
        <v>1655.4210799380403</v>
      </c>
      <c r="L352" s="44">
        <f t="shared" si="237"/>
        <v>78.188986782515869</v>
      </c>
      <c r="M352" s="44">
        <f t="shared" si="237"/>
        <v>4385.1621435809411</v>
      </c>
      <c r="N352" s="44">
        <f t="shared" si="237"/>
        <v>9181.9800895047338</v>
      </c>
      <c r="O352" s="44">
        <f t="shared" si="237"/>
        <v>1418.1589640885963</v>
      </c>
    </row>
    <row r="353" spans="1:15" x14ac:dyDescent="0.2">
      <c r="A353" s="38" t="s">
        <v>28</v>
      </c>
      <c r="D353" s="44">
        <f t="shared" si="181"/>
        <v>1191.5202451349051</v>
      </c>
      <c r="E353" s="44">
        <f t="shared" si="212"/>
        <v>507.1679251974868</v>
      </c>
      <c r="F353" s="44">
        <f t="shared" si="212"/>
        <v>4527.8149309326482</v>
      </c>
      <c r="G353" s="44">
        <f t="shared" si="212"/>
        <v>3830.8919991304142</v>
      </c>
      <c r="H353" s="44">
        <f t="shared" si="212"/>
        <v>3270.3135719304296</v>
      </c>
      <c r="I353" s="44">
        <f t="shared" si="212"/>
        <v>1373.7834170839756</v>
      </c>
      <c r="J353" s="44">
        <f t="shared" ref="J353:O353" si="238">J59*J157</f>
        <v>5372.2220211608492</v>
      </c>
      <c r="K353" s="44">
        <f t="shared" si="238"/>
        <v>9718.0887659930158</v>
      </c>
      <c r="L353" s="44">
        <f t="shared" si="238"/>
        <v>1701.1147800757956</v>
      </c>
      <c r="M353" s="44">
        <f t="shared" si="238"/>
        <v>12943.476923255432</v>
      </c>
      <c r="N353" s="44">
        <f t="shared" si="238"/>
        <v>1056.1699244206557</v>
      </c>
      <c r="O353" s="44">
        <f t="shared" si="238"/>
        <v>798.26305719687889</v>
      </c>
    </row>
    <row r="354" spans="1:15" x14ac:dyDescent="0.2">
      <c r="A354" s="38" t="s">
        <v>29</v>
      </c>
      <c r="D354" s="44">
        <f t="shared" si="181"/>
        <v>1463.2682284124628</v>
      </c>
      <c r="E354" s="44">
        <f t="shared" si="212"/>
        <v>14167.98478203064</v>
      </c>
      <c r="F354" s="44">
        <f t="shared" si="212"/>
        <v>8502.4105033615269</v>
      </c>
      <c r="G354" s="44">
        <f t="shared" si="212"/>
        <v>2630.5500877295253</v>
      </c>
      <c r="H354" s="44">
        <f t="shared" si="212"/>
        <v>1487.0614630846733</v>
      </c>
      <c r="I354" s="44">
        <f t="shared" si="212"/>
        <v>174.67837455102094</v>
      </c>
      <c r="J354" s="44">
        <f t="shared" ref="J354:O354" si="239">J60*J158</f>
        <v>2642.5547237833389</v>
      </c>
      <c r="K354" s="44">
        <f t="shared" si="239"/>
        <v>3373.1216047830203</v>
      </c>
      <c r="L354" s="44">
        <f t="shared" si="239"/>
        <v>231.50048915081345</v>
      </c>
      <c r="M354" s="44">
        <f t="shared" si="239"/>
        <v>6666.7618492109705</v>
      </c>
      <c r="N354" s="44">
        <f t="shared" si="239"/>
        <v>7719.5562144208398</v>
      </c>
      <c r="O354" s="44">
        <f t="shared" si="239"/>
        <v>12693.039330173706</v>
      </c>
    </row>
    <row r="355" spans="1:15" x14ac:dyDescent="0.2">
      <c r="A355" s="38" t="s">
        <v>30</v>
      </c>
      <c r="D355" s="44">
        <f t="shared" si="181"/>
        <v>137.1530276092133</v>
      </c>
      <c r="E355" s="44">
        <f t="shared" si="212"/>
        <v>748.9780644511203</v>
      </c>
      <c r="F355" s="44">
        <f t="shared" si="212"/>
        <v>283.98771732225515</v>
      </c>
      <c r="G355" s="44">
        <f t="shared" si="212"/>
        <v>3647.5602636711533</v>
      </c>
      <c r="H355" s="44">
        <f t="shared" si="212"/>
        <v>4100.8514827474573</v>
      </c>
      <c r="I355" s="44">
        <f t="shared" si="212"/>
        <v>418.15564862549689</v>
      </c>
      <c r="J355" s="44">
        <f t="shared" ref="J355:O355" si="240">J61*J159</f>
        <v>2351.4535587708583</v>
      </c>
      <c r="K355" s="44">
        <f t="shared" si="240"/>
        <v>9777.7605071316248</v>
      </c>
      <c r="L355" s="44">
        <f t="shared" si="240"/>
        <v>13717.996252209574</v>
      </c>
      <c r="M355" s="44">
        <f t="shared" si="240"/>
        <v>11272.173544159805</v>
      </c>
      <c r="N355" s="44">
        <f t="shared" si="240"/>
        <v>437.45627376933794</v>
      </c>
      <c r="O355" s="44">
        <f t="shared" si="240"/>
        <v>13514.385765560814</v>
      </c>
    </row>
    <row r="356" spans="1:15" x14ac:dyDescent="0.2">
      <c r="A356" s="38" t="s">
        <v>31</v>
      </c>
      <c r="D356" s="44">
        <f t="shared" si="181"/>
        <v>1403.6664116669133</v>
      </c>
      <c r="E356" s="44">
        <f t="shared" si="212"/>
        <v>727.16089208281096</v>
      </c>
      <c r="F356" s="44">
        <f t="shared" si="212"/>
        <v>15164.294675942409</v>
      </c>
      <c r="G356" s="44">
        <f t="shared" si="212"/>
        <v>2983.0103270017407</v>
      </c>
      <c r="H356" s="44">
        <f t="shared" si="212"/>
        <v>9380.5861337476417</v>
      </c>
      <c r="I356" s="44">
        <f t="shared" si="212"/>
        <v>8060.1932482501243</v>
      </c>
      <c r="J356" s="44">
        <f t="shared" ref="J356:O356" si="241">J62*J160</f>
        <v>4784.1951507333988</v>
      </c>
      <c r="K356" s="44">
        <f t="shared" si="241"/>
        <v>712.00547470708898</v>
      </c>
      <c r="L356" s="44">
        <f t="shared" si="241"/>
        <v>3543.139057870872</v>
      </c>
      <c r="M356" s="44">
        <f t="shared" si="241"/>
        <v>4532.7019550248569</v>
      </c>
      <c r="N356" s="44">
        <f t="shared" si="241"/>
        <v>2563.7160852617635</v>
      </c>
      <c r="O356" s="44">
        <f t="shared" si="241"/>
        <v>7064.9277674843725</v>
      </c>
    </row>
    <row r="357" spans="1:15" x14ac:dyDescent="0.2">
      <c r="A357" s="38" t="s">
        <v>32</v>
      </c>
      <c r="D357" s="44">
        <f t="shared" si="181"/>
        <v>5935.0355232827396</v>
      </c>
      <c r="E357" s="44">
        <f t="shared" si="212"/>
        <v>1517.4256097428533</v>
      </c>
      <c r="F357" s="44">
        <f t="shared" si="212"/>
        <v>2811.1298955323487</v>
      </c>
      <c r="G357" s="44">
        <f t="shared" si="212"/>
        <v>1861.486388405363</v>
      </c>
      <c r="H357" s="44">
        <f t="shared" si="212"/>
        <v>949.05889951964139</v>
      </c>
      <c r="I357" s="44">
        <f t="shared" si="212"/>
        <v>8102.8751657048369</v>
      </c>
      <c r="J357" s="44">
        <f t="shared" ref="J357:O357" si="242">J63*J161</f>
        <v>7444.6654278140559</v>
      </c>
      <c r="K357" s="44">
        <f t="shared" si="242"/>
        <v>3202.8364376470277</v>
      </c>
      <c r="L357" s="44">
        <f t="shared" si="242"/>
        <v>6568.0353588726875</v>
      </c>
      <c r="M357" s="44">
        <f t="shared" si="242"/>
        <v>4027.5540800856757</v>
      </c>
      <c r="N357" s="44">
        <f t="shared" si="242"/>
        <v>5142.1333248626497</v>
      </c>
      <c r="O357" s="44">
        <f t="shared" si="242"/>
        <v>611.29185579203852</v>
      </c>
    </row>
    <row r="358" spans="1:15" x14ac:dyDescent="0.2">
      <c r="A358" s="38" t="s">
        <v>33</v>
      </c>
      <c r="D358" s="44">
        <f t="shared" si="181"/>
        <v>8360.7494735989258</v>
      </c>
      <c r="E358" s="44">
        <f t="shared" si="212"/>
        <v>5470.1819290973572</v>
      </c>
      <c r="F358" s="44">
        <f t="shared" si="212"/>
        <v>5471.2729331833871</v>
      </c>
      <c r="G358" s="44">
        <f t="shared" si="212"/>
        <v>2198.1024021251487</v>
      </c>
      <c r="H358" s="44">
        <f t="shared" si="212"/>
        <v>4202.8608845553663</v>
      </c>
      <c r="I358" s="44">
        <f t="shared" si="212"/>
        <v>1484.7952056090674</v>
      </c>
      <c r="J358" s="44">
        <f t="shared" ref="J358:O358" si="243">J64*J162</f>
        <v>9900.4438235118159</v>
      </c>
      <c r="K358" s="44">
        <f t="shared" si="243"/>
        <v>2732.7914732231975</v>
      </c>
      <c r="L358" s="44">
        <f t="shared" si="243"/>
        <v>1946.0177323034814</v>
      </c>
      <c r="M358" s="44">
        <f t="shared" si="243"/>
        <v>6347.8996695055466</v>
      </c>
      <c r="N358" s="44">
        <f t="shared" si="243"/>
        <v>1580.7417074866719</v>
      </c>
      <c r="O358" s="44">
        <f t="shared" si="243"/>
        <v>2429.1130925291054</v>
      </c>
    </row>
    <row r="359" spans="1:15" x14ac:dyDescent="0.2">
      <c r="A359" s="38" t="s">
        <v>34</v>
      </c>
      <c r="D359" s="44">
        <f t="shared" si="181"/>
        <v>222.87876289407689</v>
      </c>
      <c r="E359" s="44">
        <f t="shared" si="212"/>
        <v>707.51909168129191</v>
      </c>
      <c r="F359" s="44">
        <f t="shared" si="212"/>
        <v>4143.3202327481522</v>
      </c>
      <c r="G359" s="44">
        <f t="shared" si="212"/>
        <v>1185.6306717484269</v>
      </c>
      <c r="H359" s="44">
        <f t="shared" si="212"/>
        <v>10511.07065117306</v>
      </c>
      <c r="I359" s="44">
        <f t="shared" si="212"/>
        <v>3336.3423303923037</v>
      </c>
      <c r="J359" s="44">
        <f t="shared" ref="J359:O359" si="244">J65*J163</f>
        <v>3687.7001360028353</v>
      </c>
      <c r="K359" s="44">
        <f t="shared" si="244"/>
        <v>10804.037912643587</v>
      </c>
      <c r="L359" s="44">
        <f t="shared" si="244"/>
        <v>7862.090062478871</v>
      </c>
      <c r="M359" s="44">
        <f t="shared" si="244"/>
        <v>246.51437668765681</v>
      </c>
      <c r="N359" s="44">
        <f t="shared" si="244"/>
        <v>2937.3729174567193</v>
      </c>
      <c r="O359" s="44">
        <f t="shared" si="244"/>
        <v>965.71791852551223</v>
      </c>
    </row>
    <row r="360" spans="1:15" x14ac:dyDescent="0.2">
      <c r="A360" s="37" t="s">
        <v>35</v>
      </c>
      <c r="D360" s="46">
        <f>SUM(D361:D370)</f>
        <v>93371.916305975072</v>
      </c>
      <c r="E360" s="46">
        <f t="shared" ref="E360:I360" si="245">SUM(E361:E370)</f>
        <v>95347.344905896214</v>
      </c>
      <c r="F360" s="46">
        <f t="shared" si="245"/>
        <v>110152.01358430237</v>
      </c>
      <c r="G360" s="46">
        <f t="shared" si="245"/>
        <v>116326.94033055761</v>
      </c>
      <c r="H360" s="46">
        <f t="shared" si="245"/>
        <v>88111.566459036883</v>
      </c>
      <c r="I360" s="46">
        <f t="shared" si="245"/>
        <v>82703.234948971323</v>
      </c>
      <c r="J360" s="46">
        <f t="shared" ref="J360" si="246">SUM(J361:J370)</f>
        <v>93901.896997977936</v>
      </c>
      <c r="K360" s="46">
        <f t="shared" ref="K360" si="247">SUM(K361:K370)</f>
        <v>107092.71998920549</v>
      </c>
      <c r="L360" s="46">
        <f t="shared" ref="L360" si="248">SUM(L361:L370)</f>
        <v>102180.89006835649</v>
      </c>
      <c r="M360" s="46">
        <f t="shared" ref="M360" si="249">SUM(M361:M370)</f>
        <v>119562.95152313836</v>
      </c>
      <c r="N360" s="46">
        <f t="shared" ref="N360" si="250">SUM(N361:N370)</f>
        <v>103798.97207258719</v>
      </c>
      <c r="O360" s="46">
        <f t="shared" ref="O360" si="251">SUM(O361:O370)</f>
        <v>56123.417839797024</v>
      </c>
    </row>
    <row r="361" spans="1:15" x14ac:dyDescent="0.2">
      <c r="A361" s="38" t="s">
        <v>25</v>
      </c>
      <c r="D361" s="44">
        <f t="shared" si="181"/>
        <v>6177.6285175576559</v>
      </c>
      <c r="E361" s="44">
        <f t="shared" ref="E361:I366" si="252">E67*E165</f>
        <v>20794.434628594816</v>
      </c>
      <c r="F361" s="44">
        <f t="shared" si="252"/>
        <v>8507.2370331894945</v>
      </c>
      <c r="G361" s="44">
        <f t="shared" si="252"/>
        <v>9413.874818741273</v>
      </c>
      <c r="H361" s="44">
        <f t="shared" si="252"/>
        <v>1941.096562755873</v>
      </c>
      <c r="I361" s="44">
        <f t="shared" si="252"/>
        <v>3246.9081446930627</v>
      </c>
      <c r="J361" s="44">
        <f t="shared" ref="J361:O361" si="253">J67*J165</f>
        <v>4209.9610897822413</v>
      </c>
      <c r="K361" s="44">
        <f t="shared" si="253"/>
        <v>511.20102456332597</v>
      </c>
      <c r="L361" s="44">
        <f t="shared" si="253"/>
        <v>7210.6633795793541</v>
      </c>
      <c r="M361" s="44">
        <f t="shared" si="253"/>
        <v>10221.857231895319</v>
      </c>
      <c r="N361" s="44">
        <f t="shared" si="253"/>
        <v>8185.9454578665845</v>
      </c>
      <c r="O361" s="44">
        <f t="shared" si="253"/>
        <v>6470.7885519384254</v>
      </c>
    </row>
    <row r="362" spans="1:15" x14ac:dyDescent="0.2">
      <c r="A362" s="38" t="s">
        <v>26</v>
      </c>
      <c r="D362" s="44">
        <f t="shared" si="181"/>
        <v>19499.130276783861</v>
      </c>
      <c r="E362" s="44">
        <f t="shared" si="252"/>
        <v>10953.168466431749</v>
      </c>
      <c r="F362" s="44">
        <f t="shared" si="252"/>
        <v>12269.151271022463</v>
      </c>
      <c r="G362" s="44">
        <f t="shared" si="252"/>
        <v>15071.184784826833</v>
      </c>
      <c r="H362" s="44">
        <f t="shared" si="252"/>
        <v>2025.9201063296289</v>
      </c>
      <c r="I362" s="44">
        <f t="shared" si="252"/>
        <v>19035.42601959244</v>
      </c>
      <c r="J362" s="44">
        <f t="shared" ref="J362:O362" si="254">J68*J166</f>
        <v>961.82404190201657</v>
      </c>
      <c r="K362" s="44">
        <f t="shared" si="254"/>
        <v>12849.621435227211</v>
      </c>
      <c r="L362" s="44">
        <f t="shared" si="254"/>
        <v>13257.221114810485</v>
      </c>
      <c r="M362" s="44">
        <f t="shared" si="254"/>
        <v>12741.889533156063</v>
      </c>
      <c r="N362" s="44">
        <f t="shared" si="254"/>
        <v>6135.0733790341947</v>
      </c>
      <c r="O362" s="44">
        <f t="shared" si="254"/>
        <v>11154.527375467873</v>
      </c>
    </row>
    <row r="363" spans="1:15" x14ac:dyDescent="0.2">
      <c r="A363" s="38" t="s">
        <v>27</v>
      </c>
      <c r="D363" s="44">
        <f t="shared" si="181"/>
        <v>15819.747029162865</v>
      </c>
      <c r="E363" s="44">
        <f t="shared" si="252"/>
        <v>6398.7104264640484</v>
      </c>
      <c r="F363" s="44">
        <f t="shared" si="252"/>
        <v>871.72720132949553</v>
      </c>
      <c r="G363" s="44">
        <f t="shared" si="252"/>
        <v>5179.1783008694892</v>
      </c>
      <c r="H363" s="44">
        <f t="shared" si="252"/>
        <v>11969.591781978463</v>
      </c>
      <c r="I363" s="44">
        <f t="shared" si="252"/>
        <v>19287.096141478567</v>
      </c>
      <c r="J363" s="44">
        <f t="shared" ref="J363:O363" si="255">J69*J167</f>
        <v>2265.6611391561341</v>
      </c>
      <c r="K363" s="44">
        <f t="shared" si="255"/>
        <v>3998.276179890986</v>
      </c>
      <c r="L363" s="44">
        <f t="shared" si="255"/>
        <v>3499.5699903990685</v>
      </c>
      <c r="M363" s="44">
        <f t="shared" si="255"/>
        <v>15134.825640681809</v>
      </c>
      <c r="N363" s="44">
        <f t="shared" si="255"/>
        <v>8217.9697644394673</v>
      </c>
      <c r="O363" s="44">
        <f t="shared" si="255"/>
        <v>8873.1920869413952</v>
      </c>
    </row>
    <row r="364" spans="1:15" x14ac:dyDescent="0.2">
      <c r="A364" s="38" t="s">
        <v>28</v>
      </c>
      <c r="D364" s="44">
        <f t="shared" si="181"/>
        <v>12043.178478828777</v>
      </c>
      <c r="E364" s="44">
        <f t="shared" si="252"/>
        <v>9305.5247034338408</v>
      </c>
      <c r="F364" s="44">
        <f t="shared" si="252"/>
        <v>9832.380988196348</v>
      </c>
      <c r="G364" s="44">
        <f t="shared" si="252"/>
        <v>29708.658042849958</v>
      </c>
      <c r="H364" s="44">
        <f t="shared" si="252"/>
        <v>1700.9792214077831</v>
      </c>
      <c r="I364" s="44">
        <f t="shared" si="252"/>
        <v>5414.8538896556802</v>
      </c>
      <c r="J364" s="44">
        <f t="shared" ref="J364:O364" si="256">J70*J168</f>
        <v>20175.795162489816</v>
      </c>
      <c r="K364" s="44">
        <f t="shared" si="256"/>
        <v>18209.816777626369</v>
      </c>
      <c r="L364" s="44">
        <f t="shared" si="256"/>
        <v>7357.6843490559913</v>
      </c>
      <c r="M364" s="44">
        <f t="shared" si="256"/>
        <v>31746.204160616289</v>
      </c>
      <c r="N364" s="44">
        <f t="shared" si="256"/>
        <v>15247.128576301599</v>
      </c>
      <c r="O364" s="44">
        <f t="shared" si="256"/>
        <v>11277.045157674236</v>
      </c>
    </row>
    <row r="365" spans="1:15" x14ac:dyDescent="0.2">
      <c r="A365" s="38" t="s">
        <v>29</v>
      </c>
      <c r="D365" s="44">
        <f t="shared" si="181"/>
        <v>2964.938611917556</v>
      </c>
      <c r="E365" s="44">
        <f t="shared" si="252"/>
        <v>2512.221039401757</v>
      </c>
      <c r="F365" s="44">
        <f t="shared" si="252"/>
        <v>1449.4895517852349</v>
      </c>
      <c r="G365" s="44">
        <f t="shared" si="252"/>
        <v>13842.275416556819</v>
      </c>
      <c r="H365" s="44">
        <f t="shared" si="252"/>
        <v>14952.630114130661</v>
      </c>
      <c r="I365" s="44">
        <f t="shared" si="252"/>
        <v>10679.176332956531</v>
      </c>
      <c r="J365" s="44">
        <f t="shared" ref="J365:O365" si="257">J71*J169</f>
        <v>20671.588367141267</v>
      </c>
      <c r="K365" s="44">
        <f t="shared" si="257"/>
        <v>13594.648102648449</v>
      </c>
      <c r="L365" s="44">
        <f t="shared" si="257"/>
        <v>728.86899436495798</v>
      </c>
      <c r="M365" s="44">
        <f t="shared" si="257"/>
        <v>7035.7883423464427</v>
      </c>
      <c r="N365" s="44">
        <f t="shared" si="257"/>
        <v>26180.373316119374</v>
      </c>
      <c r="O365" s="44">
        <f t="shared" si="257"/>
        <v>2173.2295988536021</v>
      </c>
    </row>
    <row r="366" spans="1:15" x14ac:dyDescent="0.2">
      <c r="A366" s="38" t="s">
        <v>30</v>
      </c>
      <c r="D366" s="44">
        <f t="shared" si="181"/>
        <v>13601.255249853559</v>
      </c>
      <c r="E366" s="44">
        <f t="shared" si="252"/>
        <v>5433.1652629125838</v>
      </c>
      <c r="F366" s="44">
        <f t="shared" si="252"/>
        <v>8982.4925041351707</v>
      </c>
      <c r="G366" s="44">
        <f t="shared" si="252"/>
        <v>45.121187280431009</v>
      </c>
      <c r="H366" s="44">
        <f t="shared" si="252"/>
        <v>6485.269204711014</v>
      </c>
      <c r="I366" s="44">
        <f t="shared" si="252"/>
        <v>3030.477126828931</v>
      </c>
      <c r="J366" s="44">
        <f t="shared" ref="J366:O366" si="258">J72*J170</f>
        <v>2158.5423494990609</v>
      </c>
      <c r="K366" s="44">
        <f t="shared" si="258"/>
        <v>3399.1073367450504</v>
      </c>
      <c r="L366" s="44">
        <f t="shared" si="258"/>
        <v>1325.2139994909751</v>
      </c>
      <c r="M366" s="44">
        <f t="shared" si="258"/>
        <v>15220.698969283354</v>
      </c>
      <c r="N366" s="44">
        <f t="shared" si="258"/>
        <v>16689.198442516357</v>
      </c>
      <c r="O366" s="44">
        <f t="shared" si="258"/>
        <v>5360.9142583822222</v>
      </c>
    </row>
    <row r="367" spans="1:15" x14ac:dyDescent="0.2">
      <c r="A367" s="38" t="s">
        <v>31</v>
      </c>
      <c r="D367" s="44">
        <f t="shared" ref="D367:I393" si="259">D73*D171</f>
        <v>324.32258010067778</v>
      </c>
      <c r="E367" s="44">
        <f t="shared" si="259"/>
        <v>15353.431822059732</v>
      </c>
      <c r="F367" s="44">
        <f t="shared" si="259"/>
        <v>12575.330532076916</v>
      </c>
      <c r="G367" s="44">
        <f t="shared" si="259"/>
        <v>15398.09436546245</v>
      </c>
      <c r="H367" s="44">
        <f t="shared" si="259"/>
        <v>5585.389151632512</v>
      </c>
      <c r="I367" s="44">
        <f t="shared" si="259"/>
        <v>4923.5420270378427</v>
      </c>
      <c r="J367" s="44">
        <f t="shared" ref="J367:O367" si="260">J73*J171</f>
        <v>19659.181711322391</v>
      </c>
      <c r="K367" s="44">
        <f t="shared" si="260"/>
        <v>4917.2379843752633</v>
      </c>
      <c r="L367" s="44">
        <f t="shared" si="260"/>
        <v>313.57763436650248</v>
      </c>
      <c r="M367" s="44">
        <f t="shared" si="260"/>
        <v>6741.5206749162753</v>
      </c>
      <c r="N367" s="44">
        <f t="shared" si="260"/>
        <v>10463.365640451953</v>
      </c>
      <c r="O367" s="44">
        <f t="shared" si="260"/>
        <v>2614.0434009436003</v>
      </c>
    </row>
    <row r="368" spans="1:15" x14ac:dyDescent="0.2">
      <c r="A368" s="38" t="s">
        <v>32</v>
      </c>
      <c r="D368" s="44">
        <f t="shared" si="259"/>
        <v>1030.9860562118959</v>
      </c>
      <c r="E368" s="44">
        <f t="shared" si="259"/>
        <v>8428.0480196912613</v>
      </c>
      <c r="F368" s="44">
        <f t="shared" si="259"/>
        <v>27441.387117508799</v>
      </c>
      <c r="G368" s="44">
        <f t="shared" si="259"/>
        <v>1983.2909469056333</v>
      </c>
      <c r="H368" s="44">
        <f t="shared" si="259"/>
        <v>23875.77258335994</v>
      </c>
      <c r="I368" s="44">
        <f t="shared" si="259"/>
        <v>4215.3036025622905</v>
      </c>
      <c r="J368" s="44">
        <f t="shared" ref="J368:O368" si="261">J74*J172</f>
        <v>5840.7395378755964</v>
      </c>
      <c r="K368" s="44">
        <f t="shared" si="261"/>
        <v>28738.381653374418</v>
      </c>
      <c r="L368" s="44">
        <f t="shared" si="261"/>
        <v>5614.6654952396857</v>
      </c>
      <c r="M368" s="44">
        <f t="shared" si="261"/>
        <v>8375.3293116509249</v>
      </c>
      <c r="N368" s="44">
        <f t="shared" si="261"/>
        <v>3123.8863269500148</v>
      </c>
      <c r="O368" s="44">
        <f t="shared" si="261"/>
        <v>4598.0084980637303</v>
      </c>
    </row>
    <row r="369" spans="1:15" x14ac:dyDescent="0.2">
      <c r="A369" s="38" t="s">
        <v>33</v>
      </c>
      <c r="D369" s="44">
        <f t="shared" si="259"/>
        <v>16566.290858912049</v>
      </c>
      <c r="E369" s="44">
        <f t="shared" si="259"/>
        <v>1759.6827653422088</v>
      </c>
      <c r="F369" s="44">
        <f t="shared" si="259"/>
        <v>1829.0645369985116</v>
      </c>
      <c r="G369" s="44">
        <f t="shared" si="259"/>
        <v>21631.992864837077</v>
      </c>
      <c r="H369" s="44">
        <f t="shared" si="259"/>
        <v>5438.2602599854836</v>
      </c>
      <c r="I369" s="44">
        <f t="shared" si="259"/>
        <v>5689.1646216433464</v>
      </c>
      <c r="J369" s="44">
        <f t="shared" ref="J369:O369" si="262">J75*J173</f>
        <v>10617.332152844294</v>
      </c>
      <c r="K369" s="44">
        <f t="shared" si="262"/>
        <v>15240.81946670646</v>
      </c>
      <c r="L369" s="44">
        <f t="shared" si="262"/>
        <v>30571.5944871951</v>
      </c>
      <c r="M369" s="44">
        <f t="shared" si="262"/>
        <v>8768.7047901456972</v>
      </c>
      <c r="N369" s="44">
        <f t="shared" si="262"/>
        <v>8905.4922134313274</v>
      </c>
      <c r="O369" s="44">
        <f t="shared" si="262"/>
        <v>2446.4231250249104</v>
      </c>
    </row>
    <row r="370" spans="1:15" x14ac:dyDescent="0.2">
      <c r="A370" s="38" t="s">
        <v>34</v>
      </c>
      <c r="D370" s="44">
        <f t="shared" si="259"/>
        <v>5344.4386466461674</v>
      </c>
      <c r="E370" s="44">
        <f t="shared" si="259"/>
        <v>14408.95777156421</v>
      </c>
      <c r="F370" s="44">
        <f t="shared" si="259"/>
        <v>26393.752848059939</v>
      </c>
      <c r="G370" s="44">
        <f t="shared" si="259"/>
        <v>4053.2696022276709</v>
      </c>
      <c r="H370" s="44">
        <f t="shared" si="259"/>
        <v>14136.657472745528</v>
      </c>
      <c r="I370" s="44">
        <f t="shared" si="259"/>
        <v>7181.2870425226429</v>
      </c>
      <c r="J370" s="44">
        <f t="shared" ref="J370:O370" si="263">J76*J174</f>
        <v>7341.2714459651324</v>
      </c>
      <c r="K370" s="44">
        <f t="shared" si="263"/>
        <v>5633.6100280479741</v>
      </c>
      <c r="L370" s="44">
        <f t="shared" si="263"/>
        <v>32301.830623854363</v>
      </c>
      <c r="M370" s="44">
        <f t="shared" si="263"/>
        <v>3576.1328684461723</v>
      </c>
      <c r="N370" s="44">
        <f t="shared" si="263"/>
        <v>650.53895547630373</v>
      </c>
      <c r="O370" s="44">
        <f t="shared" si="263"/>
        <v>1155.2457865070321</v>
      </c>
    </row>
    <row r="371" spans="1:15" x14ac:dyDescent="0.2">
      <c r="A371" s="4" t="s">
        <v>36</v>
      </c>
      <c r="B371" s="4"/>
      <c r="C371" s="4"/>
      <c r="D371" s="45">
        <f>D372+D383</f>
        <v>164570.59579052837</v>
      </c>
      <c r="E371" s="45">
        <f t="shared" ref="E371:I371" si="264">E372+E383</f>
        <v>162366.57300859291</v>
      </c>
      <c r="F371" s="45">
        <f t="shared" si="264"/>
        <v>296657.40609676344</v>
      </c>
      <c r="G371" s="45">
        <f t="shared" si="264"/>
        <v>288136.90772254829</v>
      </c>
      <c r="H371" s="45">
        <f t="shared" si="264"/>
        <v>228344.86239214989</v>
      </c>
      <c r="I371" s="45">
        <f t="shared" si="264"/>
        <v>180785.60804135856</v>
      </c>
      <c r="J371" s="45">
        <f t="shared" ref="J371" si="265">J372+J383</f>
        <v>183816.77042106917</v>
      </c>
      <c r="K371" s="45">
        <f t="shared" ref="K371" si="266">K372+K383</f>
        <v>247759.73905453039</v>
      </c>
      <c r="L371" s="45">
        <f t="shared" ref="L371" si="267">L372+L383</f>
        <v>218678.9560958443</v>
      </c>
      <c r="M371" s="45">
        <f t="shared" ref="M371" si="268">M372+M383</f>
        <v>258497.49826919116</v>
      </c>
      <c r="N371" s="45">
        <f t="shared" ref="N371" si="269">N372+N383</f>
        <v>232309.49470643944</v>
      </c>
      <c r="O371" s="45">
        <f t="shared" ref="O371" si="270">O372+O383</f>
        <v>152158.87388582324</v>
      </c>
    </row>
    <row r="372" spans="1:15" x14ac:dyDescent="0.2">
      <c r="A372" s="37" t="s">
        <v>24</v>
      </c>
      <c r="D372" s="46">
        <f>SUM(D373:D382)</f>
        <v>38126.506173861861</v>
      </c>
      <c r="E372" s="46">
        <f t="shared" ref="E372:I372" si="271">SUM(E373:E382)</f>
        <v>40396.952646907419</v>
      </c>
      <c r="F372" s="46">
        <f t="shared" si="271"/>
        <v>85373.780863524327</v>
      </c>
      <c r="G372" s="46">
        <f t="shared" si="271"/>
        <v>58265.673406297115</v>
      </c>
      <c r="H372" s="46">
        <f t="shared" si="271"/>
        <v>72891.196647785109</v>
      </c>
      <c r="I372" s="46">
        <f t="shared" si="271"/>
        <v>49764.140042080369</v>
      </c>
      <c r="J372" s="46">
        <f t="shared" ref="J372" si="272">SUM(J373:J382)</f>
        <v>67667.093866604249</v>
      </c>
      <c r="K372" s="46">
        <f t="shared" ref="K372" si="273">SUM(K373:K382)</f>
        <v>71395.914922634212</v>
      </c>
      <c r="L372" s="46">
        <f t="shared" ref="L372" si="274">SUM(L373:L382)</f>
        <v>48202.661723874051</v>
      </c>
      <c r="M372" s="46">
        <f t="shared" ref="M372" si="275">SUM(M373:M382)</f>
        <v>88454.180173803703</v>
      </c>
      <c r="N372" s="46">
        <f t="shared" ref="N372" si="276">SUM(N373:N382)</f>
        <v>72284.716188437073</v>
      </c>
      <c r="O372" s="46">
        <f t="shared" ref="O372" si="277">SUM(O373:O382)</f>
        <v>63894.894240346941</v>
      </c>
    </row>
    <row r="373" spans="1:15" x14ac:dyDescent="0.2">
      <c r="A373" s="38" t="s">
        <v>25</v>
      </c>
      <c r="D373" s="44">
        <f t="shared" si="259"/>
        <v>2388.1369475008414</v>
      </c>
      <c r="E373" s="44">
        <f t="shared" si="259"/>
        <v>22.252912118804481</v>
      </c>
      <c r="F373" s="44">
        <f t="shared" si="259"/>
        <v>8717.4268999323176</v>
      </c>
      <c r="G373" s="44">
        <f t="shared" si="259"/>
        <v>1884.4383239823032</v>
      </c>
      <c r="H373" s="44">
        <f t="shared" si="259"/>
        <v>4883.712435162608</v>
      </c>
      <c r="I373" s="44">
        <f t="shared" si="259"/>
        <v>715.8996795214756</v>
      </c>
      <c r="J373" s="44">
        <f t="shared" ref="J373:O373" si="278">J79*J177</f>
        <v>1714.753550603933</v>
      </c>
      <c r="K373" s="44">
        <f t="shared" si="278"/>
        <v>5747.5839080079259</v>
      </c>
      <c r="L373" s="44">
        <f t="shared" si="278"/>
        <v>4158.2737499877003</v>
      </c>
      <c r="M373" s="44">
        <f t="shared" si="278"/>
        <v>956.47874390978063</v>
      </c>
      <c r="N373" s="44">
        <f t="shared" si="278"/>
        <v>2628.0198698227682</v>
      </c>
      <c r="O373" s="44">
        <f t="shared" si="278"/>
        <v>4382.0414021585993</v>
      </c>
    </row>
    <row r="374" spans="1:15" x14ac:dyDescent="0.2">
      <c r="A374" s="38" t="s">
        <v>26</v>
      </c>
      <c r="D374" s="44">
        <f t="shared" si="259"/>
        <v>10256.374738609164</v>
      </c>
      <c r="E374" s="44">
        <f t="shared" si="259"/>
        <v>3522.7438781291507</v>
      </c>
      <c r="F374" s="44">
        <f t="shared" si="259"/>
        <v>10434.181668633093</v>
      </c>
      <c r="G374" s="44">
        <f t="shared" si="259"/>
        <v>1878.3429998634897</v>
      </c>
      <c r="H374" s="44">
        <f t="shared" si="259"/>
        <v>5069.5734367299137</v>
      </c>
      <c r="I374" s="44">
        <f t="shared" si="259"/>
        <v>706.73210719974566</v>
      </c>
      <c r="J374" s="44">
        <f t="shared" ref="J374:O374" si="279">J80*J178</f>
        <v>5564.8021707117496</v>
      </c>
      <c r="K374" s="44">
        <f t="shared" si="279"/>
        <v>2192.1631974098682</v>
      </c>
      <c r="L374" s="44">
        <f t="shared" si="279"/>
        <v>3640.2765372512731</v>
      </c>
      <c r="M374" s="44">
        <f t="shared" si="279"/>
        <v>2216.9044817148556</v>
      </c>
      <c r="N374" s="44">
        <f t="shared" si="279"/>
        <v>12195.336542874224</v>
      </c>
      <c r="O374" s="44">
        <f t="shared" si="279"/>
        <v>2455.4636341701957</v>
      </c>
    </row>
    <row r="375" spans="1:15" x14ac:dyDescent="0.2">
      <c r="A375" s="38" t="s">
        <v>27</v>
      </c>
      <c r="D375" s="44">
        <f t="shared" si="259"/>
        <v>1120.919779792662</v>
      </c>
      <c r="E375" s="44">
        <f t="shared" si="259"/>
        <v>16060.791506024125</v>
      </c>
      <c r="F375" s="44">
        <f t="shared" si="259"/>
        <v>6000.9667674089442</v>
      </c>
      <c r="G375" s="44">
        <f t="shared" si="259"/>
        <v>11274.368318421346</v>
      </c>
      <c r="H375" s="44">
        <f t="shared" si="259"/>
        <v>3133.2108560146103</v>
      </c>
      <c r="I375" s="44">
        <f t="shared" si="259"/>
        <v>6988.4646260913851</v>
      </c>
      <c r="J375" s="44">
        <f t="shared" ref="J375:O375" si="280">J81*J179</f>
        <v>347.700743296925</v>
      </c>
      <c r="K375" s="44">
        <f t="shared" si="280"/>
        <v>3310.8421598760806</v>
      </c>
      <c r="L375" s="44">
        <f t="shared" si="280"/>
        <v>167.8552560285203</v>
      </c>
      <c r="M375" s="44">
        <f t="shared" si="280"/>
        <v>6795.0260242875838</v>
      </c>
      <c r="N375" s="44">
        <f t="shared" si="280"/>
        <v>13772.970134257101</v>
      </c>
      <c r="O375" s="44">
        <f t="shared" si="280"/>
        <v>1120.1400513453407</v>
      </c>
    </row>
    <row r="376" spans="1:15" x14ac:dyDescent="0.2">
      <c r="A376" s="38" t="s">
        <v>28</v>
      </c>
      <c r="D376" s="44">
        <f t="shared" si="259"/>
        <v>2067.9276981680168</v>
      </c>
      <c r="E376" s="44">
        <f t="shared" si="259"/>
        <v>1019.939915866769</v>
      </c>
      <c r="F376" s="44">
        <f t="shared" si="259"/>
        <v>12435.548049744597</v>
      </c>
      <c r="G376" s="44">
        <f t="shared" si="259"/>
        <v>8824.2615704107466</v>
      </c>
      <c r="H376" s="44">
        <f t="shared" si="259"/>
        <v>10465.003430177374</v>
      </c>
      <c r="I376" s="44">
        <f t="shared" si="259"/>
        <v>3798.8097968061238</v>
      </c>
      <c r="J376" s="44">
        <f t="shared" ref="J376:O376" si="281">J82*J180</f>
        <v>12667.832173354596</v>
      </c>
      <c r="K376" s="44">
        <f t="shared" si="281"/>
        <v>13713.851152010449</v>
      </c>
      <c r="L376" s="44">
        <f t="shared" si="281"/>
        <v>1719.8083490876174</v>
      </c>
      <c r="M376" s="44">
        <f t="shared" si="281"/>
        <v>20536.019252539343</v>
      </c>
      <c r="N376" s="44">
        <f t="shared" si="281"/>
        <v>1741.7539104480986</v>
      </c>
      <c r="O376" s="44">
        <f t="shared" si="281"/>
        <v>1140.3757959955412</v>
      </c>
    </row>
    <row r="377" spans="1:15" x14ac:dyDescent="0.2">
      <c r="A377" s="38" t="s">
        <v>29</v>
      </c>
      <c r="D377" s="44">
        <f t="shared" si="259"/>
        <v>3336.6243679723675</v>
      </c>
      <c r="E377" s="44">
        <f t="shared" si="259"/>
        <v>8683.6035760832947</v>
      </c>
      <c r="F377" s="44">
        <f t="shared" si="259"/>
        <v>6001.7015317846071</v>
      </c>
      <c r="G377" s="44">
        <f t="shared" si="259"/>
        <v>4688.6488610308643</v>
      </c>
      <c r="H377" s="44">
        <f t="shared" si="259"/>
        <v>2920.5351256978265</v>
      </c>
      <c r="I377" s="44">
        <f t="shared" si="259"/>
        <v>270.80316054655316</v>
      </c>
      <c r="J377" s="44">
        <f t="shared" ref="J377:O377" si="282">J83*J181</f>
        <v>4545.741804642842</v>
      </c>
      <c r="K377" s="44">
        <f t="shared" si="282"/>
        <v>3045.1792265402269</v>
      </c>
      <c r="L377" s="44">
        <f t="shared" si="282"/>
        <v>229.11388616987722</v>
      </c>
      <c r="M377" s="44">
        <f t="shared" si="282"/>
        <v>10242.971847794339</v>
      </c>
      <c r="N377" s="44">
        <f t="shared" si="282"/>
        <v>12694.381330380937</v>
      </c>
      <c r="O377" s="44">
        <f t="shared" si="282"/>
        <v>7483.7572929347862</v>
      </c>
    </row>
    <row r="378" spans="1:15" x14ac:dyDescent="0.2">
      <c r="A378" s="38" t="s">
        <v>30</v>
      </c>
      <c r="D378" s="44">
        <f t="shared" si="259"/>
        <v>346.08707901390272</v>
      </c>
      <c r="E378" s="44">
        <f t="shared" si="259"/>
        <v>434.0231860665466</v>
      </c>
      <c r="F378" s="44">
        <f t="shared" si="259"/>
        <v>511.47526051756944</v>
      </c>
      <c r="G378" s="44">
        <f t="shared" si="259"/>
        <v>12076.796167112894</v>
      </c>
      <c r="H378" s="44">
        <f t="shared" si="259"/>
        <v>10503.935376861909</v>
      </c>
      <c r="I378" s="44">
        <f t="shared" si="259"/>
        <v>971.52330339337004</v>
      </c>
      <c r="J378" s="44">
        <f t="shared" ref="J378:O378" si="283">J84*J182</f>
        <v>8740.3085109030017</v>
      </c>
      <c r="K378" s="44">
        <f t="shared" si="283"/>
        <v>16348.001694463459</v>
      </c>
      <c r="L378" s="44">
        <f t="shared" si="283"/>
        <v>11994.629888866662</v>
      </c>
      <c r="M378" s="44">
        <f t="shared" si="283"/>
        <v>25598.742500285491</v>
      </c>
      <c r="N378" s="44">
        <f t="shared" si="283"/>
        <v>342.35708381948189</v>
      </c>
      <c r="O378" s="44">
        <f t="shared" si="283"/>
        <v>32608.905008514477</v>
      </c>
    </row>
    <row r="379" spans="1:15" x14ac:dyDescent="0.2">
      <c r="A379" s="38" t="s">
        <v>31</v>
      </c>
      <c r="D379" s="44">
        <f t="shared" si="259"/>
        <v>1777.9774547780903</v>
      </c>
      <c r="E379" s="44">
        <f t="shared" si="259"/>
        <v>1154.3679161814623</v>
      </c>
      <c r="F379" s="44">
        <f t="shared" si="259"/>
        <v>25756.440203359467</v>
      </c>
      <c r="G379" s="44">
        <f t="shared" si="259"/>
        <v>9026.8486417096155</v>
      </c>
      <c r="H379" s="44">
        <f t="shared" si="259"/>
        <v>12377.162259805917</v>
      </c>
      <c r="I379" s="44">
        <f t="shared" si="259"/>
        <v>9559.7640851338692</v>
      </c>
      <c r="J379" s="44">
        <f t="shared" ref="J379:O379" si="284">J85*J183</f>
        <v>5000.4299598060943</v>
      </c>
      <c r="K379" s="44">
        <f t="shared" si="284"/>
        <v>1613.879076002735</v>
      </c>
      <c r="L379" s="44">
        <f t="shared" si="284"/>
        <v>7531.9559846563188</v>
      </c>
      <c r="M379" s="44">
        <f t="shared" si="284"/>
        <v>8846.0796219033491</v>
      </c>
      <c r="N379" s="44">
        <f t="shared" si="284"/>
        <v>6642.3553118145692</v>
      </c>
      <c r="O379" s="44">
        <f t="shared" si="284"/>
        <v>4434.3695561869999</v>
      </c>
    </row>
    <row r="380" spans="1:15" x14ac:dyDescent="0.2">
      <c r="A380" s="38" t="s">
        <v>32</v>
      </c>
      <c r="D380" s="44">
        <f t="shared" si="259"/>
        <v>4605.3281109625632</v>
      </c>
      <c r="E380" s="44">
        <f t="shared" si="259"/>
        <v>1586.3995010948013</v>
      </c>
      <c r="F380" s="44">
        <f t="shared" si="259"/>
        <v>2630.9292612033523</v>
      </c>
      <c r="G380" s="44">
        <f t="shared" si="259"/>
        <v>3858.0028775240685</v>
      </c>
      <c r="H380" s="44">
        <f t="shared" si="259"/>
        <v>2274.4687419522443</v>
      </c>
      <c r="I380" s="44">
        <f t="shared" si="259"/>
        <v>17844.534072788181</v>
      </c>
      <c r="J380" s="44">
        <f t="shared" ref="J380:O380" si="285">J86*J184</f>
        <v>12762.283590538382</v>
      </c>
      <c r="K380" s="44">
        <f t="shared" si="285"/>
        <v>4393.6346003619483</v>
      </c>
      <c r="L380" s="44">
        <f t="shared" si="285"/>
        <v>7642.8047812336727</v>
      </c>
      <c r="M380" s="44">
        <f t="shared" si="285"/>
        <v>7929.2470951686737</v>
      </c>
      <c r="N380" s="44">
        <f t="shared" si="285"/>
        <v>12940.467969853027</v>
      </c>
      <c r="O380" s="44">
        <f t="shared" si="285"/>
        <v>1095.8524731881666</v>
      </c>
    </row>
    <row r="381" spans="1:15" x14ac:dyDescent="0.2">
      <c r="A381" s="38" t="s">
        <v>33</v>
      </c>
      <c r="D381" s="44">
        <f t="shared" si="259"/>
        <v>11929.958313205483</v>
      </c>
      <c r="E381" s="44">
        <f t="shared" si="259"/>
        <v>6920.1096693400295</v>
      </c>
      <c r="F381" s="44">
        <f t="shared" si="259"/>
        <v>9622.8418422823379</v>
      </c>
      <c r="G381" s="44">
        <f t="shared" si="259"/>
        <v>3491.8426730902361</v>
      </c>
      <c r="H381" s="44">
        <f t="shared" si="259"/>
        <v>7355.0065479718915</v>
      </c>
      <c r="I381" s="44">
        <f t="shared" si="259"/>
        <v>2926.2387263828332</v>
      </c>
      <c r="J381" s="44">
        <f t="shared" ref="J381:O381" si="286">J87*J185</f>
        <v>13440.602524040283</v>
      </c>
      <c r="K381" s="44">
        <f t="shared" si="286"/>
        <v>3650.3710919696723</v>
      </c>
      <c r="L381" s="44">
        <f t="shared" si="286"/>
        <v>4994.2047997168993</v>
      </c>
      <c r="M381" s="44">
        <f t="shared" si="286"/>
        <v>4660.0188325271929</v>
      </c>
      <c r="N381" s="44">
        <f t="shared" si="286"/>
        <v>2049.4038217666398</v>
      </c>
      <c r="O381" s="44">
        <f t="shared" si="286"/>
        <v>6801.5166590814952</v>
      </c>
    </row>
    <row r="382" spans="1:15" x14ac:dyDescent="0.2">
      <c r="A382" s="38" t="s">
        <v>34</v>
      </c>
      <c r="D382" s="44">
        <f t="shared" si="259"/>
        <v>297.1716838587692</v>
      </c>
      <c r="E382" s="44">
        <f t="shared" si="259"/>
        <v>992.72058600243281</v>
      </c>
      <c r="F382" s="44">
        <f t="shared" si="259"/>
        <v>3262.269378658028</v>
      </c>
      <c r="G382" s="44">
        <f t="shared" si="259"/>
        <v>1262.1229731515512</v>
      </c>
      <c r="H382" s="44">
        <f t="shared" si="259"/>
        <v>13908.588437410817</v>
      </c>
      <c r="I382" s="44">
        <f t="shared" si="259"/>
        <v>5981.3704842168327</v>
      </c>
      <c r="J382" s="44">
        <f t="shared" ref="J382:O382" si="287">J88*J186</f>
        <v>2882.6388387064417</v>
      </c>
      <c r="K382" s="44">
        <f t="shared" si="287"/>
        <v>17380.408815991857</v>
      </c>
      <c r="L382" s="44">
        <f t="shared" si="287"/>
        <v>6123.7384908755021</v>
      </c>
      <c r="M382" s="44">
        <f t="shared" si="287"/>
        <v>672.69177367309737</v>
      </c>
      <c r="N382" s="44">
        <f t="shared" si="287"/>
        <v>7277.6702134002298</v>
      </c>
      <c r="O382" s="44">
        <f t="shared" si="287"/>
        <v>2372.4723667713374</v>
      </c>
    </row>
    <row r="383" spans="1:15" x14ac:dyDescent="0.2">
      <c r="A383" s="37" t="s">
        <v>35</v>
      </c>
      <c r="D383" s="46">
        <f>SUM(D384:D393)</f>
        <v>126444.08961666652</v>
      </c>
      <c r="E383" s="46">
        <f t="shared" ref="E383:I383" si="288">SUM(E384:E393)</f>
        <v>121969.62036168549</v>
      </c>
      <c r="F383" s="46">
        <f t="shared" si="288"/>
        <v>211283.62523323912</v>
      </c>
      <c r="G383" s="46">
        <f t="shared" si="288"/>
        <v>229871.23431625115</v>
      </c>
      <c r="H383" s="46">
        <f t="shared" si="288"/>
        <v>155453.66574436479</v>
      </c>
      <c r="I383" s="46">
        <f t="shared" si="288"/>
        <v>131021.46799927819</v>
      </c>
      <c r="J383" s="46">
        <f t="shared" ref="J383" si="289">SUM(J384:J393)</f>
        <v>116149.67655446492</v>
      </c>
      <c r="K383" s="46">
        <f t="shared" ref="K383" si="290">SUM(K384:K393)</f>
        <v>176363.82413189617</v>
      </c>
      <c r="L383" s="46">
        <f t="shared" ref="L383" si="291">SUM(L384:L393)</f>
        <v>170476.29437197026</v>
      </c>
      <c r="M383" s="46">
        <f t="shared" ref="M383" si="292">SUM(M384:M393)</f>
        <v>170043.31809538745</v>
      </c>
      <c r="N383" s="46">
        <f t="shared" ref="N383" si="293">SUM(N384:N393)</f>
        <v>160024.77851800236</v>
      </c>
      <c r="O383" s="46">
        <f t="shared" ref="O383" si="294">SUM(O384:O393)</f>
        <v>88263.979645476284</v>
      </c>
    </row>
    <row r="384" spans="1:15" x14ac:dyDescent="0.2">
      <c r="A384" s="38" t="s">
        <v>25</v>
      </c>
      <c r="D384" s="44">
        <f t="shared" si="259"/>
        <v>11680.106377458736</v>
      </c>
      <c r="E384" s="44">
        <f t="shared" si="259"/>
        <v>25927.238112868217</v>
      </c>
      <c r="F384" s="44">
        <f t="shared" si="259"/>
        <v>18893.684634904428</v>
      </c>
      <c r="G384" s="44">
        <f t="shared" si="259"/>
        <v>8505.2970882461377</v>
      </c>
      <c r="H384" s="44">
        <f t="shared" si="259"/>
        <v>3892.1220081856891</v>
      </c>
      <c r="I384" s="44">
        <f t="shared" si="259"/>
        <v>7107.2386750284631</v>
      </c>
      <c r="J384" s="44">
        <f t="shared" ref="J384:O384" si="295">J90*J188</f>
        <v>10087.76618957406</v>
      </c>
      <c r="K384" s="44">
        <f t="shared" si="295"/>
        <v>494.99580476448858</v>
      </c>
      <c r="L384" s="44">
        <f t="shared" si="295"/>
        <v>5909.7705018201923</v>
      </c>
      <c r="M384" s="44">
        <f t="shared" si="295"/>
        <v>12077.517467839392</v>
      </c>
      <c r="N384" s="44">
        <f t="shared" si="295"/>
        <v>8616.784692491141</v>
      </c>
      <c r="O384" s="44">
        <f t="shared" si="295"/>
        <v>6488.18314481998</v>
      </c>
    </row>
    <row r="385" spans="1:15" x14ac:dyDescent="0.2">
      <c r="A385" s="38" t="s">
        <v>26</v>
      </c>
      <c r="D385" s="44">
        <f t="shared" si="259"/>
        <v>19562.030697031551</v>
      </c>
      <c r="E385" s="44">
        <f t="shared" si="259"/>
        <v>22042.825013442089</v>
      </c>
      <c r="F385" s="44">
        <f t="shared" si="259"/>
        <v>31202.058823430929</v>
      </c>
      <c r="G385" s="44">
        <f t="shared" si="259"/>
        <v>34972.304159449806</v>
      </c>
      <c r="H385" s="44">
        <f t="shared" si="259"/>
        <v>2161.3919675431603</v>
      </c>
      <c r="I385" s="44">
        <f t="shared" si="259"/>
        <v>38754.759560846884</v>
      </c>
      <c r="J385" s="44">
        <f t="shared" ref="J385:O385" si="296">J91*J189</f>
        <v>1150.9827701427464</v>
      </c>
      <c r="K385" s="44">
        <f t="shared" si="296"/>
        <v>14430.489687510684</v>
      </c>
      <c r="L385" s="44">
        <f t="shared" si="296"/>
        <v>13429.953637479026</v>
      </c>
      <c r="M385" s="44">
        <f t="shared" si="296"/>
        <v>26238.233051827945</v>
      </c>
      <c r="N385" s="44">
        <f t="shared" si="296"/>
        <v>5971.7134369889054</v>
      </c>
      <c r="O385" s="44">
        <f t="shared" si="296"/>
        <v>22827.869977701695</v>
      </c>
    </row>
    <row r="386" spans="1:15" x14ac:dyDescent="0.2">
      <c r="A386" s="38" t="s">
        <v>27</v>
      </c>
      <c r="D386" s="44">
        <f t="shared" si="259"/>
        <v>29697.427926868397</v>
      </c>
      <c r="E386" s="44">
        <f t="shared" si="259"/>
        <v>9844.1698868677668</v>
      </c>
      <c r="F386" s="44">
        <f t="shared" si="259"/>
        <v>972.10790936137676</v>
      </c>
      <c r="G386" s="44">
        <f t="shared" si="259"/>
        <v>5103.0139140919973</v>
      </c>
      <c r="H386" s="44">
        <f t="shared" si="259"/>
        <v>12717.691268352117</v>
      </c>
      <c r="I386" s="44">
        <f t="shared" si="259"/>
        <v>16104.725278134605</v>
      </c>
      <c r="J386" s="44">
        <f t="shared" ref="J386:O386" si="297">J92*J190</f>
        <v>5022.6704771654058</v>
      </c>
      <c r="K386" s="44">
        <f t="shared" si="297"/>
        <v>4390.5121342473803</v>
      </c>
      <c r="L386" s="44">
        <f t="shared" si="297"/>
        <v>6710.0899520926096</v>
      </c>
      <c r="M386" s="44">
        <f t="shared" si="297"/>
        <v>18719.38960821171</v>
      </c>
      <c r="N386" s="44">
        <f t="shared" si="297"/>
        <v>9459.9137481328926</v>
      </c>
      <c r="O386" s="44">
        <f t="shared" si="297"/>
        <v>17422.037726840546</v>
      </c>
    </row>
    <row r="387" spans="1:15" x14ac:dyDescent="0.2">
      <c r="A387" s="38" t="s">
        <v>28</v>
      </c>
      <c r="D387" s="44">
        <f t="shared" si="259"/>
        <v>10446.676432643982</v>
      </c>
      <c r="E387" s="44">
        <f t="shared" si="259"/>
        <v>8824.2044601527796</v>
      </c>
      <c r="F387" s="44">
        <f t="shared" si="259"/>
        <v>24659.990902871872</v>
      </c>
      <c r="G387" s="44">
        <f t="shared" si="259"/>
        <v>69320.202099983231</v>
      </c>
      <c r="H387" s="44">
        <f t="shared" si="259"/>
        <v>1488.9090847127868</v>
      </c>
      <c r="I387" s="44">
        <f t="shared" si="259"/>
        <v>5572.2624329596238</v>
      </c>
      <c r="J387" s="44">
        <f t="shared" ref="J387:O387" si="298">J93*J191</f>
        <v>19771.267941186765</v>
      </c>
      <c r="K387" s="44">
        <f t="shared" si="298"/>
        <v>17494.627599048898</v>
      </c>
      <c r="L387" s="44">
        <f t="shared" si="298"/>
        <v>16061.569620021281</v>
      </c>
      <c r="M387" s="44">
        <f t="shared" si="298"/>
        <v>27777.928640539256</v>
      </c>
      <c r="N387" s="44">
        <f t="shared" si="298"/>
        <v>19625.016979398097</v>
      </c>
      <c r="O387" s="44">
        <f t="shared" si="298"/>
        <v>11592.928775536258</v>
      </c>
    </row>
    <row r="388" spans="1:15" x14ac:dyDescent="0.2">
      <c r="A388" s="38" t="s">
        <v>29</v>
      </c>
      <c r="D388" s="44">
        <f t="shared" si="259"/>
        <v>2824.104027851472</v>
      </c>
      <c r="E388" s="44">
        <f t="shared" si="259"/>
        <v>2504.0644775855176</v>
      </c>
      <c r="F388" s="44">
        <f t="shared" si="259"/>
        <v>2999.8131593468338</v>
      </c>
      <c r="G388" s="44">
        <f t="shared" si="259"/>
        <v>29696.509469241082</v>
      </c>
      <c r="H388" s="44">
        <f t="shared" si="259"/>
        <v>12619.866848243269</v>
      </c>
      <c r="I388" s="44">
        <f t="shared" si="259"/>
        <v>24961.755723045633</v>
      </c>
      <c r="J388" s="44">
        <f t="shared" ref="J388:O388" si="299">J94*J192</f>
        <v>21705.167785498328</v>
      </c>
      <c r="K388" s="44">
        <f t="shared" si="299"/>
        <v>28497.871958493004</v>
      </c>
      <c r="L388" s="44">
        <f t="shared" si="299"/>
        <v>717.62101605685677</v>
      </c>
      <c r="M388" s="44">
        <f t="shared" si="299"/>
        <v>12382.987482529739</v>
      </c>
      <c r="N388" s="44">
        <f t="shared" si="299"/>
        <v>48376.776779785796</v>
      </c>
      <c r="O388" s="44">
        <f t="shared" si="299"/>
        <v>5494.0391839005251</v>
      </c>
    </row>
    <row r="389" spans="1:15" x14ac:dyDescent="0.2">
      <c r="A389" s="38" t="s">
        <v>30</v>
      </c>
      <c r="D389" s="44">
        <f t="shared" si="259"/>
        <v>13024.23229985977</v>
      </c>
      <c r="E389" s="44">
        <f t="shared" si="259"/>
        <v>8845.9575134858151</v>
      </c>
      <c r="F389" s="44">
        <f t="shared" si="259"/>
        <v>18308.264976581238</v>
      </c>
      <c r="G389" s="44">
        <f t="shared" si="259"/>
        <v>87.848677622908113</v>
      </c>
      <c r="H389" s="44">
        <f t="shared" si="259"/>
        <v>13681.252842815016</v>
      </c>
      <c r="I389" s="44">
        <f t="shared" si="259"/>
        <v>6131.4304659096979</v>
      </c>
      <c r="J389" s="44">
        <f t="shared" ref="J389:O389" si="300">J95*J193</f>
        <v>5183.251374274816</v>
      </c>
      <c r="K389" s="44">
        <f t="shared" si="300"/>
        <v>3801.6332055701218</v>
      </c>
      <c r="L389" s="44">
        <f t="shared" si="300"/>
        <v>1589.4560658547346</v>
      </c>
      <c r="M389" s="44">
        <f t="shared" si="300"/>
        <v>36864.812182484449</v>
      </c>
      <c r="N389" s="44">
        <f t="shared" si="300"/>
        <v>16205.453560124581</v>
      </c>
      <c r="O389" s="44">
        <f t="shared" si="300"/>
        <v>12079.021999899183</v>
      </c>
    </row>
    <row r="390" spans="1:15" x14ac:dyDescent="0.2">
      <c r="A390" s="38" t="s">
        <v>31</v>
      </c>
      <c r="D390" s="44">
        <f t="shared" si="259"/>
        <v>300.23004557891318</v>
      </c>
      <c r="E390" s="44">
        <f t="shared" si="259"/>
        <v>16379.969414813728</v>
      </c>
      <c r="F390" s="44">
        <f t="shared" si="259"/>
        <v>11256.949105326918</v>
      </c>
      <c r="G390" s="44">
        <f t="shared" si="259"/>
        <v>25514.520478919309</v>
      </c>
      <c r="H390" s="44">
        <f t="shared" si="259"/>
        <v>6105.3503038865892</v>
      </c>
      <c r="I390" s="44">
        <f t="shared" si="259"/>
        <v>9747.6185585799722</v>
      </c>
      <c r="J390" s="44">
        <f t="shared" ref="J390:O390" si="301">J96*J194</f>
        <v>15358.735711970618</v>
      </c>
      <c r="K390" s="44">
        <f t="shared" si="301"/>
        <v>10976.723885800871</v>
      </c>
      <c r="L390" s="44">
        <f t="shared" si="301"/>
        <v>696.63055299384678</v>
      </c>
      <c r="M390" s="44">
        <f t="shared" si="301"/>
        <v>12298.978228459153</v>
      </c>
      <c r="N390" s="44">
        <f t="shared" si="301"/>
        <v>26829.142667825523</v>
      </c>
      <c r="O390" s="44">
        <f t="shared" si="301"/>
        <v>2457.2007968869843</v>
      </c>
    </row>
    <row r="391" spans="1:15" x14ac:dyDescent="0.2">
      <c r="A391" s="38" t="s">
        <v>32</v>
      </c>
      <c r="D391" s="44">
        <f t="shared" si="259"/>
        <v>1312.7668111251151</v>
      </c>
      <c r="E391" s="44">
        <f t="shared" si="259"/>
        <v>10699.242778244427</v>
      </c>
      <c r="F391" s="44">
        <f t="shared" si="259"/>
        <v>55636.658496487617</v>
      </c>
      <c r="G391" s="44">
        <f t="shared" si="259"/>
        <v>3498.6143670133083</v>
      </c>
      <c r="H391" s="44">
        <f t="shared" si="259"/>
        <v>61281.149630623848</v>
      </c>
      <c r="I391" s="44">
        <f t="shared" si="259"/>
        <v>4474.7069011815083</v>
      </c>
      <c r="J391" s="44">
        <f t="shared" ref="J391:O391" si="302">J97*J195</f>
        <v>5027.6820453872315</v>
      </c>
      <c r="K391" s="44">
        <f t="shared" si="302"/>
        <v>59330.852445676217</v>
      </c>
      <c r="L391" s="44">
        <f t="shared" si="302"/>
        <v>12805.377445283493</v>
      </c>
      <c r="M391" s="44">
        <f t="shared" si="302"/>
        <v>9771.2175302594114</v>
      </c>
      <c r="N391" s="44">
        <f t="shared" si="302"/>
        <v>5995.3373951565936</v>
      </c>
      <c r="O391" s="44">
        <f t="shared" si="302"/>
        <v>4850.157351183354</v>
      </c>
    </row>
    <row r="392" spans="1:15" x14ac:dyDescent="0.2">
      <c r="A392" s="38" t="s">
        <v>33</v>
      </c>
      <c r="D392" s="44">
        <f t="shared" si="259"/>
        <v>32195.670666677404</v>
      </c>
      <c r="E392" s="44">
        <f t="shared" si="259"/>
        <v>4003.2782911535251</v>
      </c>
      <c r="F392" s="44">
        <f t="shared" si="259"/>
        <v>2107.6637711108679</v>
      </c>
      <c r="G392" s="44">
        <f t="shared" si="259"/>
        <v>44012.066174567655</v>
      </c>
      <c r="H392" s="44">
        <f t="shared" si="259"/>
        <v>8520.3976869293965</v>
      </c>
      <c r="I392" s="44">
        <f t="shared" si="259"/>
        <v>11006.929772437572</v>
      </c>
      <c r="J392" s="44">
        <f t="shared" ref="J392:O392" si="303">J98*J196</f>
        <v>19649.142704197173</v>
      </c>
      <c r="K392" s="44">
        <f t="shared" si="303"/>
        <v>30393.795593547176</v>
      </c>
      <c r="L392" s="44">
        <f t="shared" si="303"/>
        <v>61960.611286882042</v>
      </c>
      <c r="M392" s="44">
        <f t="shared" si="303"/>
        <v>10556.498970660838</v>
      </c>
      <c r="N392" s="44">
        <f t="shared" si="303"/>
        <v>18138.220361214462</v>
      </c>
      <c r="O392" s="44">
        <f t="shared" si="303"/>
        <v>2596.2041326794965</v>
      </c>
    </row>
    <row r="393" spans="1:15" x14ac:dyDescent="0.2">
      <c r="A393" s="38" t="s">
        <v>34</v>
      </c>
      <c r="D393" s="44">
        <f t="shared" si="259"/>
        <v>5400.8443315711929</v>
      </c>
      <c r="E393" s="44">
        <f t="shared" si="259"/>
        <v>12898.670413071644</v>
      </c>
      <c r="F393" s="44">
        <f t="shared" si="259"/>
        <v>45246.433453817037</v>
      </c>
      <c r="G393" s="44">
        <f t="shared" si="259"/>
        <v>9160.8578871157188</v>
      </c>
      <c r="H393" s="44">
        <f t="shared" si="259"/>
        <v>32985.534103072903</v>
      </c>
      <c r="I393" s="44">
        <f t="shared" si="259"/>
        <v>7160.0406311542329</v>
      </c>
      <c r="J393" s="44">
        <f t="shared" ref="J393:O393" si="304">J99*J197</f>
        <v>13193.009555067774</v>
      </c>
      <c r="K393" s="44">
        <f t="shared" si="304"/>
        <v>6552.3218172373354</v>
      </c>
      <c r="L393" s="44">
        <f t="shared" si="304"/>
        <v>50595.214293486169</v>
      </c>
      <c r="M393" s="44">
        <f t="shared" si="304"/>
        <v>3355.7549325755399</v>
      </c>
      <c r="N393" s="44">
        <f t="shared" si="304"/>
        <v>806.41889688436368</v>
      </c>
      <c r="O393" s="44">
        <f t="shared" si="304"/>
        <v>2456.3365560282409</v>
      </c>
    </row>
    <row r="394" spans="1:15" x14ac:dyDescent="0.2"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</row>
    <row r="395" spans="1:15" x14ac:dyDescent="0.2">
      <c r="A395" s="3" t="s">
        <v>53</v>
      </c>
      <c r="B395" s="3"/>
      <c r="C395" s="3"/>
      <c r="D395" s="43">
        <f>D397+D445</f>
        <v>471355.29564565816</v>
      </c>
      <c r="E395" s="43">
        <f t="shared" ref="E395:I395" si="305">E397+E445</f>
        <v>511409.71396830527</v>
      </c>
      <c r="F395" s="43">
        <f t="shared" si="305"/>
        <v>593433.39450359938</v>
      </c>
      <c r="G395" s="43">
        <f t="shared" si="305"/>
        <v>573230.7666141073</v>
      </c>
      <c r="H395" s="43">
        <f t="shared" si="305"/>
        <v>677203.72650614474</v>
      </c>
      <c r="I395" s="43">
        <f t="shared" si="305"/>
        <v>540204.94508190756</v>
      </c>
      <c r="J395" s="43">
        <f t="shared" ref="J395:O395" si="306">J397+J445</f>
        <v>560287.66054508195</v>
      </c>
      <c r="K395" s="43">
        <f t="shared" si="306"/>
        <v>578695.00353290327</v>
      </c>
      <c r="L395" s="43">
        <f t="shared" si="306"/>
        <v>539121.20044957241</v>
      </c>
      <c r="M395" s="43">
        <f t="shared" si="306"/>
        <v>677017.03846443992</v>
      </c>
      <c r="N395" s="43">
        <f t="shared" si="306"/>
        <v>633899.55938069616</v>
      </c>
      <c r="O395" s="43">
        <f t="shared" si="306"/>
        <v>525089.71288896585</v>
      </c>
    </row>
    <row r="396" spans="1:15" x14ac:dyDescent="0.2">
      <c r="A396" s="37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</row>
    <row r="397" spans="1:15" x14ac:dyDescent="0.2">
      <c r="A397" s="3" t="s">
        <v>22</v>
      </c>
      <c r="B397" s="3"/>
      <c r="C397" s="3"/>
      <c r="D397" s="43">
        <f>D398+D421</f>
        <v>210134.02946571319</v>
      </c>
      <c r="E397" s="43">
        <f t="shared" ref="E397:I397" si="307">E398+E421</f>
        <v>227119.82823516362</v>
      </c>
      <c r="F397" s="43">
        <f t="shared" si="307"/>
        <v>180618.84919823532</v>
      </c>
      <c r="G397" s="43">
        <f t="shared" si="307"/>
        <v>222451.27988950565</v>
      </c>
      <c r="H397" s="43">
        <f t="shared" si="307"/>
        <v>322419.62031074957</v>
      </c>
      <c r="I397" s="43">
        <f t="shared" si="307"/>
        <v>266640.1020766726</v>
      </c>
      <c r="J397" s="43">
        <f t="shared" ref="J397" si="308">J398+J421</f>
        <v>259204.13958630917</v>
      </c>
      <c r="K397" s="43">
        <f t="shared" ref="K397" si="309">K398+K421</f>
        <v>223672.00724327483</v>
      </c>
      <c r="L397" s="43">
        <f t="shared" ref="L397" si="310">L398+L421</f>
        <v>196614.688695538</v>
      </c>
      <c r="M397" s="43">
        <f t="shared" ref="M397" si="311">M398+M421</f>
        <v>255961.24898058781</v>
      </c>
      <c r="N397" s="43">
        <f t="shared" ref="N397" si="312">N398+N421</f>
        <v>275291.24865085783</v>
      </c>
      <c r="O397" s="43">
        <f t="shared" ref="O397" si="313">O398+O421</f>
        <v>275867.12598296895</v>
      </c>
    </row>
    <row r="398" spans="1:15" x14ac:dyDescent="0.2">
      <c r="A398" s="4" t="s">
        <v>23</v>
      </c>
      <c r="B398" s="4"/>
      <c r="C398" s="4"/>
      <c r="D398" s="45">
        <f>D399+D410</f>
        <v>129027.7210097209</v>
      </c>
      <c r="E398" s="45">
        <f t="shared" ref="E398:I398" si="314">E399+E410</f>
        <v>101053.83532570225</v>
      </c>
      <c r="F398" s="45">
        <f t="shared" si="314"/>
        <v>106223.03847488608</v>
      </c>
      <c r="G398" s="45">
        <f t="shared" si="314"/>
        <v>116065.5983469965</v>
      </c>
      <c r="H398" s="45">
        <f t="shared" si="314"/>
        <v>145047.37342065468</v>
      </c>
      <c r="I398" s="45">
        <f t="shared" si="314"/>
        <v>125993.67143768874</v>
      </c>
      <c r="J398" s="45">
        <f t="shared" ref="J398" si="315">J399+J410</f>
        <v>151640.07670475607</v>
      </c>
      <c r="K398" s="45">
        <f t="shared" ref="K398" si="316">K399+K410</f>
        <v>105385.97554381685</v>
      </c>
      <c r="L398" s="45">
        <f t="shared" ref="L398" si="317">L399+L410</f>
        <v>98038.127019764041</v>
      </c>
      <c r="M398" s="45">
        <f t="shared" ref="M398" si="318">M399+M410</f>
        <v>152072.53607457003</v>
      </c>
      <c r="N398" s="45">
        <f t="shared" ref="N398" si="319">N399+N410</f>
        <v>131464.24951327557</v>
      </c>
      <c r="O398" s="45">
        <f t="shared" ref="O398" si="320">O399+O410</f>
        <v>145605.22069460168</v>
      </c>
    </row>
    <row r="399" spans="1:15" x14ac:dyDescent="0.2">
      <c r="A399" s="37" t="s">
        <v>24</v>
      </c>
      <c r="D399" s="46">
        <f>SUM(D400:D409)</f>
        <v>31341.237227495432</v>
      </c>
      <c r="E399" s="46">
        <f t="shared" ref="E399:I399" si="321">SUM(E400:E409)</f>
        <v>29110.95702482339</v>
      </c>
      <c r="F399" s="46">
        <f t="shared" si="321"/>
        <v>27247.801521095997</v>
      </c>
      <c r="G399" s="46">
        <f t="shared" si="321"/>
        <v>40973.894647810492</v>
      </c>
      <c r="H399" s="46">
        <f t="shared" si="321"/>
        <v>30479.044790630101</v>
      </c>
      <c r="I399" s="46">
        <f t="shared" si="321"/>
        <v>43189.475682625183</v>
      </c>
      <c r="J399" s="46">
        <f t="shared" ref="J399" si="322">SUM(J400:J409)</f>
        <v>70623.847833035165</v>
      </c>
      <c r="K399" s="46">
        <f t="shared" ref="K399" si="323">SUM(K400:K409)</f>
        <v>36022.40240832344</v>
      </c>
      <c r="L399" s="46">
        <f t="shared" ref="L399" si="324">SUM(L400:L409)</f>
        <v>41930.581298908008</v>
      </c>
      <c r="M399" s="46">
        <f t="shared" ref="M399" si="325">SUM(M400:M409)</f>
        <v>57737.303288742507</v>
      </c>
      <c r="N399" s="46">
        <f t="shared" ref="N399" si="326">SUM(N400:N409)</f>
        <v>29503.839231362374</v>
      </c>
      <c r="O399" s="46">
        <f t="shared" ref="O399" si="327">SUM(O400:O409)</f>
        <v>40806.734957859153</v>
      </c>
    </row>
    <row r="400" spans="1:15" x14ac:dyDescent="0.2">
      <c r="A400" s="38" t="s">
        <v>25</v>
      </c>
      <c r="D400" s="44">
        <f>D8*D204</f>
        <v>215.21073565177744</v>
      </c>
      <c r="E400" s="44">
        <f t="shared" ref="E400:I400" si="328">E8*E204</f>
        <v>917.66207147371063</v>
      </c>
      <c r="F400" s="44">
        <f t="shared" si="328"/>
        <v>201.22950648219376</v>
      </c>
      <c r="G400" s="44">
        <f t="shared" si="328"/>
        <v>3011.9258645191044</v>
      </c>
      <c r="H400" s="44">
        <f t="shared" si="328"/>
        <v>536.13444617316486</v>
      </c>
      <c r="I400" s="44">
        <f t="shared" si="328"/>
        <v>1180.3451765498112</v>
      </c>
      <c r="J400" s="44">
        <f t="shared" ref="J400:O415" si="329">J8*J204</f>
        <v>382.8869130226222</v>
      </c>
      <c r="K400" s="44">
        <f t="shared" si="329"/>
        <v>740.2751928684869</v>
      </c>
      <c r="L400" s="44">
        <f t="shared" si="329"/>
        <v>3732.3189418401571</v>
      </c>
      <c r="M400" s="44">
        <f t="shared" si="329"/>
        <v>1803.8227317867352</v>
      </c>
      <c r="N400" s="44">
        <f t="shared" si="329"/>
        <v>1036.7062034151627</v>
      </c>
      <c r="O400" s="44">
        <f t="shared" si="329"/>
        <v>5580.8652423344238</v>
      </c>
    </row>
    <row r="401" spans="1:15" x14ac:dyDescent="0.2">
      <c r="A401" s="38" t="s">
        <v>26</v>
      </c>
      <c r="D401" s="44">
        <f t="shared" ref="D401:I464" si="330">D9*D205</f>
        <v>7204.4662763898832</v>
      </c>
      <c r="E401" s="44">
        <f t="shared" si="330"/>
        <v>841.13371038112098</v>
      </c>
      <c r="F401" s="44">
        <f t="shared" si="330"/>
        <v>3968.4726847176203</v>
      </c>
      <c r="G401" s="44">
        <f t="shared" si="330"/>
        <v>5922.9507805741632</v>
      </c>
      <c r="H401" s="44">
        <f t="shared" si="330"/>
        <v>2457.1827661262273</v>
      </c>
      <c r="I401" s="44">
        <f t="shared" si="330"/>
        <v>2891.0608833024453</v>
      </c>
      <c r="J401" s="44">
        <f t="shared" si="329"/>
        <v>490.90630864749272</v>
      </c>
      <c r="K401" s="44">
        <f t="shared" si="329"/>
        <v>1050.0236743782655</v>
      </c>
      <c r="L401" s="44">
        <f t="shared" si="329"/>
        <v>5763.5738716659316</v>
      </c>
      <c r="M401" s="44">
        <f t="shared" si="329"/>
        <v>1858.5366190732814</v>
      </c>
      <c r="N401" s="44">
        <f t="shared" si="329"/>
        <v>3714.8581964389923</v>
      </c>
      <c r="O401" s="44">
        <f t="shared" si="329"/>
        <v>1249.1527736278645</v>
      </c>
    </row>
    <row r="402" spans="1:15" x14ac:dyDescent="0.2">
      <c r="A402" s="38" t="s">
        <v>27</v>
      </c>
      <c r="D402" s="44">
        <f t="shared" si="330"/>
        <v>2626.0519593693925</v>
      </c>
      <c r="E402" s="44">
        <f t="shared" si="330"/>
        <v>5023.2860497812208</v>
      </c>
      <c r="F402" s="44">
        <f t="shared" si="330"/>
        <v>1535.8184975583499</v>
      </c>
      <c r="G402" s="44">
        <f t="shared" si="330"/>
        <v>2581.9497457214584</v>
      </c>
      <c r="H402" s="44">
        <f t="shared" si="330"/>
        <v>1780.9896139602774</v>
      </c>
      <c r="I402" s="44">
        <f t="shared" si="330"/>
        <v>12986.777659684489</v>
      </c>
      <c r="J402" s="44">
        <f t="shared" si="329"/>
        <v>190.18539346029857</v>
      </c>
      <c r="K402" s="44">
        <f t="shared" si="329"/>
        <v>7563.1737732994588</v>
      </c>
      <c r="L402" s="44">
        <f t="shared" si="329"/>
        <v>3570.2438945051172</v>
      </c>
      <c r="M402" s="44">
        <f t="shared" si="329"/>
        <v>2763.8704671526539</v>
      </c>
      <c r="N402" s="44">
        <f t="shared" si="329"/>
        <v>2317.1578529507724</v>
      </c>
      <c r="O402" s="44">
        <f t="shared" si="329"/>
        <v>4485.7017904484992</v>
      </c>
    </row>
    <row r="403" spans="1:15" x14ac:dyDescent="0.2">
      <c r="A403" s="38" t="s">
        <v>28</v>
      </c>
      <c r="D403" s="44">
        <f t="shared" si="330"/>
        <v>2005.070739615717</v>
      </c>
      <c r="E403" s="44">
        <f t="shared" si="330"/>
        <v>221.44960756793191</v>
      </c>
      <c r="F403" s="44">
        <f t="shared" si="330"/>
        <v>350.48403214667013</v>
      </c>
      <c r="G403" s="44">
        <f t="shared" si="330"/>
        <v>1644.2350976551493</v>
      </c>
      <c r="H403" s="44">
        <f t="shared" si="330"/>
        <v>6312.6936035459394</v>
      </c>
      <c r="I403" s="44">
        <f t="shared" si="330"/>
        <v>1445.2526337948696</v>
      </c>
      <c r="J403" s="44">
        <f t="shared" si="329"/>
        <v>12527.887923327251</v>
      </c>
      <c r="K403" s="44">
        <f t="shared" si="329"/>
        <v>8125.1531485027199</v>
      </c>
      <c r="L403" s="44">
        <f t="shared" si="329"/>
        <v>5406.5687460020417</v>
      </c>
      <c r="M403" s="44">
        <f t="shared" si="329"/>
        <v>7538.1195996466004</v>
      </c>
      <c r="N403" s="44">
        <f t="shared" si="329"/>
        <v>2583.592503514215</v>
      </c>
      <c r="O403" s="44">
        <f t="shared" si="329"/>
        <v>5547.0907501922038</v>
      </c>
    </row>
    <row r="404" spans="1:15" x14ac:dyDescent="0.2">
      <c r="A404" s="38" t="s">
        <v>29</v>
      </c>
      <c r="D404" s="44">
        <f t="shared" si="330"/>
        <v>7599.8511974466846</v>
      </c>
      <c r="E404" s="44">
        <f t="shared" si="330"/>
        <v>1571.3182830433921</v>
      </c>
      <c r="F404" s="44">
        <f t="shared" si="330"/>
        <v>7300.9697587898027</v>
      </c>
      <c r="G404" s="44">
        <f t="shared" si="330"/>
        <v>9522.0635564883505</v>
      </c>
      <c r="H404" s="44">
        <f t="shared" si="330"/>
        <v>5122.5111498376846</v>
      </c>
      <c r="I404" s="44">
        <f t="shared" si="330"/>
        <v>2448.6936835924016</v>
      </c>
      <c r="J404" s="44">
        <f t="shared" si="329"/>
        <v>16179.881891717043</v>
      </c>
      <c r="K404" s="44">
        <f t="shared" si="329"/>
        <v>10007.014874410266</v>
      </c>
      <c r="L404" s="44">
        <f t="shared" si="329"/>
        <v>9195.8069132083056</v>
      </c>
      <c r="M404" s="44">
        <f t="shared" si="329"/>
        <v>4388.7372241236362</v>
      </c>
      <c r="N404" s="44">
        <f t="shared" si="329"/>
        <v>5218.3475688831631</v>
      </c>
      <c r="O404" s="44">
        <f t="shared" si="329"/>
        <v>10535.34653489296</v>
      </c>
    </row>
    <row r="405" spans="1:15" x14ac:dyDescent="0.2">
      <c r="A405" s="38" t="s">
        <v>30</v>
      </c>
      <c r="D405" s="44">
        <f t="shared" si="330"/>
        <v>7365.417388837589</v>
      </c>
      <c r="E405" s="44">
        <f t="shared" si="330"/>
        <v>2897.1096011295622</v>
      </c>
      <c r="F405" s="44">
        <f t="shared" si="330"/>
        <v>2735.9229676515106</v>
      </c>
      <c r="G405" s="44">
        <f t="shared" si="330"/>
        <v>6436.1395992894804</v>
      </c>
      <c r="H405" s="44">
        <f t="shared" si="330"/>
        <v>1929.0669663210804</v>
      </c>
      <c r="I405" s="44">
        <f t="shared" si="330"/>
        <v>3331.6247499090732</v>
      </c>
      <c r="J405" s="44">
        <f t="shared" si="329"/>
        <v>4720.8460724695751</v>
      </c>
      <c r="K405" s="44">
        <f t="shared" si="329"/>
        <v>828.54269344089994</v>
      </c>
      <c r="L405" s="44">
        <f t="shared" si="329"/>
        <v>187.09517525132969</v>
      </c>
      <c r="M405" s="44">
        <f t="shared" si="329"/>
        <v>283.19336208262212</v>
      </c>
      <c r="N405" s="44">
        <f t="shared" si="329"/>
        <v>384.09948590743386</v>
      </c>
      <c r="O405" s="44">
        <f t="shared" si="329"/>
        <v>301.38578018410323</v>
      </c>
    </row>
    <row r="406" spans="1:15" x14ac:dyDescent="0.2">
      <c r="A406" s="38" t="s">
        <v>31</v>
      </c>
      <c r="D406" s="44">
        <f t="shared" si="330"/>
        <v>112.67026446947442</v>
      </c>
      <c r="E406" s="44">
        <f t="shared" si="330"/>
        <v>6424.4864887009189</v>
      </c>
      <c r="F406" s="44">
        <f t="shared" si="330"/>
        <v>5453.120922164524</v>
      </c>
      <c r="G406" s="44">
        <f t="shared" si="330"/>
        <v>4786.635535030704</v>
      </c>
      <c r="H406" s="44">
        <f t="shared" si="330"/>
        <v>5712.6656346633063</v>
      </c>
      <c r="I406" s="44">
        <f t="shared" si="330"/>
        <v>2033.969203794461</v>
      </c>
      <c r="J406" s="44">
        <f t="shared" si="329"/>
        <v>3022.969195773373</v>
      </c>
      <c r="K406" s="44">
        <f t="shared" si="329"/>
        <v>2534.3805658979531</v>
      </c>
      <c r="L406" s="44">
        <f t="shared" si="329"/>
        <v>2523.0817314696078</v>
      </c>
      <c r="M406" s="44">
        <f t="shared" si="329"/>
        <v>287.30403316020966</v>
      </c>
      <c r="N406" s="44">
        <f t="shared" si="329"/>
        <v>8112.3128822494918</v>
      </c>
      <c r="O406" s="44">
        <f t="shared" si="329"/>
        <v>7209.0320358614244</v>
      </c>
    </row>
    <row r="407" spans="1:15" x14ac:dyDescent="0.2">
      <c r="A407" s="38" t="s">
        <v>32</v>
      </c>
      <c r="D407" s="44">
        <f t="shared" si="330"/>
        <v>625.91469492687429</v>
      </c>
      <c r="E407" s="44">
        <f t="shared" si="330"/>
        <v>4751.0816181965974</v>
      </c>
      <c r="F407" s="44">
        <f t="shared" si="330"/>
        <v>4034.3252928771863</v>
      </c>
      <c r="G407" s="44">
        <f t="shared" si="330"/>
        <v>1590.581785933857</v>
      </c>
      <c r="H407" s="44">
        <f t="shared" si="330"/>
        <v>2267.157836309616</v>
      </c>
      <c r="I407" s="44">
        <f t="shared" si="330"/>
        <v>6902.4964946077043</v>
      </c>
      <c r="J407" s="44">
        <f t="shared" si="329"/>
        <v>6306.0724625722587</v>
      </c>
      <c r="K407" s="44">
        <f t="shared" si="329"/>
        <v>2112.6617216451773</v>
      </c>
      <c r="L407" s="44">
        <f t="shared" si="329"/>
        <v>3111.1442000321522</v>
      </c>
      <c r="M407" s="44">
        <f t="shared" si="329"/>
        <v>6501.1220474215334</v>
      </c>
      <c r="N407" s="44">
        <f t="shared" si="329"/>
        <v>2414.9527449043658</v>
      </c>
      <c r="O407" s="44">
        <f t="shared" si="329"/>
        <v>1829.3843746047103</v>
      </c>
    </row>
    <row r="408" spans="1:15" x14ac:dyDescent="0.2">
      <c r="A408" s="38" t="s">
        <v>33</v>
      </c>
      <c r="D408" s="44">
        <f t="shared" si="330"/>
        <v>2282.7866903056611</v>
      </c>
      <c r="E408" s="44">
        <f t="shared" si="330"/>
        <v>775.32332096555785</v>
      </c>
      <c r="F408" s="44">
        <f t="shared" si="330"/>
        <v>608.26674286750415</v>
      </c>
      <c r="G408" s="44">
        <f t="shared" si="330"/>
        <v>1550.6552353502113</v>
      </c>
      <c r="H408" s="44">
        <f t="shared" si="330"/>
        <v>3127.4893164217674</v>
      </c>
      <c r="I408" s="44">
        <f t="shared" si="330"/>
        <v>4469.4921008614074</v>
      </c>
      <c r="J408" s="44">
        <f t="shared" si="329"/>
        <v>7531.5155600640428</v>
      </c>
      <c r="K408" s="44">
        <f t="shared" si="329"/>
        <v>1295.8851726733496</v>
      </c>
      <c r="L408" s="44">
        <f t="shared" si="329"/>
        <v>1518.8162738600633</v>
      </c>
      <c r="M408" s="44">
        <f t="shared" si="329"/>
        <v>18278.186446402378</v>
      </c>
      <c r="N408" s="44">
        <f t="shared" si="329"/>
        <v>3109.4794189805557</v>
      </c>
      <c r="O408" s="44">
        <f t="shared" si="329"/>
        <v>276.20151449939851</v>
      </c>
    </row>
    <row r="409" spans="1:15" x14ac:dyDescent="0.2">
      <c r="A409" s="38" t="s">
        <v>34</v>
      </c>
      <c r="D409" s="44">
        <f t="shared" si="330"/>
        <v>1303.7972804823855</v>
      </c>
      <c r="E409" s="44">
        <f t="shared" si="330"/>
        <v>5688.1062735833766</v>
      </c>
      <c r="F409" s="44">
        <f t="shared" si="330"/>
        <v>1059.1911158406372</v>
      </c>
      <c r="G409" s="44">
        <f t="shared" si="330"/>
        <v>3926.7574472480119</v>
      </c>
      <c r="H409" s="44">
        <f t="shared" si="330"/>
        <v>1233.1534572710357</v>
      </c>
      <c r="I409" s="44">
        <f t="shared" si="330"/>
        <v>5499.7630965285234</v>
      </c>
      <c r="J409" s="44">
        <f t="shared" si="329"/>
        <v>19270.696111981211</v>
      </c>
      <c r="K409" s="44">
        <f t="shared" si="329"/>
        <v>1765.2915912068647</v>
      </c>
      <c r="L409" s="44">
        <f t="shared" si="329"/>
        <v>6921.9315510732968</v>
      </c>
      <c r="M409" s="44">
        <f t="shared" si="329"/>
        <v>14034.410757892856</v>
      </c>
      <c r="N409" s="44">
        <f t="shared" si="329"/>
        <v>612.33237411822154</v>
      </c>
      <c r="O409" s="44">
        <f t="shared" si="329"/>
        <v>3792.5741612135616</v>
      </c>
    </row>
    <row r="410" spans="1:15" x14ac:dyDescent="0.2">
      <c r="A410" s="37" t="s">
        <v>35</v>
      </c>
      <c r="D410" s="46">
        <f>SUM(D411:D420)</f>
        <v>97686.483782225463</v>
      </c>
      <c r="E410" s="46">
        <f t="shared" ref="E410:I410" si="331">SUM(E411:E420)</f>
        <v>71942.87830087886</v>
      </c>
      <c r="F410" s="46">
        <f t="shared" si="331"/>
        <v>78975.236953790081</v>
      </c>
      <c r="G410" s="46">
        <f t="shared" si="331"/>
        <v>75091.703699186008</v>
      </c>
      <c r="H410" s="46">
        <f t="shared" si="331"/>
        <v>114568.32863002457</v>
      </c>
      <c r="I410" s="46">
        <f t="shared" si="331"/>
        <v>82804.195755063556</v>
      </c>
      <c r="J410" s="46">
        <f t="shared" ref="J410" si="332">SUM(J411:J420)</f>
        <v>81016.228871720887</v>
      </c>
      <c r="K410" s="46">
        <f t="shared" ref="K410" si="333">SUM(K411:K420)</f>
        <v>69363.573135493411</v>
      </c>
      <c r="L410" s="46">
        <f t="shared" ref="L410" si="334">SUM(L411:L420)</f>
        <v>56107.545720856033</v>
      </c>
      <c r="M410" s="46">
        <f t="shared" ref="M410" si="335">SUM(M411:M420)</f>
        <v>94335.232785827538</v>
      </c>
      <c r="N410" s="46">
        <f t="shared" ref="N410" si="336">SUM(N411:N420)</f>
        <v>101960.41028191321</v>
      </c>
      <c r="O410" s="46">
        <f t="shared" ref="O410" si="337">SUM(O411:O420)</f>
        <v>104798.48573674253</v>
      </c>
    </row>
    <row r="411" spans="1:15" x14ac:dyDescent="0.2">
      <c r="A411" s="38" t="s">
        <v>25</v>
      </c>
      <c r="D411" s="44">
        <f t="shared" si="330"/>
        <v>15692.502632073163</v>
      </c>
      <c r="E411" s="44">
        <f t="shared" si="330"/>
        <v>5272.0379020784512</v>
      </c>
      <c r="F411" s="44">
        <f t="shared" si="330"/>
        <v>8455.6092038289589</v>
      </c>
      <c r="G411" s="44">
        <f t="shared" si="330"/>
        <v>2621.2727864531362</v>
      </c>
      <c r="H411" s="44">
        <f t="shared" si="330"/>
        <v>11512.353495560663</v>
      </c>
      <c r="I411" s="44">
        <f t="shared" si="330"/>
        <v>4893.0771014954071</v>
      </c>
      <c r="J411" s="44">
        <f t="shared" si="329"/>
        <v>2036.0276719568817</v>
      </c>
      <c r="K411" s="44">
        <f t="shared" si="329"/>
        <v>2754.2813989902065</v>
      </c>
      <c r="L411" s="44">
        <f t="shared" si="329"/>
        <v>15364.419436280394</v>
      </c>
      <c r="M411" s="44">
        <f t="shared" si="329"/>
        <v>1924.7589657072558</v>
      </c>
      <c r="N411" s="44">
        <f t="shared" si="329"/>
        <v>26228.539619197221</v>
      </c>
      <c r="O411" s="44">
        <f t="shared" si="329"/>
        <v>11386.124986348783</v>
      </c>
    </row>
    <row r="412" spans="1:15" x14ac:dyDescent="0.2">
      <c r="A412" s="38" t="s">
        <v>26</v>
      </c>
      <c r="D412" s="44">
        <f t="shared" si="330"/>
        <v>12161.6366736861</v>
      </c>
      <c r="E412" s="44">
        <f t="shared" si="330"/>
        <v>3217.1008485467146</v>
      </c>
      <c r="F412" s="44">
        <f t="shared" si="330"/>
        <v>7149.4969859161401</v>
      </c>
      <c r="G412" s="44">
        <f t="shared" si="330"/>
        <v>7604.1765711250737</v>
      </c>
      <c r="H412" s="44">
        <f t="shared" si="330"/>
        <v>8359.5587339194099</v>
      </c>
      <c r="I412" s="44">
        <f t="shared" si="330"/>
        <v>13425.288362812809</v>
      </c>
      <c r="J412" s="44">
        <f t="shared" si="329"/>
        <v>5240.0430306816115</v>
      </c>
      <c r="K412" s="44">
        <f t="shared" si="329"/>
        <v>9026.1604647970798</v>
      </c>
      <c r="L412" s="44">
        <f t="shared" si="329"/>
        <v>7101.5586334130467</v>
      </c>
      <c r="M412" s="44">
        <f t="shared" si="329"/>
        <v>2926.8967244994051</v>
      </c>
      <c r="N412" s="44">
        <f t="shared" si="329"/>
        <v>8607.4782396061746</v>
      </c>
      <c r="O412" s="44">
        <f t="shared" si="329"/>
        <v>823.36651070043217</v>
      </c>
    </row>
    <row r="413" spans="1:15" x14ac:dyDescent="0.2">
      <c r="A413" s="38" t="s">
        <v>27</v>
      </c>
      <c r="D413" s="44">
        <f t="shared" si="330"/>
        <v>2771.2791629368276</v>
      </c>
      <c r="E413" s="44">
        <f t="shared" si="330"/>
        <v>6409.4731556929673</v>
      </c>
      <c r="F413" s="44">
        <f t="shared" si="330"/>
        <v>8631.0762396404225</v>
      </c>
      <c r="G413" s="44">
        <f t="shared" si="330"/>
        <v>19246.837491368777</v>
      </c>
      <c r="H413" s="44">
        <f t="shared" si="330"/>
        <v>15004.540162268184</v>
      </c>
      <c r="I413" s="44">
        <f t="shared" si="330"/>
        <v>11098.497016317313</v>
      </c>
      <c r="J413" s="44">
        <f t="shared" si="329"/>
        <v>6144.0199566758256</v>
      </c>
      <c r="K413" s="44">
        <f t="shared" si="329"/>
        <v>1622.1304886501227</v>
      </c>
      <c r="L413" s="44">
        <f t="shared" si="329"/>
        <v>1272.0313313652171</v>
      </c>
      <c r="M413" s="44">
        <f t="shared" si="329"/>
        <v>10345.399400535989</v>
      </c>
      <c r="N413" s="44">
        <f t="shared" si="329"/>
        <v>6919.5366287693423</v>
      </c>
      <c r="O413" s="44">
        <f t="shared" si="329"/>
        <v>1596.4498328622858</v>
      </c>
    </row>
    <row r="414" spans="1:15" x14ac:dyDescent="0.2">
      <c r="A414" s="38" t="s">
        <v>28</v>
      </c>
      <c r="D414" s="44">
        <f t="shared" si="330"/>
        <v>9747.4267160302788</v>
      </c>
      <c r="E414" s="44">
        <f t="shared" si="330"/>
        <v>7270.184628762282</v>
      </c>
      <c r="F414" s="44">
        <f t="shared" si="330"/>
        <v>20354.704136185555</v>
      </c>
      <c r="G414" s="44">
        <f t="shared" si="330"/>
        <v>6496.4079824561404</v>
      </c>
      <c r="H414" s="44">
        <f t="shared" si="330"/>
        <v>19103.990382019714</v>
      </c>
      <c r="I414" s="44">
        <f t="shared" si="330"/>
        <v>5178.3379511382827</v>
      </c>
      <c r="J414" s="44">
        <f t="shared" si="329"/>
        <v>10978.63585612369</v>
      </c>
      <c r="K414" s="44">
        <f t="shared" si="329"/>
        <v>10084.045597242435</v>
      </c>
      <c r="L414" s="44">
        <f t="shared" si="329"/>
        <v>732.92859645328451</v>
      </c>
      <c r="M414" s="44">
        <f t="shared" si="329"/>
        <v>23725.9820112579</v>
      </c>
      <c r="N414" s="44">
        <f t="shared" si="329"/>
        <v>1460.498899425228</v>
      </c>
      <c r="O414" s="44">
        <f t="shared" si="329"/>
        <v>6985.8049400983218</v>
      </c>
    </row>
    <row r="415" spans="1:15" x14ac:dyDescent="0.2">
      <c r="A415" s="38" t="s">
        <v>29</v>
      </c>
      <c r="D415" s="44">
        <f t="shared" si="330"/>
        <v>7204.4298207561133</v>
      </c>
      <c r="E415" s="44">
        <f t="shared" si="330"/>
        <v>2869.9400213170611</v>
      </c>
      <c r="F415" s="44">
        <f t="shared" si="330"/>
        <v>3634.0951222266967</v>
      </c>
      <c r="G415" s="44">
        <f t="shared" si="330"/>
        <v>2264.3426975133657</v>
      </c>
      <c r="H415" s="44">
        <f t="shared" si="330"/>
        <v>28005.268582126137</v>
      </c>
      <c r="I415" s="44">
        <f t="shared" si="330"/>
        <v>1595.5295202908139</v>
      </c>
      <c r="J415" s="44">
        <f t="shared" si="329"/>
        <v>13626.405849184066</v>
      </c>
      <c r="K415" s="44">
        <f t="shared" si="329"/>
        <v>6804.1927515756433</v>
      </c>
      <c r="L415" s="44">
        <f t="shared" si="329"/>
        <v>4810.0749055932938</v>
      </c>
      <c r="M415" s="44">
        <f t="shared" si="329"/>
        <v>17433.009974932174</v>
      </c>
      <c r="N415" s="44">
        <f t="shared" si="329"/>
        <v>1297.0753074060215</v>
      </c>
      <c r="O415" s="44">
        <f t="shared" si="329"/>
        <v>13773.95229250943</v>
      </c>
    </row>
    <row r="416" spans="1:15" x14ac:dyDescent="0.2">
      <c r="A416" s="38" t="s">
        <v>30</v>
      </c>
      <c r="D416" s="44">
        <f t="shared" si="330"/>
        <v>11759.091134118951</v>
      </c>
      <c r="E416" s="44">
        <f t="shared" si="330"/>
        <v>13563.460496580035</v>
      </c>
      <c r="F416" s="44">
        <f t="shared" si="330"/>
        <v>1894.7293453456659</v>
      </c>
      <c r="G416" s="44">
        <f t="shared" si="330"/>
        <v>2287.7366216418968</v>
      </c>
      <c r="H416" s="44">
        <f t="shared" si="330"/>
        <v>10217.026567357156</v>
      </c>
      <c r="I416" s="44">
        <f t="shared" si="330"/>
        <v>4009.2946630114029</v>
      </c>
      <c r="J416" s="44">
        <f t="shared" ref="J416:O431" si="338">J24*J220</f>
        <v>8706.2088767826554</v>
      </c>
      <c r="K416" s="44">
        <f t="shared" si="338"/>
        <v>9423.6091146420913</v>
      </c>
      <c r="L416" s="44">
        <f t="shared" si="338"/>
        <v>3604.3969203201837</v>
      </c>
      <c r="M416" s="44">
        <f t="shared" si="338"/>
        <v>19412.448476197646</v>
      </c>
      <c r="N416" s="44">
        <f t="shared" si="338"/>
        <v>5686.8349368465033</v>
      </c>
      <c r="O416" s="44">
        <f t="shared" si="338"/>
        <v>2017.6676098674709</v>
      </c>
    </row>
    <row r="417" spans="1:15" x14ac:dyDescent="0.2">
      <c r="A417" s="38" t="s">
        <v>31</v>
      </c>
      <c r="D417" s="44">
        <f t="shared" si="330"/>
        <v>21705.257897940974</v>
      </c>
      <c r="E417" s="44">
        <f t="shared" si="330"/>
        <v>4920.1680070404745</v>
      </c>
      <c r="F417" s="44">
        <f t="shared" si="330"/>
        <v>2793.6307813489034</v>
      </c>
      <c r="G417" s="44">
        <f t="shared" si="330"/>
        <v>10244.572299637188</v>
      </c>
      <c r="H417" s="44">
        <f t="shared" si="330"/>
        <v>6848.1328418872545</v>
      </c>
      <c r="I417" s="44">
        <f t="shared" si="330"/>
        <v>8004.5053659041514</v>
      </c>
      <c r="J417" s="44">
        <f t="shared" si="338"/>
        <v>8182.6740617355017</v>
      </c>
      <c r="K417" s="44">
        <f t="shared" si="338"/>
        <v>2295.7452081362144</v>
      </c>
      <c r="L417" s="44">
        <f t="shared" si="338"/>
        <v>5576.8652167379578</v>
      </c>
      <c r="M417" s="44">
        <f t="shared" si="338"/>
        <v>1254.2540202490254</v>
      </c>
      <c r="N417" s="44">
        <f t="shared" si="338"/>
        <v>11826.169958848273</v>
      </c>
      <c r="O417" s="44">
        <f t="shared" si="338"/>
        <v>37108.779730958762</v>
      </c>
    </row>
    <row r="418" spans="1:15" x14ac:dyDescent="0.2">
      <c r="A418" s="38" t="s">
        <v>32</v>
      </c>
      <c r="D418" s="44">
        <f t="shared" si="330"/>
        <v>5480.6538994034872</v>
      </c>
      <c r="E418" s="44">
        <f t="shared" si="330"/>
        <v>14279.80073279126</v>
      </c>
      <c r="F418" s="44">
        <f t="shared" si="330"/>
        <v>8973.0492443405074</v>
      </c>
      <c r="G418" s="44">
        <f t="shared" si="330"/>
        <v>2140.0249969013689</v>
      </c>
      <c r="H418" s="44">
        <f t="shared" si="330"/>
        <v>10448.945565736643</v>
      </c>
      <c r="I418" s="44">
        <f t="shared" si="330"/>
        <v>14591.7669171285</v>
      </c>
      <c r="J418" s="44">
        <f t="shared" si="338"/>
        <v>5277.4775924477126</v>
      </c>
      <c r="K418" s="44">
        <f t="shared" si="338"/>
        <v>9331.8416728262619</v>
      </c>
      <c r="L418" s="44">
        <f t="shared" si="338"/>
        <v>6627.411424449585</v>
      </c>
      <c r="M418" s="44">
        <f t="shared" si="338"/>
        <v>10461.766769665202</v>
      </c>
      <c r="N418" s="44">
        <f t="shared" si="338"/>
        <v>12862.486620167581</v>
      </c>
      <c r="O418" s="44">
        <f t="shared" si="338"/>
        <v>3614.1710731424932</v>
      </c>
    </row>
    <row r="419" spans="1:15" x14ac:dyDescent="0.2">
      <c r="A419" s="38" t="s">
        <v>33</v>
      </c>
      <c r="D419" s="44">
        <f t="shared" si="330"/>
        <v>10994.444494343959</v>
      </c>
      <c r="E419" s="44">
        <f t="shared" si="330"/>
        <v>6096.1780679904205</v>
      </c>
      <c r="F419" s="44">
        <f t="shared" si="330"/>
        <v>8454.9183191752181</v>
      </c>
      <c r="G419" s="44">
        <f t="shared" si="330"/>
        <v>15072.904651412808</v>
      </c>
      <c r="H419" s="44">
        <f t="shared" si="330"/>
        <v>546.23805297831473</v>
      </c>
      <c r="I419" s="44">
        <f t="shared" si="330"/>
        <v>6932.8261382746841</v>
      </c>
      <c r="J419" s="44">
        <f t="shared" si="338"/>
        <v>9142.9962749460119</v>
      </c>
      <c r="K419" s="44">
        <f t="shared" si="338"/>
        <v>10163.937470075976</v>
      </c>
      <c r="L419" s="44">
        <f t="shared" si="338"/>
        <v>143.81083460182691</v>
      </c>
      <c r="M419" s="44">
        <f t="shared" si="338"/>
        <v>3051.6141210353335</v>
      </c>
      <c r="N419" s="44">
        <f t="shared" si="338"/>
        <v>14976.786530959882</v>
      </c>
      <c r="O419" s="44">
        <f t="shared" si="338"/>
        <v>3796.8379025187446</v>
      </c>
    </row>
    <row r="420" spans="1:15" x14ac:dyDescent="0.2">
      <c r="A420" s="38" t="s">
        <v>34</v>
      </c>
      <c r="D420" s="44">
        <f t="shared" si="330"/>
        <v>169.76135093559682</v>
      </c>
      <c r="E420" s="44">
        <f t="shared" si="330"/>
        <v>8044.5344400791901</v>
      </c>
      <c r="F420" s="44">
        <f t="shared" si="330"/>
        <v>8633.9275757820033</v>
      </c>
      <c r="G420" s="44">
        <f t="shared" si="330"/>
        <v>7113.4276006762593</v>
      </c>
      <c r="H420" s="44">
        <f t="shared" si="330"/>
        <v>4522.2742461710868</v>
      </c>
      <c r="I420" s="44">
        <f t="shared" si="330"/>
        <v>13075.0727186902</v>
      </c>
      <c r="J420" s="44">
        <f t="shared" si="338"/>
        <v>11681.739701186933</v>
      </c>
      <c r="K420" s="44">
        <f t="shared" si="338"/>
        <v>7857.6289685573865</v>
      </c>
      <c r="L420" s="44">
        <f t="shared" si="338"/>
        <v>10874.048421641244</v>
      </c>
      <c r="M420" s="44">
        <f t="shared" si="338"/>
        <v>3799.1023217476077</v>
      </c>
      <c r="N420" s="44">
        <f t="shared" si="338"/>
        <v>12095.003540686981</v>
      </c>
      <c r="O420" s="44">
        <f t="shared" si="338"/>
        <v>23695.330857735804</v>
      </c>
    </row>
    <row r="421" spans="1:15" x14ac:dyDescent="0.2">
      <c r="A421" s="4" t="s">
        <v>36</v>
      </c>
      <c r="B421" s="4"/>
      <c r="C421" s="4"/>
      <c r="D421" s="45">
        <f>D422+D433</f>
        <v>81106.308455992286</v>
      </c>
      <c r="E421" s="45">
        <f t="shared" ref="E421:I421" si="339">E422+E433</f>
        <v>126065.99290946136</v>
      </c>
      <c r="F421" s="45">
        <f t="shared" si="339"/>
        <v>74395.810723349234</v>
      </c>
      <c r="G421" s="45">
        <f t="shared" si="339"/>
        <v>106385.68154250913</v>
      </c>
      <c r="H421" s="45">
        <f t="shared" si="339"/>
        <v>177372.24689009489</v>
      </c>
      <c r="I421" s="45">
        <f t="shared" si="339"/>
        <v>140646.43063898385</v>
      </c>
      <c r="J421" s="45">
        <f t="shared" ref="J421" si="340">J422+J433</f>
        <v>107564.06288155311</v>
      </c>
      <c r="K421" s="45">
        <f t="shared" ref="K421" si="341">K422+K433</f>
        <v>118286.03169945798</v>
      </c>
      <c r="L421" s="45">
        <f t="shared" ref="L421" si="342">L422+L433</f>
        <v>98576.561675773963</v>
      </c>
      <c r="M421" s="45">
        <f t="shared" ref="M421" si="343">M422+M433</f>
        <v>103888.71290601777</v>
      </c>
      <c r="N421" s="45">
        <f t="shared" ref="N421" si="344">N422+N433</f>
        <v>143826.99913758229</v>
      </c>
      <c r="O421" s="45">
        <f t="shared" ref="O421" si="345">O422+O433</f>
        <v>130261.90528836724</v>
      </c>
    </row>
    <row r="422" spans="1:15" x14ac:dyDescent="0.2">
      <c r="A422" s="37" t="s">
        <v>24</v>
      </c>
      <c r="D422" s="46">
        <f>SUM(D423:D432)</f>
        <v>24269.513351823101</v>
      </c>
      <c r="E422" s="46">
        <f t="shared" ref="E422:I422" si="346">SUM(E423:E432)</f>
        <v>34997.860183594443</v>
      </c>
      <c r="F422" s="46">
        <f t="shared" si="346"/>
        <v>27012.409763598353</v>
      </c>
      <c r="G422" s="46">
        <f t="shared" si="346"/>
        <v>36012.707568564394</v>
      </c>
      <c r="H422" s="46">
        <f t="shared" si="346"/>
        <v>55900.967768137256</v>
      </c>
      <c r="I422" s="46">
        <f t="shared" si="346"/>
        <v>50912.958899868143</v>
      </c>
      <c r="J422" s="46">
        <f t="shared" ref="J422" si="347">SUM(J423:J432)</f>
        <v>41997.634864969215</v>
      </c>
      <c r="K422" s="46">
        <f t="shared" ref="K422" si="348">SUM(K423:K432)</f>
        <v>31186.264931897447</v>
      </c>
      <c r="L422" s="46">
        <f t="shared" ref="L422" si="349">SUM(L423:L432)</f>
        <v>18804.867130648396</v>
      </c>
      <c r="M422" s="46">
        <f t="shared" ref="M422" si="350">SUM(M423:M432)</f>
        <v>30933.120827006467</v>
      </c>
      <c r="N422" s="46">
        <f t="shared" ref="N422" si="351">SUM(N423:N432)</f>
        <v>46529.934982078063</v>
      </c>
      <c r="O422" s="46">
        <f t="shared" ref="O422" si="352">SUM(O423:O432)</f>
        <v>34845.428854972008</v>
      </c>
    </row>
    <row r="423" spans="1:15" x14ac:dyDescent="0.2">
      <c r="A423" s="38" t="s">
        <v>25</v>
      </c>
      <c r="D423" s="44">
        <f t="shared" si="330"/>
        <v>9193.0906773652641</v>
      </c>
      <c r="E423" s="44">
        <f t="shared" si="330"/>
        <v>2379.1310517821512</v>
      </c>
      <c r="F423" s="44">
        <f t="shared" si="330"/>
        <v>4406.6819404466396</v>
      </c>
      <c r="G423" s="44">
        <f t="shared" si="330"/>
        <v>14490.770321667609</v>
      </c>
      <c r="H423" s="44">
        <f t="shared" si="330"/>
        <v>6613.6833980826541</v>
      </c>
      <c r="I423" s="44">
        <f t="shared" si="330"/>
        <v>1432.2328386316326</v>
      </c>
      <c r="J423" s="44">
        <f t="shared" si="338"/>
        <v>12219.886086261045</v>
      </c>
      <c r="K423" s="44">
        <f t="shared" si="338"/>
        <v>3678.1392021614015</v>
      </c>
      <c r="L423" s="44">
        <f t="shared" si="338"/>
        <v>448.56130997018772</v>
      </c>
      <c r="M423" s="44">
        <f t="shared" si="338"/>
        <v>1495.3808833651808</v>
      </c>
      <c r="N423" s="44">
        <f t="shared" si="338"/>
        <v>2830.3447579201638</v>
      </c>
      <c r="O423" s="44">
        <f t="shared" si="338"/>
        <v>5789.2081306613318</v>
      </c>
    </row>
    <row r="424" spans="1:15" x14ac:dyDescent="0.2">
      <c r="A424" s="38" t="s">
        <v>26</v>
      </c>
      <c r="D424" s="44">
        <f t="shared" si="330"/>
        <v>2667.7522852917527</v>
      </c>
      <c r="E424" s="44">
        <f t="shared" si="330"/>
        <v>6962.8439452424445</v>
      </c>
      <c r="F424" s="44">
        <f t="shared" si="330"/>
        <v>2986.5951571280643</v>
      </c>
      <c r="G424" s="44">
        <f t="shared" si="330"/>
        <v>400.390977913185</v>
      </c>
      <c r="H424" s="44">
        <f t="shared" si="330"/>
        <v>773.77796054740486</v>
      </c>
      <c r="I424" s="44">
        <f t="shared" si="330"/>
        <v>3290.3107908846378</v>
      </c>
      <c r="J424" s="44">
        <f t="shared" si="338"/>
        <v>5010.3074811124134</v>
      </c>
      <c r="K424" s="44">
        <f t="shared" si="338"/>
        <v>5124.6855156418596</v>
      </c>
      <c r="L424" s="44">
        <f t="shared" si="338"/>
        <v>702.61517097124943</v>
      </c>
      <c r="M424" s="44">
        <f t="shared" si="338"/>
        <v>6865.0830862738476</v>
      </c>
      <c r="N424" s="44">
        <f t="shared" si="338"/>
        <v>8343.2642094441926</v>
      </c>
      <c r="O424" s="44">
        <f t="shared" si="338"/>
        <v>10701.745633278457</v>
      </c>
    </row>
    <row r="425" spans="1:15" x14ac:dyDescent="0.2">
      <c r="A425" s="38" t="s">
        <v>27</v>
      </c>
      <c r="D425" s="44">
        <f t="shared" si="330"/>
        <v>1435.9986832564393</v>
      </c>
      <c r="E425" s="44">
        <f t="shared" si="330"/>
        <v>5713.1613752408412</v>
      </c>
      <c r="F425" s="44">
        <f t="shared" si="330"/>
        <v>2122.2101971819811</v>
      </c>
      <c r="G425" s="44">
        <f t="shared" si="330"/>
        <v>2834.471117868849</v>
      </c>
      <c r="H425" s="44">
        <f t="shared" si="330"/>
        <v>2613.545615304577</v>
      </c>
      <c r="I425" s="44">
        <f t="shared" si="330"/>
        <v>9593.947314523004</v>
      </c>
      <c r="J425" s="44">
        <f t="shared" si="338"/>
        <v>3711.8613379546382</v>
      </c>
      <c r="K425" s="44">
        <f t="shared" si="338"/>
        <v>1084.3592575588409</v>
      </c>
      <c r="L425" s="44">
        <f t="shared" si="338"/>
        <v>4705.5463258530845</v>
      </c>
      <c r="M425" s="44">
        <f t="shared" si="338"/>
        <v>2807.6474696898545</v>
      </c>
      <c r="N425" s="44">
        <f t="shared" si="338"/>
        <v>2460.4086531341281</v>
      </c>
      <c r="O425" s="44">
        <f t="shared" si="338"/>
        <v>4080.9841529607884</v>
      </c>
    </row>
    <row r="426" spans="1:15" x14ac:dyDescent="0.2">
      <c r="A426" s="38" t="s">
        <v>28</v>
      </c>
      <c r="D426" s="44">
        <f t="shared" si="330"/>
        <v>1451.9908540591407</v>
      </c>
      <c r="E426" s="44">
        <f t="shared" si="330"/>
        <v>1510.9924897803746</v>
      </c>
      <c r="F426" s="44">
        <f t="shared" si="330"/>
        <v>1213.545811406751</v>
      </c>
      <c r="G426" s="44">
        <f t="shared" si="330"/>
        <v>6402.8456684680932</v>
      </c>
      <c r="H426" s="44">
        <f t="shared" si="330"/>
        <v>3874.9541932364727</v>
      </c>
      <c r="I426" s="44">
        <f t="shared" si="330"/>
        <v>586.79951633959411</v>
      </c>
      <c r="J426" s="44">
        <f t="shared" si="338"/>
        <v>4167.3052798829067</v>
      </c>
      <c r="K426" s="44">
        <f t="shared" si="338"/>
        <v>3215.0922075889403</v>
      </c>
      <c r="L426" s="44">
        <f t="shared" si="338"/>
        <v>424.72136422601699</v>
      </c>
      <c r="M426" s="44">
        <f t="shared" si="338"/>
        <v>220.03423706762555</v>
      </c>
      <c r="N426" s="44">
        <f t="shared" si="338"/>
        <v>5729.2557190548714</v>
      </c>
      <c r="O426" s="44">
        <f t="shared" si="338"/>
        <v>6063.960677680152</v>
      </c>
    </row>
    <row r="427" spans="1:15" x14ac:dyDescent="0.2">
      <c r="A427" s="38" t="s">
        <v>29</v>
      </c>
      <c r="D427" s="44">
        <f t="shared" si="330"/>
        <v>1241.1348110612089</v>
      </c>
      <c r="E427" s="44">
        <f t="shared" si="330"/>
        <v>6366.5438508580255</v>
      </c>
      <c r="F427" s="44">
        <f t="shared" si="330"/>
        <v>3807.959249063606</v>
      </c>
      <c r="G427" s="44">
        <f t="shared" si="330"/>
        <v>219.47160708498885</v>
      </c>
      <c r="H427" s="44">
        <f t="shared" si="330"/>
        <v>5629.8711967985973</v>
      </c>
      <c r="I427" s="44">
        <f t="shared" si="330"/>
        <v>743.35661159306687</v>
      </c>
      <c r="J427" s="44">
        <f t="shared" si="338"/>
        <v>1680.6437583676843</v>
      </c>
      <c r="K427" s="44">
        <f t="shared" si="338"/>
        <v>10424.0886870754</v>
      </c>
      <c r="L427" s="44">
        <f t="shared" si="338"/>
        <v>2731.4945801156787</v>
      </c>
      <c r="M427" s="44">
        <f t="shared" si="338"/>
        <v>1822.0447132086861</v>
      </c>
      <c r="N427" s="44">
        <f t="shared" si="338"/>
        <v>6668.4903594126372</v>
      </c>
      <c r="O427" s="44">
        <f t="shared" si="338"/>
        <v>645.34109546475111</v>
      </c>
    </row>
    <row r="428" spans="1:15" x14ac:dyDescent="0.2">
      <c r="A428" s="38" t="s">
        <v>30</v>
      </c>
      <c r="D428" s="44">
        <f t="shared" si="330"/>
        <v>948.66426103720073</v>
      </c>
      <c r="E428" s="44">
        <f t="shared" si="330"/>
        <v>4182.6485588097757</v>
      </c>
      <c r="F428" s="44">
        <f t="shared" si="330"/>
        <v>1644.3467673748958</v>
      </c>
      <c r="G428" s="44">
        <f t="shared" si="330"/>
        <v>129.23016133942482</v>
      </c>
      <c r="H428" s="44">
        <f t="shared" si="330"/>
        <v>11822.124091358595</v>
      </c>
      <c r="I428" s="44">
        <f t="shared" si="330"/>
        <v>13843.87865757365</v>
      </c>
      <c r="J428" s="44">
        <f t="shared" si="338"/>
        <v>1249.543295515027</v>
      </c>
      <c r="K428" s="44">
        <f t="shared" si="338"/>
        <v>186.19360196283256</v>
      </c>
      <c r="L428" s="44">
        <f t="shared" si="338"/>
        <v>1134.3867724402301</v>
      </c>
      <c r="M428" s="44">
        <f t="shared" si="338"/>
        <v>4206.3005725433231</v>
      </c>
      <c r="N428" s="44">
        <f t="shared" si="338"/>
        <v>7029.0092022393846</v>
      </c>
      <c r="O428" s="44">
        <f t="shared" si="338"/>
        <v>1614.2307776857895</v>
      </c>
    </row>
    <row r="429" spans="1:15" x14ac:dyDescent="0.2">
      <c r="A429" s="38" t="s">
        <v>31</v>
      </c>
      <c r="D429" s="44">
        <f t="shared" si="330"/>
        <v>4539.8030406094613</v>
      </c>
      <c r="E429" s="44">
        <f t="shared" si="330"/>
        <v>2101.4810719891807</v>
      </c>
      <c r="F429" s="44">
        <f t="shared" si="330"/>
        <v>172.5136199719386</v>
      </c>
      <c r="G429" s="44">
        <f t="shared" si="330"/>
        <v>2108.8923926036318</v>
      </c>
      <c r="H429" s="44">
        <f t="shared" si="330"/>
        <v>469.60864361357699</v>
      </c>
      <c r="I429" s="44">
        <f t="shared" si="330"/>
        <v>1529.8428546050616</v>
      </c>
      <c r="J429" s="44">
        <f t="shared" si="338"/>
        <v>8418.328608966418</v>
      </c>
      <c r="K429" s="44">
        <f t="shared" si="338"/>
        <v>934.26915191395835</v>
      </c>
      <c r="L429" s="44">
        <f t="shared" si="338"/>
        <v>2932.0628347498618</v>
      </c>
      <c r="M429" s="44">
        <f t="shared" si="338"/>
        <v>1820.5413663852366</v>
      </c>
      <c r="N429" s="44">
        <f t="shared" si="338"/>
        <v>7266.8656963282019</v>
      </c>
      <c r="O429" s="44">
        <f t="shared" si="338"/>
        <v>462.873401945826</v>
      </c>
    </row>
    <row r="430" spans="1:15" x14ac:dyDescent="0.2">
      <c r="A430" s="38" t="s">
        <v>32</v>
      </c>
      <c r="D430" s="44">
        <f t="shared" si="330"/>
        <v>32.77445174536161</v>
      </c>
      <c r="E430" s="44">
        <f t="shared" si="330"/>
        <v>760.53772106054623</v>
      </c>
      <c r="F430" s="44">
        <f t="shared" si="330"/>
        <v>7944.5336807979429</v>
      </c>
      <c r="G430" s="44">
        <f t="shared" si="330"/>
        <v>4550.0712100184592</v>
      </c>
      <c r="H430" s="44">
        <f t="shared" si="330"/>
        <v>6373.9072791243198</v>
      </c>
      <c r="I430" s="44">
        <f t="shared" si="330"/>
        <v>5581.8385891599155</v>
      </c>
      <c r="J430" s="44">
        <f t="shared" si="338"/>
        <v>750.67533959730304</v>
      </c>
      <c r="K430" s="44">
        <f t="shared" si="338"/>
        <v>2335.3788698845847</v>
      </c>
      <c r="L430" s="44">
        <f t="shared" si="338"/>
        <v>961.02730196299785</v>
      </c>
      <c r="M430" s="44">
        <f t="shared" si="338"/>
        <v>7549.9678176908183</v>
      </c>
      <c r="N430" s="44">
        <f t="shared" si="338"/>
        <v>3034.5822493238215</v>
      </c>
      <c r="O430" s="44">
        <f t="shared" si="338"/>
        <v>3503.29280958852</v>
      </c>
    </row>
    <row r="431" spans="1:15" x14ac:dyDescent="0.2">
      <c r="A431" s="38" t="s">
        <v>33</v>
      </c>
      <c r="D431" s="44">
        <f t="shared" si="330"/>
        <v>1691.5298563753333</v>
      </c>
      <c r="E431" s="44">
        <f t="shared" si="330"/>
        <v>1263.3387548042399</v>
      </c>
      <c r="F431" s="44">
        <f t="shared" si="330"/>
        <v>246.10419175711209</v>
      </c>
      <c r="G431" s="44">
        <f t="shared" si="330"/>
        <v>3576.3199569073745</v>
      </c>
      <c r="H431" s="44">
        <f t="shared" si="330"/>
        <v>11308.326997425287</v>
      </c>
      <c r="I431" s="44">
        <f t="shared" si="330"/>
        <v>1994.4585401997354</v>
      </c>
      <c r="J431" s="44">
        <f t="shared" si="338"/>
        <v>2457.5396512644393</v>
      </c>
      <c r="K431" s="44">
        <f t="shared" si="338"/>
        <v>1001.9759107605789</v>
      </c>
      <c r="L431" s="44">
        <f t="shared" si="338"/>
        <v>514.53907083587364</v>
      </c>
      <c r="M431" s="44">
        <f t="shared" si="338"/>
        <v>1138.9038455956249</v>
      </c>
      <c r="N431" s="44">
        <f t="shared" si="338"/>
        <v>2348.0396756583536</v>
      </c>
      <c r="O431" s="44">
        <f t="shared" si="338"/>
        <v>276.20740367400259</v>
      </c>
    </row>
    <row r="432" spans="1:15" x14ac:dyDescent="0.2">
      <c r="A432" s="38" t="s">
        <v>34</v>
      </c>
      <c r="D432" s="44">
        <f t="shared" si="330"/>
        <v>1066.7744310219346</v>
      </c>
      <c r="E432" s="44">
        <f t="shared" si="330"/>
        <v>3757.181364026861</v>
      </c>
      <c r="F432" s="44">
        <f t="shared" si="330"/>
        <v>2467.9191484694202</v>
      </c>
      <c r="G432" s="44">
        <f t="shared" si="330"/>
        <v>1300.2441546927764</v>
      </c>
      <c r="H432" s="44">
        <f t="shared" si="330"/>
        <v>6421.1683926457645</v>
      </c>
      <c r="I432" s="44">
        <f t="shared" si="330"/>
        <v>12316.293186357847</v>
      </c>
      <c r="J432" s="44">
        <f t="shared" ref="J432:O442" si="353">J40*J236</f>
        <v>2331.5440260473392</v>
      </c>
      <c r="K432" s="44">
        <f t="shared" si="353"/>
        <v>3202.0825273490482</v>
      </c>
      <c r="L432" s="44">
        <f t="shared" si="353"/>
        <v>4249.9123995232139</v>
      </c>
      <c r="M432" s="44">
        <f t="shared" si="353"/>
        <v>3007.2168351862638</v>
      </c>
      <c r="N432" s="44">
        <f t="shared" si="353"/>
        <v>819.67445956230245</v>
      </c>
      <c r="O432" s="44">
        <f t="shared" si="353"/>
        <v>1707.5847720323914</v>
      </c>
    </row>
    <row r="433" spans="1:15" x14ac:dyDescent="0.2">
      <c r="A433" s="37" t="s">
        <v>35</v>
      </c>
      <c r="D433" s="46">
        <f>SUM(D434:D443)</f>
        <v>56836.795104169185</v>
      </c>
      <c r="E433" s="46">
        <f t="shared" ref="E433:I433" si="354">SUM(E434:E443)</f>
        <v>91068.132725866919</v>
      </c>
      <c r="F433" s="46">
        <f t="shared" si="354"/>
        <v>47383.400959750878</v>
      </c>
      <c r="G433" s="46">
        <f t="shared" si="354"/>
        <v>70372.97397394474</v>
      </c>
      <c r="H433" s="46">
        <f t="shared" si="354"/>
        <v>121471.27912195765</v>
      </c>
      <c r="I433" s="46">
        <f t="shared" si="354"/>
        <v>89733.471739115717</v>
      </c>
      <c r="J433" s="46">
        <f t="shared" ref="J433" si="355">SUM(J434:J443)</f>
        <v>65566.428016583901</v>
      </c>
      <c r="K433" s="46">
        <f t="shared" ref="K433" si="356">SUM(K434:K443)</f>
        <v>87099.766767560533</v>
      </c>
      <c r="L433" s="46">
        <f t="shared" ref="L433" si="357">SUM(L434:L443)</f>
        <v>79771.694545125574</v>
      </c>
      <c r="M433" s="46">
        <f t="shared" ref="M433" si="358">SUM(M434:M443)</f>
        <v>72955.592079011301</v>
      </c>
      <c r="N433" s="46">
        <f t="shared" ref="N433" si="359">SUM(N434:N443)</f>
        <v>97297.064155504224</v>
      </c>
      <c r="O433" s="46">
        <f t="shared" ref="O433" si="360">SUM(O434:O443)</f>
        <v>95416.476433395233</v>
      </c>
    </row>
    <row r="434" spans="1:15" x14ac:dyDescent="0.2">
      <c r="A434" s="38" t="s">
        <v>25</v>
      </c>
      <c r="D434" s="44">
        <f t="shared" si="330"/>
        <v>17097.92162989296</v>
      </c>
      <c r="E434" s="44">
        <f t="shared" si="330"/>
        <v>10135.317552064242</v>
      </c>
      <c r="F434" s="44">
        <f t="shared" si="330"/>
        <v>4266.8385800893311</v>
      </c>
      <c r="G434" s="44">
        <f t="shared" si="330"/>
        <v>1330.8587491495259</v>
      </c>
      <c r="H434" s="44">
        <f t="shared" si="330"/>
        <v>10626.52453382593</v>
      </c>
      <c r="I434" s="44">
        <f t="shared" si="330"/>
        <v>14273.204108874877</v>
      </c>
      <c r="J434" s="44">
        <f t="shared" si="353"/>
        <v>5650.8392063014862</v>
      </c>
      <c r="K434" s="44">
        <f t="shared" si="353"/>
        <v>327.65072632989541</v>
      </c>
      <c r="L434" s="44">
        <f t="shared" si="353"/>
        <v>15766.944079204897</v>
      </c>
      <c r="M434" s="44">
        <f t="shared" si="353"/>
        <v>8146.3067264607816</v>
      </c>
      <c r="N434" s="44">
        <f t="shared" si="353"/>
        <v>19820.2330056217</v>
      </c>
      <c r="O434" s="44">
        <f t="shared" si="353"/>
        <v>14453.380677930392</v>
      </c>
    </row>
    <row r="435" spans="1:15" x14ac:dyDescent="0.2">
      <c r="A435" s="38" t="s">
        <v>26</v>
      </c>
      <c r="D435" s="44">
        <f t="shared" si="330"/>
        <v>5316.9091403099037</v>
      </c>
      <c r="E435" s="44">
        <f t="shared" si="330"/>
        <v>17602.931394041614</v>
      </c>
      <c r="F435" s="44">
        <f t="shared" si="330"/>
        <v>4863.2715967387958</v>
      </c>
      <c r="G435" s="44">
        <f t="shared" si="330"/>
        <v>6672.974317821865</v>
      </c>
      <c r="H435" s="44">
        <f t="shared" si="330"/>
        <v>1896.5047802155664</v>
      </c>
      <c r="I435" s="44">
        <f t="shared" si="330"/>
        <v>24793.403187849541</v>
      </c>
      <c r="J435" s="44">
        <f t="shared" si="353"/>
        <v>18.81112279203624</v>
      </c>
      <c r="K435" s="44">
        <f t="shared" si="353"/>
        <v>2849.0666458283122</v>
      </c>
      <c r="L435" s="44">
        <f t="shared" si="353"/>
        <v>4647.0020991899837</v>
      </c>
      <c r="M435" s="44">
        <f t="shared" si="353"/>
        <v>11710.749072092653</v>
      </c>
      <c r="N435" s="44">
        <f t="shared" si="353"/>
        <v>21107.014441756713</v>
      </c>
      <c r="O435" s="44">
        <f t="shared" si="353"/>
        <v>11664.787460710959</v>
      </c>
    </row>
    <row r="436" spans="1:15" x14ac:dyDescent="0.2">
      <c r="A436" s="38" t="s">
        <v>27</v>
      </c>
      <c r="D436" s="44">
        <f t="shared" si="330"/>
        <v>9215.8147160434673</v>
      </c>
      <c r="E436" s="44">
        <f t="shared" si="330"/>
        <v>2289.5869904831816</v>
      </c>
      <c r="F436" s="44">
        <f t="shared" si="330"/>
        <v>10325.704347894089</v>
      </c>
      <c r="G436" s="44">
        <f t="shared" si="330"/>
        <v>5941.2744576470914</v>
      </c>
      <c r="H436" s="44">
        <f t="shared" si="330"/>
        <v>1504.4498010763866</v>
      </c>
      <c r="I436" s="44">
        <f t="shared" si="330"/>
        <v>7175.1585429793995</v>
      </c>
      <c r="J436" s="44">
        <f t="shared" si="353"/>
        <v>2237.6063865499982</v>
      </c>
      <c r="K436" s="44">
        <f t="shared" si="353"/>
        <v>17504.904683120323</v>
      </c>
      <c r="L436" s="44">
        <f t="shared" si="353"/>
        <v>1660.6580977551946</v>
      </c>
      <c r="M436" s="44">
        <f t="shared" si="353"/>
        <v>4756.3492721904749</v>
      </c>
      <c r="N436" s="44">
        <f t="shared" si="353"/>
        <v>2700.9661846895979</v>
      </c>
      <c r="O436" s="44">
        <f t="shared" si="353"/>
        <v>9429.0804497226745</v>
      </c>
    </row>
    <row r="437" spans="1:15" x14ac:dyDescent="0.2">
      <c r="A437" s="38" t="s">
        <v>28</v>
      </c>
      <c r="D437" s="44">
        <f t="shared" si="330"/>
        <v>3876.7798783845938</v>
      </c>
      <c r="E437" s="44">
        <f t="shared" si="330"/>
        <v>1545.632744153464</v>
      </c>
      <c r="F437" s="44">
        <f t="shared" si="330"/>
        <v>1283.1659021274652</v>
      </c>
      <c r="G437" s="44">
        <f t="shared" si="330"/>
        <v>13956.520905792062</v>
      </c>
      <c r="H437" s="44">
        <f t="shared" si="330"/>
        <v>20062.051391321813</v>
      </c>
      <c r="I437" s="44">
        <f t="shared" si="330"/>
        <v>1780.3087071675518</v>
      </c>
      <c r="J437" s="44">
        <f t="shared" si="353"/>
        <v>13942.960569145944</v>
      </c>
      <c r="K437" s="44">
        <f t="shared" si="353"/>
        <v>2973.9628315406985</v>
      </c>
      <c r="L437" s="44">
        <f t="shared" si="353"/>
        <v>10994.83576090363</v>
      </c>
      <c r="M437" s="44">
        <f t="shared" si="353"/>
        <v>1182.4013948264155</v>
      </c>
      <c r="N437" s="44">
        <f t="shared" si="353"/>
        <v>7919.5456785078113</v>
      </c>
      <c r="O437" s="44">
        <f t="shared" si="353"/>
        <v>761.82664291100127</v>
      </c>
    </row>
    <row r="438" spans="1:15" x14ac:dyDescent="0.2">
      <c r="A438" s="38" t="s">
        <v>29</v>
      </c>
      <c r="D438" s="44">
        <f t="shared" si="330"/>
        <v>4319.2482846738958</v>
      </c>
      <c r="E438" s="44">
        <f t="shared" si="330"/>
        <v>12849.544557157107</v>
      </c>
      <c r="F438" s="44">
        <f t="shared" si="330"/>
        <v>8067.9610667364086</v>
      </c>
      <c r="G438" s="44">
        <f t="shared" si="330"/>
        <v>5065.4711619210811</v>
      </c>
      <c r="H438" s="44">
        <f t="shared" si="330"/>
        <v>2902.5888634006164</v>
      </c>
      <c r="I438" s="44">
        <f t="shared" si="330"/>
        <v>3335.3442058904752</v>
      </c>
      <c r="J438" s="44">
        <f t="shared" si="353"/>
        <v>12101.675210519557</v>
      </c>
      <c r="K438" s="44">
        <f t="shared" si="353"/>
        <v>15941.824739212243</v>
      </c>
      <c r="L438" s="44">
        <f t="shared" si="353"/>
        <v>14136.387921544247</v>
      </c>
      <c r="M438" s="44">
        <f t="shared" si="353"/>
        <v>2802.247346981766</v>
      </c>
      <c r="N438" s="44">
        <f t="shared" si="353"/>
        <v>2365.9372076593841</v>
      </c>
      <c r="O438" s="44">
        <f t="shared" si="353"/>
        <v>8394.0450805185355</v>
      </c>
    </row>
    <row r="439" spans="1:15" x14ac:dyDescent="0.2">
      <c r="A439" s="38" t="s">
        <v>30</v>
      </c>
      <c r="D439" s="44">
        <f t="shared" si="330"/>
        <v>6038.9051597272446</v>
      </c>
      <c r="E439" s="44">
        <f t="shared" si="330"/>
        <v>4394.9560096976757</v>
      </c>
      <c r="F439" s="44">
        <f t="shared" si="330"/>
        <v>1930.5595109032058</v>
      </c>
      <c r="G439" s="44">
        <f t="shared" si="330"/>
        <v>19715.936651358374</v>
      </c>
      <c r="H439" s="44">
        <f t="shared" si="330"/>
        <v>28478.243952479777</v>
      </c>
      <c r="I439" s="44">
        <f t="shared" si="330"/>
        <v>6633.603216586509</v>
      </c>
      <c r="J439" s="44">
        <f t="shared" si="353"/>
        <v>5151.2968192250783</v>
      </c>
      <c r="K439" s="44">
        <f t="shared" si="353"/>
        <v>16526.499472302403</v>
      </c>
      <c r="L439" s="44">
        <f t="shared" si="353"/>
        <v>6407.4437568499206</v>
      </c>
      <c r="M439" s="44">
        <f t="shared" si="353"/>
        <v>7939.1707871906365</v>
      </c>
      <c r="N439" s="44">
        <f t="shared" si="353"/>
        <v>3214.4607625837052</v>
      </c>
      <c r="O439" s="44">
        <f t="shared" si="353"/>
        <v>4557.3017607454722</v>
      </c>
    </row>
    <row r="440" spans="1:15" x14ac:dyDescent="0.2">
      <c r="A440" s="38" t="s">
        <v>31</v>
      </c>
      <c r="D440" s="44">
        <f t="shared" si="330"/>
        <v>2131.0041392969615</v>
      </c>
      <c r="E440" s="44">
        <f t="shared" si="330"/>
        <v>4458.1855653936464</v>
      </c>
      <c r="F440" s="44">
        <f t="shared" si="330"/>
        <v>3449.0257054955941</v>
      </c>
      <c r="G440" s="44">
        <f t="shared" si="330"/>
        <v>6246.2085020634468</v>
      </c>
      <c r="H440" s="44">
        <f t="shared" si="330"/>
        <v>21204.378117040917</v>
      </c>
      <c r="I440" s="44">
        <f t="shared" si="330"/>
        <v>6147.0456335655399</v>
      </c>
      <c r="J440" s="44">
        <f t="shared" si="353"/>
        <v>18254.729166840898</v>
      </c>
      <c r="K440" s="44">
        <f t="shared" si="353"/>
        <v>6291.2780125498803</v>
      </c>
      <c r="L440" s="44">
        <f t="shared" si="353"/>
        <v>13101.041540790366</v>
      </c>
      <c r="M440" s="44">
        <f t="shared" si="353"/>
        <v>11930.936125632717</v>
      </c>
      <c r="N440" s="44">
        <f t="shared" si="353"/>
        <v>10861.053946459444</v>
      </c>
      <c r="O440" s="44">
        <f t="shared" si="353"/>
        <v>9583.6603059593126</v>
      </c>
    </row>
    <row r="441" spans="1:15" x14ac:dyDescent="0.2">
      <c r="A441" s="38" t="s">
        <v>32</v>
      </c>
      <c r="D441" s="44">
        <f t="shared" si="330"/>
        <v>3408.0863401349366</v>
      </c>
      <c r="E441" s="44">
        <f t="shared" si="330"/>
        <v>11353.559623342047</v>
      </c>
      <c r="F441" s="44">
        <f t="shared" si="330"/>
        <v>1282.455602369075</v>
      </c>
      <c r="G441" s="44">
        <f t="shared" si="330"/>
        <v>2329.1731936861938</v>
      </c>
      <c r="H441" s="44">
        <f t="shared" si="330"/>
        <v>9300.8133347522398</v>
      </c>
      <c r="I441" s="44">
        <f t="shared" si="330"/>
        <v>3.511216998590164</v>
      </c>
      <c r="J441" s="44">
        <f t="shared" si="353"/>
        <v>5615.2504574806326</v>
      </c>
      <c r="K441" s="44">
        <f t="shared" si="353"/>
        <v>1049.8666699374348</v>
      </c>
      <c r="L441" s="44">
        <f t="shared" si="353"/>
        <v>6520.0870538633671</v>
      </c>
      <c r="M441" s="44">
        <f t="shared" si="353"/>
        <v>8875.6574213831045</v>
      </c>
      <c r="N441" s="44">
        <f t="shared" si="353"/>
        <v>6086.5089575281163</v>
      </c>
      <c r="O441" s="44">
        <f t="shared" si="353"/>
        <v>11062.163352480084</v>
      </c>
    </row>
    <row r="442" spans="1:15" x14ac:dyDescent="0.2">
      <c r="A442" s="38" t="s">
        <v>33</v>
      </c>
      <c r="D442" s="44">
        <f t="shared" si="330"/>
        <v>3146.6140295158971</v>
      </c>
      <c r="E442" s="44">
        <f t="shared" si="330"/>
        <v>5964.117421752574</v>
      </c>
      <c r="F442" s="44">
        <f t="shared" si="330"/>
        <v>7673.3598697914758</v>
      </c>
      <c r="G442" s="44">
        <f t="shared" si="330"/>
        <v>6848.2713883980914</v>
      </c>
      <c r="H442" s="44">
        <f t="shared" si="330"/>
        <v>2571.9357029557973</v>
      </c>
      <c r="I442" s="44">
        <f t="shared" si="330"/>
        <v>9343.3961501710382</v>
      </c>
      <c r="J442" s="44">
        <f t="shared" si="353"/>
        <v>452.42909908879363</v>
      </c>
      <c r="K442" s="44">
        <f t="shared" si="353"/>
        <v>4538.9143590851945</v>
      </c>
      <c r="L442" s="44">
        <f t="shared" si="353"/>
        <v>3471.9192674748738</v>
      </c>
      <c r="M442" s="44">
        <f t="shared" si="353"/>
        <v>14645.539980268764</v>
      </c>
      <c r="N442" s="44">
        <f t="shared" si="353"/>
        <v>2390.8789511544678</v>
      </c>
      <c r="O442" s="44">
        <f t="shared" si="353"/>
        <v>7211.8119033332096</v>
      </c>
    </row>
    <row r="443" spans="1:15" x14ac:dyDescent="0.2">
      <c r="A443" s="38" t="s">
        <v>34</v>
      </c>
      <c r="D443" s="44">
        <f t="shared" si="330"/>
        <v>2285.5117861893409</v>
      </c>
      <c r="E443" s="44">
        <f t="shared" si="330"/>
        <v>20474.300867781381</v>
      </c>
      <c r="F443" s="44">
        <f t="shared" ref="E443:I457" si="361">F51*F247</f>
        <v>4241.0587776054408</v>
      </c>
      <c r="G443" s="44">
        <f t="shared" si="361"/>
        <v>2266.2846461070194</v>
      </c>
      <c r="H443" s="44">
        <f t="shared" si="361"/>
        <v>22923.788644888598</v>
      </c>
      <c r="I443" s="44">
        <f t="shared" si="361"/>
        <v>16248.496769032199</v>
      </c>
      <c r="J443" s="44">
        <f t="shared" ref="J443:O443" si="362">J51*J247</f>
        <v>2140.8299786394732</v>
      </c>
      <c r="K443" s="44">
        <f t="shared" si="362"/>
        <v>19095.798627654152</v>
      </c>
      <c r="L443" s="44">
        <f t="shared" si="362"/>
        <v>3065.3749675490944</v>
      </c>
      <c r="M443" s="44">
        <f t="shared" si="362"/>
        <v>966.23395198398839</v>
      </c>
      <c r="N443" s="44">
        <f t="shared" si="362"/>
        <v>20830.465019543277</v>
      </c>
      <c r="O443" s="44">
        <f t="shared" si="362"/>
        <v>18298.418799083593</v>
      </c>
    </row>
    <row r="444" spans="1:15" x14ac:dyDescent="0.2">
      <c r="A444" s="38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</row>
    <row r="445" spans="1:15" x14ac:dyDescent="0.2">
      <c r="A445" s="3" t="s">
        <v>37</v>
      </c>
      <c r="B445" s="3"/>
      <c r="C445" s="3"/>
      <c r="D445" s="43">
        <f>D446+D469</f>
        <v>261221.26617994494</v>
      </c>
      <c r="E445" s="43">
        <f t="shared" ref="E445:I445" si="363">E446+E469</f>
        <v>284289.88573314162</v>
      </c>
      <c r="F445" s="43">
        <f t="shared" si="363"/>
        <v>412814.54530536407</v>
      </c>
      <c r="G445" s="43">
        <f t="shared" si="363"/>
        <v>350779.48672460165</v>
      </c>
      <c r="H445" s="43">
        <f t="shared" si="363"/>
        <v>354784.10619539523</v>
      </c>
      <c r="I445" s="43">
        <f t="shared" si="363"/>
        <v>273564.84300523502</v>
      </c>
      <c r="J445" s="43">
        <f t="shared" ref="J445" si="364">J446+J469</f>
        <v>301083.52095877274</v>
      </c>
      <c r="K445" s="43">
        <f t="shared" ref="K445" si="365">K446+K469</f>
        <v>355022.99628962844</v>
      </c>
      <c r="L445" s="43">
        <f t="shared" ref="L445" si="366">L446+L469</f>
        <v>342506.51175403438</v>
      </c>
      <c r="M445" s="43">
        <f t="shared" ref="M445" si="367">M446+M469</f>
        <v>421055.7894838521</v>
      </c>
      <c r="N445" s="43">
        <f t="shared" ref="N445" si="368">N446+N469</f>
        <v>358608.31072983827</v>
      </c>
      <c r="O445" s="43">
        <f t="shared" ref="O445" si="369">O446+O469</f>
        <v>249222.58690599687</v>
      </c>
    </row>
    <row r="446" spans="1:15" x14ac:dyDescent="0.2">
      <c r="A446" s="4" t="s">
        <v>23</v>
      </c>
      <c r="B446" s="4"/>
      <c r="C446" s="4"/>
      <c r="D446" s="45">
        <f>D447+D458</f>
        <v>113550.84116580323</v>
      </c>
      <c r="E446" s="45">
        <f t="shared" ref="E446:I446" si="370">E447+E458</f>
        <v>123640.47858947031</v>
      </c>
      <c r="F446" s="45">
        <f t="shared" si="370"/>
        <v>158801.83780205972</v>
      </c>
      <c r="G446" s="45">
        <f t="shared" si="370"/>
        <v>133639.10143439152</v>
      </c>
      <c r="H446" s="45">
        <f t="shared" si="370"/>
        <v>125979.13073331573</v>
      </c>
      <c r="I446" s="45">
        <f t="shared" si="370"/>
        <v>95225.580527951854</v>
      </c>
      <c r="J446" s="45">
        <f t="shared" ref="J446" si="371">J447+J458</f>
        <v>136981.84269212774</v>
      </c>
      <c r="K446" s="45">
        <f t="shared" ref="K446" si="372">K447+K458</f>
        <v>135407.57738274502</v>
      </c>
      <c r="L446" s="45">
        <f t="shared" ref="L446" si="373">L447+L458</f>
        <v>129659.41713539668</v>
      </c>
      <c r="M446" s="45">
        <f t="shared" ref="M446" si="374">M447+M458</f>
        <v>178013.31713998251</v>
      </c>
      <c r="N446" s="45">
        <f t="shared" ref="N446" si="375">N447+N458</f>
        <v>117697.19115331578</v>
      </c>
      <c r="O446" s="45">
        <f t="shared" ref="O446" si="376">O447+O458</f>
        <v>102468.99364864192</v>
      </c>
    </row>
    <row r="447" spans="1:15" x14ac:dyDescent="0.2">
      <c r="A447" s="37" t="s">
        <v>24</v>
      </c>
      <c r="D447" s="46">
        <f>SUM(D448:D457)</f>
        <v>24810.656598902868</v>
      </c>
      <c r="E447" s="46">
        <f t="shared" ref="E447:I447" si="377">SUM(E448:E457)</f>
        <v>42524.494492234822</v>
      </c>
      <c r="F447" s="46">
        <f t="shared" si="377"/>
        <v>53294.563480712459</v>
      </c>
      <c r="G447" s="46">
        <f t="shared" si="377"/>
        <v>23459.749363736973</v>
      </c>
      <c r="H447" s="46">
        <f t="shared" si="377"/>
        <v>46411.734679402827</v>
      </c>
      <c r="I447" s="46">
        <f t="shared" si="377"/>
        <v>30802.548093213863</v>
      </c>
      <c r="J447" s="46">
        <f t="shared" ref="J447" si="378">SUM(J448:J457)</f>
        <v>43012.543614656854</v>
      </c>
      <c r="K447" s="46">
        <f t="shared" ref="K447" si="379">SUM(K448:K457)</f>
        <v>43154.994102732024</v>
      </c>
      <c r="L447" s="46">
        <f t="shared" ref="L447" si="380">SUM(L448:L457)</f>
        <v>32085.567489451849</v>
      </c>
      <c r="M447" s="46">
        <f t="shared" ref="M447" si="381">SUM(M448:M457)</f>
        <v>56139.633569672289</v>
      </c>
      <c r="N447" s="46">
        <f t="shared" ref="N447" si="382">SUM(N448:N457)</f>
        <v>32651.089380580612</v>
      </c>
      <c r="O447" s="46">
        <f t="shared" ref="O447" si="383">SUM(O448:O457)</f>
        <v>46453.593011828365</v>
      </c>
    </row>
    <row r="448" spans="1:15" x14ac:dyDescent="0.2">
      <c r="A448" s="38" t="s">
        <v>25</v>
      </c>
      <c r="D448" s="44">
        <f t="shared" si="330"/>
        <v>2214.3792952751505</v>
      </c>
      <c r="E448" s="44">
        <f t="shared" si="361"/>
        <v>31.687787897716614</v>
      </c>
      <c r="F448" s="44">
        <f t="shared" si="361"/>
        <v>3604.1789343392093</v>
      </c>
      <c r="G448" s="44">
        <f t="shared" si="361"/>
        <v>2983.2348241304094</v>
      </c>
      <c r="H448" s="44">
        <f t="shared" si="361"/>
        <v>2746.5002961101595</v>
      </c>
      <c r="I448" s="44">
        <f t="shared" si="361"/>
        <v>501.15091924289158</v>
      </c>
      <c r="J448" s="44">
        <f t="shared" ref="J448:O448" si="384">J56*J252</f>
        <v>1064.6963712582919</v>
      </c>
      <c r="K448" s="44">
        <f t="shared" si="384"/>
        <v>2791.0587752502524</v>
      </c>
      <c r="L448" s="44">
        <f t="shared" si="384"/>
        <v>1773.2475433844008</v>
      </c>
      <c r="M448" s="44">
        <f t="shared" si="384"/>
        <v>1140.4421965554309</v>
      </c>
      <c r="N448" s="44">
        <f t="shared" si="384"/>
        <v>2405.8219132006848</v>
      </c>
      <c r="O448" s="44">
        <f t="shared" si="384"/>
        <v>6475.0724959993813</v>
      </c>
    </row>
    <row r="449" spans="1:15" x14ac:dyDescent="0.2">
      <c r="A449" s="38" t="s">
        <v>26</v>
      </c>
      <c r="D449" s="44">
        <f t="shared" si="330"/>
        <v>6227.1933783496279</v>
      </c>
      <c r="E449" s="44">
        <f t="shared" si="361"/>
        <v>4352.6201296697445</v>
      </c>
      <c r="F449" s="44">
        <f t="shared" si="361"/>
        <v>4689.2294976120602</v>
      </c>
      <c r="G449" s="44">
        <f t="shared" si="361"/>
        <v>1337.5195291255211</v>
      </c>
      <c r="H449" s="44">
        <f t="shared" si="361"/>
        <v>7079.2607950173169</v>
      </c>
      <c r="I449" s="44">
        <f t="shared" si="361"/>
        <v>279.56603891004886</v>
      </c>
      <c r="J449" s="44">
        <f t="shared" ref="J449:O449" si="385">J57*J253</f>
        <v>7819.5048508881318</v>
      </c>
      <c r="K449" s="44">
        <f t="shared" si="385"/>
        <v>1738.0048258598595</v>
      </c>
      <c r="L449" s="44">
        <f t="shared" si="385"/>
        <v>1821.3458309480397</v>
      </c>
      <c r="M449" s="44">
        <f t="shared" si="385"/>
        <v>838.16554315550525</v>
      </c>
      <c r="N449" s="44">
        <f t="shared" si="385"/>
        <v>5063.2829771559955</v>
      </c>
      <c r="O449" s="44">
        <f t="shared" si="385"/>
        <v>4056.1889896302278</v>
      </c>
    </row>
    <row r="450" spans="1:15" x14ac:dyDescent="0.2">
      <c r="A450" s="38" t="s">
        <v>27</v>
      </c>
      <c r="D450" s="44">
        <f t="shared" si="330"/>
        <v>433.12880765467389</v>
      </c>
      <c r="E450" s="44">
        <f t="shared" si="361"/>
        <v>13841.871540720906</v>
      </c>
      <c r="F450" s="44">
        <f t="shared" si="361"/>
        <v>4098.6174356575411</v>
      </c>
      <c r="G450" s="44">
        <f t="shared" si="361"/>
        <v>2719.2207540806221</v>
      </c>
      <c r="H450" s="44">
        <f t="shared" si="361"/>
        <v>2579.3289607846309</v>
      </c>
      <c r="I450" s="44">
        <f t="shared" si="361"/>
        <v>5729.9012113713297</v>
      </c>
      <c r="J450" s="44">
        <f t="shared" ref="J450:O450" si="386">J58*J254</f>
        <v>304.31527257496242</v>
      </c>
      <c r="K450" s="44">
        <f t="shared" si="386"/>
        <v>1127.8804983819177</v>
      </c>
      <c r="L450" s="44">
        <f t="shared" si="386"/>
        <v>57.378760159402809</v>
      </c>
      <c r="M450" s="44">
        <f t="shared" si="386"/>
        <v>5073.710711668341</v>
      </c>
      <c r="N450" s="44">
        <f t="shared" si="386"/>
        <v>5595.1865501043367</v>
      </c>
      <c r="O450" s="44">
        <f t="shared" si="386"/>
        <v>1387.1847151231923</v>
      </c>
    </row>
    <row r="451" spans="1:15" x14ac:dyDescent="0.2">
      <c r="A451" s="38" t="s">
        <v>28</v>
      </c>
      <c r="D451" s="44">
        <f t="shared" si="330"/>
        <v>1090.0354472566823</v>
      </c>
      <c r="E451" s="44">
        <f t="shared" si="361"/>
        <v>620.925723919858</v>
      </c>
      <c r="F451" s="44">
        <f t="shared" si="361"/>
        <v>4711.7645651937073</v>
      </c>
      <c r="G451" s="44">
        <f t="shared" si="361"/>
        <v>2296.1512436459393</v>
      </c>
      <c r="H451" s="44">
        <f t="shared" si="361"/>
        <v>2885.5262542085966</v>
      </c>
      <c r="I451" s="44">
        <f t="shared" si="361"/>
        <v>1387.5921745207957</v>
      </c>
      <c r="J451" s="44">
        <f t="shared" ref="J451:O451" si="387">J59*J255</f>
        <v>4225.5665029507045</v>
      </c>
      <c r="K451" s="44">
        <f t="shared" si="387"/>
        <v>6205.1484513469532</v>
      </c>
      <c r="L451" s="44">
        <f t="shared" si="387"/>
        <v>1120.1463028259589</v>
      </c>
      <c r="M451" s="44">
        <f t="shared" si="387"/>
        <v>15925.705305843132</v>
      </c>
      <c r="N451" s="44">
        <f t="shared" si="387"/>
        <v>705.90622903129076</v>
      </c>
      <c r="O451" s="44">
        <f t="shared" si="387"/>
        <v>793.63486990908905</v>
      </c>
    </row>
    <row r="452" spans="1:15" x14ac:dyDescent="0.2">
      <c r="A452" s="38" t="s">
        <v>29</v>
      </c>
      <c r="D452" s="44">
        <f t="shared" si="330"/>
        <v>1573.0505306281548</v>
      </c>
      <c r="E452" s="44">
        <f t="shared" si="361"/>
        <v>16367.37967605608</v>
      </c>
      <c r="F452" s="44">
        <f t="shared" si="361"/>
        <v>8789.6080289377423</v>
      </c>
      <c r="G452" s="44">
        <f t="shared" si="361"/>
        <v>3256.6312684343529</v>
      </c>
      <c r="H452" s="44">
        <f t="shared" si="361"/>
        <v>1614.8990639918018</v>
      </c>
      <c r="I452" s="44">
        <f t="shared" si="361"/>
        <v>105.52039409514046</v>
      </c>
      <c r="J452" s="44">
        <f t="shared" ref="J452:O452" si="388">J60*J256</f>
        <v>2630.6801416260851</v>
      </c>
      <c r="K452" s="44">
        <f t="shared" si="388"/>
        <v>2234.0494444811407</v>
      </c>
      <c r="L452" s="44">
        <f t="shared" si="388"/>
        <v>230.71748706292993</v>
      </c>
      <c r="M452" s="44">
        <f t="shared" si="388"/>
        <v>8141.0844960930899</v>
      </c>
      <c r="N452" s="44">
        <f t="shared" si="388"/>
        <v>7493.304648740942</v>
      </c>
      <c r="O452" s="44">
        <f t="shared" si="388"/>
        <v>12709.845593011964</v>
      </c>
    </row>
    <row r="453" spans="1:15" x14ac:dyDescent="0.2">
      <c r="A453" s="38" t="s">
        <v>30</v>
      </c>
      <c r="D453" s="44">
        <f t="shared" si="330"/>
        <v>119.59643660758952</v>
      </c>
      <c r="E453" s="44">
        <f t="shared" si="361"/>
        <v>912.44929422299924</v>
      </c>
      <c r="F453" s="44">
        <f t="shared" si="361"/>
        <v>323.18334264288569</v>
      </c>
      <c r="G453" s="44">
        <f t="shared" si="361"/>
        <v>2754.426724378146</v>
      </c>
      <c r="H453" s="44">
        <f t="shared" si="361"/>
        <v>4173.1638707285329</v>
      </c>
      <c r="I453" s="44">
        <f t="shared" si="361"/>
        <v>483.2526960871661</v>
      </c>
      <c r="J453" s="44">
        <f t="shared" ref="J453:O453" si="389">J61*J257</f>
        <v>2639.9102218362909</v>
      </c>
      <c r="K453" s="44">
        <f t="shared" si="389"/>
        <v>11915.97213139256</v>
      </c>
      <c r="L453" s="44">
        <f t="shared" si="389"/>
        <v>12465.690472893435</v>
      </c>
      <c r="M453" s="44">
        <f t="shared" si="389"/>
        <v>11149.629010182442</v>
      </c>
      <c r="N453" s="44">
        <f t="shared" si="389"/>
        <v>457.54425289972852</v>
      </c>
      <c r="O453" s="44">
        <f t="shared" si="389"/>
        <v>7909.450451224262</v>
      </c>
    </row>
    <row r="454" spans="1:15" x14ac:dyDescent="0.2">
      <c r="A454" s="38" t="s">
        <v>31</v>
      </c>
      <c r="D454" s="44">
        <f t="shared" si="330"/>
        <v>1655.0014629955438</v>
      </c>
      <c r="E454" s="44">
        <f t="shared" si="361"/>
        <v>606.44171886439415</v>
      </c>
      <c r="F454" s="44">
        <f t="shared" si="361"/>
        <v>15840.765711332413</v>
      </c>
      <c r="G454" s="44">
        <f t="shared" si="361"/>
        <v>3115.7149905429947</v>
      </c>
      <c r="H454" s="44">
        <f t="shared" si="361"/>
        <v>8074.5859990623021</v>
      </c>
      <c r="I454" s="44">
        <f t="shared" si="361"/>
        <v>7235.3714412435593</v>
      </c>
      <c r="J454" s="44">
        <f t="shared" ref="J454:O454" si="390">J62*J258</f>
        <v>3874.7378284744514</v>
      </c>
      <c r="K454" s="44">
        <f t="shared" si="390"/>
        <v>652.55182376992911</v>
      </c>
      <c r="L454" s="44">
        <f t="shared" si="390"/>
        <v>2315.4162579551726</v>
      </c>
      <c r="M454" s="44">
        <f t="shared" si="390"/>
        <v>5019.7904195657547</v>
      </c>
      <c r="N454" s="44">
        <f t="shared" si="390"/>
        <v>2285.0526724127117</v>
      </c>
      <c r="O454" s="44">
        <f t="shared" si="390"/>
        <v>8503.1075261263923</v>
      </c>
    </row>
    <row r="455" spans="1:15" x14ac:dyDescent="0.2">
      <c r="A455" s="38" t="s">
        <v>32</v>
      </c>
      <c r="D455" s="44">
        <f t="shared" si="330"/>
        <v>3867.8989294931384</v>
      </c>
      <c r="E455" s="44">
        <f t="shared" si="361"/>
        <v>1382.7272081647473</v>
      </c>
      <c r="F455" s="44">
        <f t="shared" si="361"/>
        <v>1678.6283809643091</v>
      </c>
      <c r="G455" s="44">
        <f t="shared" si="361"/>
        <v>2349.1237915827282</v>
      </c>
      <c r="H455" s="44">
        <f t="shared" si="361"/>
        <v>1129.9037779073076</v>
      </c>
      <c r="I455" s="44">
        <f t="shared" si="361"/>
        <v>10065.187469198789</v>
      </c>
      <c r="J455" s="44">
        <f t="shared" ref="J455:O455" si="391">J63*J259</f>
        <v>8302.699386403363</v>
      </c>
      <c r="K455" s="44">
        <f t="shared" si="391"/>
        <v>2298.1753089204403</v>
      </c>
      <c r="L455" s="44">
        <f t="shared" si="391"/>
        <v>6039.8649930772845</v>
      </c>
      <c r="M455" s="44">
        <f t="shared" si="391"/>
        <v>4842.2462577600563</v>
      </c>
      <c r="N455" s="44">
        <f t="shared" si="391"/>
        <v>3606.9210426732047</v>
      </c>
      <c r="O455" s="44">
        <f t="shared" si="391"/>
        <v>554.35545917143907</v>
      </c>
    </row>
    <row r="456" spans="1:15" x14ac:dyDescent="0.2">
      <c r="A456" s="38" t="s">
        <v>33</v>
      </c>
      <c r="D456" s="44">
        <f t="shared" si="330"/>
        <v>7451.3505783911587</v>
      </c>
      <c r="E456" s="44">
        <f t="shared" si="361"/>
        <v>3646.2664242366554</v>
      </c>
      <c r="F456" s="44">
        <f t="shared" si="361"/>
        <v>5437.8661910611045</v>
      </c>
      <c r="G456" s="44">
        <f t="shared" si="361"/>
        <v>1831.9613246316342</v>
      </c>
      <c r="H456" s="44">
        <f t="shared" si="361"/>
        <v>4725.9617660068407</v>
      </c>
      <c r="I456" s="44">
        <f t="shared" si="361"/>
        <v>1166.0034640490428</v>
      </c>
      <c r="J456" s="44">
        <f t="shared" ref="J456:O456" si="392">J64*J260</f>
        <v>7823.6340872518313</v>
      </c>
      <c r="K456" s="44">
        <f t="shared" si="392"/>
        <v>3236.6710400415272</v>
      </c>
      <c r="L456" s="44">
        <f t="shared" si="392"/>
        <v>1222.3666401410194</v>
      </c>
      <c r="M456" s="44">
        <f t="shared" si="392"/>
        <v>3737.0251541566504</v>
      </c>
      <c r="N456" s="44">
        <f t="shared" si="392"/>
        <v>1398.3034962378567</v>
      </c>
      <c r="O456" s="44">
        <f t="shared" si="392"/>
        <v>2909.9656461851309</v>
      </c>
    </row>
    <row r="457" spans="1:15" x14ac:dyDescent="0.2">
      <c r="A457" s="38" t="s">
        <v>34</v>
      </c>
      <c r="D457" s="44">
        <f t="shared" si="330"/>
        <v>179.02173225114362</v>
      </c>
      <c r="E457" s="44">
        <f t="shared" si="361"/>
        <v>762.12498848172606</v>
      </c>
      <c r="F457" s="44">
        <f t="shared" si="361"/>
        <v>4120.7213929714835</v>
      </c>
      <c r="G457" s="44">
        <f t="shared" si="361"/>
        <v>815.76491318462593</v>
      </c>
      <c r="H457" s="44">
        <f t="shared" si="361"/>
        <v>11402.60389558534</v>
      </c>
      <c r="I457" s="44">
        <f t="shared" si="361"/>
        <v>3849.0022844950977</v>
      </c>
      <c r="J457" s="44">
        <f t="shared" ref="J457:O457" si="393">J65*J261</f>
        <v>4326.7989513927369</v>
      </c>
      <c r="K457" s="44">
        <f t="shared" si="393"/>
        <v>10955.481803287445</v>
      </c>
      <c r="L457" s="44">
        <f t="shared" si="393"/>
        <v>5039.3932010042054</v>
      </c>
      <c r="M457" s="44">
        <f t="shared" si="393"/>
        <v>271.83447469187871</v>
      </c>
      <c r="N457" s="44">
        <f t="shared" si="393"/>
        <v>3639.7655981238595</v>
      </c>
      <c r="O457" s="44">
        <f t="shared" si="393"/>
        <v>1154.7872654472783</v>
      </c>
    </row>
    <row r="458" spans="1:15" x14ac:dyDescent="0.2">
      <c r="A458" s="37" t="s">
        <v>35</v>
      </c>
      <c r="D458" s="46">
        <f>SUM(D459:D468)</f>
        <v>88740.184566900352</v>
      </c>
      <c r="E458" s="46">
        <f t="shared" ref="E458:I458" si="394">SUM(E459:E468)</f>
        <v>81115.984097235487</v>
      </c>
      <c r="F458" s="46">
        <f t="shared" si="394"/>
        <v>105507.27432134727</v>
      </c>
      <c r="G458" s="46">
        <f t="shared" si="394"/>
        <v>110179.35207065455</v>
      </c>
      <c r="H458" s="46">
        <f t="shared" si="394"/>
        <v>79567.396053912904</v>
      </c>
      <c r="I458" s="46">
        <f t="shared" si="394"/>
        <v>64423.032434737994</v>
      </c>
      <c r="J458" s="46">
        <f t="shared" ref="J458" si="395">SUM(J459:J468)</f>
        <v>93969.299077470889</v>
      </c>
      <c r="K458" s="46">
        <f t="shared" ref="K458" si="396">SUM(K459:K468)</f>
        <v>92252.583280012987</v>
      </c>
      <c r="L458" s="46">
        <f t="shared" ref="L458" si="397">SUM(L459:L468)</f>
        <v>97573.849645944836</v>
      </c>
      <c r="M458" s="46">
        <f t="shared" ref="M458" si="398">SUM(M459:M468)</f>
        <v>121873.68357031023</v>
      </c>
      <c r="N458" s="46">
        <f t="shared" ref="N458" si="399">SUM(N459:N468)</f>
        <v>85046.101772735172</v>
      </c>
      <c r="O458" s="46">
        <f t="shared" ref="O458" si="400">SUM(O459:O468)</f>
        <v>56015.40063681356</v>
      </c>
    </row>
    <row r="459" spans="1:15" x14ac:dyDescent="0.2">
      <c r="A459" s="38" t="s">
        <v>25</v>
      </c>
      <c r="D459" s="44">
        <f t="shared" si="330"/>
        <v>3942.3352812549792</v>
      </c>
      <c r="E459" s="44">
        <f t="shared" ref="E459:I464" si="401">E67*E263</f>
        <v>15334.458538935542</v>
      </c>
      <c r="F459" s="44">
        <f t="shared" si="401"/>
        <v>8098.1403891496484</v>
      </c>
      <c r="G459" s="44">
        <f t="shared" si="401"/>
        <v>5776.8261676943421</v>
      </c>
      <c r="H459" s="44">
        <f t="shared" si="401"/>
        <v>2321.9954031987304</v>
      </c>
      <c r="I459" s="44">
        <f t="shared" si="401"/>
        <v>2984.2478705800486</v>
      </c>
      <c r="J459" s="44">
        <f t="shared" ref="J459:O459" si="402">J67*J263</f>
        <v>2667.5721860818298</v>
      </c>
      <c r="K459" s="44">
        <f t="shared" si="402"/>
        <v>556.24414572529668</v>
      </c>
      <c r="L459" s="44">
        <f t="shared" si="402"/>
        <v>5251.0955549719656</v>
      </c>
      <c r="M459" s="44">
        <f t="shared" si="402"/>
        <v>8211.3847331905818</v>
      </c>
      <c r="N459" s="44">
        <f t="shared" si="402"/>
        <v>6524.4045348535028</v>
      </c>
      <c r="O459" s="44">
        <f t="shared" si="402"/>
        <v>7783.1398923364704</v>
      </c>
    </row>
    <row r="460" spans="1:15" x14ac:dyDescent="0.2">
      <c r="A460" s="38" t="s">
        <v>26</v>
      </c>
      <c r="D460" s="44">
        <f t="shared" si="330"/>
        <v>18641.75041714908</v>
      </c>
      <c r="E460" s="44">
        <f t="shared" si="401"/>
        <v>12882.854289784176</v>
      </c>
      <c r="F460" s="44">
        <f t="shared" si="401"/>
        <v>9568.4931485438992</v>
      </c>
      <c r="G460" s="44">
        <f t="shared" si="401"/>
        <v>13894.875537425842</v>
      </c>
      <c r="H460" s="44">
        <f t="shared" si="401"/>
        <v>2030.7961839001364</v>
      </c>
      <c r="I460" s="44">
        <f t="shared" si="401"/>
        <v>11506.023468566244</v>
      </c>
      <c r="J460" s="44">
        <f t="shared" ref="J460:O460" si="403">J68*J264</f>
        <v>1021.7428148847396</v>
      </c>
      <c r="K460" s="44">
        <f t="shared" si="403"/>
        <v>13758.185772452302</v>
      </c>
      <c r="L460" s="44">
        <f t="shared" si="403"/>
        <v>14371.292063637951</v>
      </c>
      <c r="M460" s="44">
        <f t="shared" si="403"/>
        <v>14917.857013494224</v>
      </c>
      <c r="N460" s="44">
        <f t="shared" si="403"/>
        <v>7664.4313407438431</v>
      </c>
      <c r="O460" s="44">
        <f t="shared" si="403"/>
        <v>13703.303295533973</v>
      </c>
    </row>
    <row r="461" spans="1:15" x14ac:dyDescent="0.2">
      <c r="A461" s="38" t="s">
        <v>27</v>
      </c>
      <c r="D461" s="44">
        <f t="shared" si="330"/>
        <v>9699.249791292179</v>
      </c>
      <c r="E461" s="44">
        <f t="shared" si="401"/>
        <v>7349.0070208141888</v>
      </c>
      <c r="F461" s="44">
        <f t="shared" si="401"/>
        <v>956.56679691634838</v>
      </c>
      <c r="G461" s="44">
        <f t="shared" si="401"/>
        <v>3196.5143661742009</v>
      </c>
      <c r="H461" s="44">
        <f t="shared" si="401"/>
        <v>13916.155680701326</v>
      </c>
      <c r="I461" s="44">
        <f t="shared" si="401"/>
        <v>13368.697667796358</v>
      </c>
      <c r="J461" s="44">
        <f t="shared" ref="J461:O461" si="404">J69*J265</f>
        <v>1597.0131398852375</v>
      </c>
      <c r="K461" s="44">
        <f t="shared" si="404"/>
        <v>2409.6697132507325</v>
      </c>
      <c r="L461" s="44">
        <f t="shared" si="404"/>
        <v>2787.5380415353329</v>
      </c>
      <c r="M461" s="44">
        <f t="shared" si="404"/>
        <v>14724.471972831318</v>
      </c>
      <c r="N461" s="44">
        <f t="shared" si="404"/>
        <v>6244.8750075865119</v>
      </c>
      <c r="O461" s="44">
        <f t="shared" si="404"/>
        <v>9252.5611717169013</v>
      </c>
    </row>
    <row r="462" spans="1:15" x14ac:dyDescent="0.2">
      <c r="A462" s="38" t="s">
        <v>28</v>
      </c>
      <c r="D462" s="44">
        <f t="shared" si="330"/>
        <v>12611.66608320253</v>
      </c>
      <c r="E462" s="44">
        <f t="shared" si="401"/>
        <v>7972.2343678551169</v>
      </c>
      <c r="F462" s="44">
        <f t="shared" si="401"/>
        <v>12441.186360933725</v>
      </c>
      <c r="G462" s="44">
        <f t="shared" si="401"/>
        <v>31799.813083173918</v>
      </c>
      <c r="H462" s="44">
        <f t="shared" si="401"/>
        <v>1773.3670831541217</v>
      </c>
      <c r="I462" s="44">
        <f t="shared" si="401"/>
        <v>4468.7310906080638</v>
      </c>
      <c r="J462" s="44">
        <f t="shared" ref="J462:O462" si="405">J70*J266</f>
        <v>22790.289717638068</v>
      </c>
      <c r="K462" s="44">
        <f t="shared" si="405"/>
        <v>20527.38576809864</v>
      </c>
      <c r="L462" s="44">
        <f t="shared" si="405"/>
        <v>6573.9712933672799</v>
      </c>
      <c r="M462" s="44">
        <f t="shared" si="405"/>
        <v>36156.022786399481</v>
      </c>
      <c r="N462" s="44">
        <f t="shared" si="405"/>
        <v>13436.857341170409</v>
      </c>
      <c r="O462" s="44">
        <f t="shared" si="405"/>
        <v>9245.5242700785584</v>
      </c>
    </row>
    <row r="463" spans="1:15" x14ac:dyDescent="0.2">
      <c r="A463" s="38" t="s">
        <v>29</v>
      </c>
      <c r="D463" s="44">
        <f t="shared" si="330"/>
        <v>2953.709770129673</v>
      </c>
      <c r="E463" s="44">
        <f t="shared" si="401"/>
        <v>2692.5311038192203</v>
      </c>
      <c r="F463" s="44">
        <f t="shared" si="401"/>
        <v>1694.1314718236943</v>
      </c>
      <c r="G463" s="44">
        <f t="shared" si="401"/>
        <v>9096.7775860689853</v>
      </c>
      <c r="H463" s="44">
        <f t="shared" si="401"/>
        <v>11454.1271074699</v>
      </c>
      <c r="I463" s="44">
        <f t="shared" si="401"/>
        <v>10490.877504279513</v>
      </c>
      <c r="J463" s="44">
        <f t="shared" ref="J463:O463" si="406">J71*J267</f>
        <v>14732.60293034821</v>
      </c>
      <c r="K463" s="44">
        <f t="shared" si="406"/>
        <v>12331.400476606761</v>
      </c>
      <c r="L463" s="44">
        <f t="shared" si="406"/>
        <v>774.9157657744222</v>
      </c>
      <c r="M463" s="44">
        <f t="shared" si="406"/>
        <v>4929.0249273562758</v>
      </c>
      <c r="N463" s="44">
        <f t="shared" si="406"/>
        <v>16132.140242763115</v>
      </c>
      <c r="O463" s="44">
        <f t="shared" si="406"/>
        <v>2171.3832931794591</v>
      </c>
    </row>
    <row r="464" spans="1:15" x14ac:dyDescent="0.2">
      <c r="A464" s="38" t="s">
        <v>30</v>
      </c>
      <c r="D464" s="44">
        <f t="shared" si="330"/>
        <v>15926.181538829345</v>
      </c>
      <c r="E464" s="44">
        <f t="shared" si="401"/>
        <v>5849.4598666974307</v>
      </c>
      <c r="F464" s="44">
        <f t="shared" si="401"/>
        <v>6250.9141374547935</v>
      </c>
      <c r="G464" s="44">
        <f t="shared" si="401"/>
        <v>54.955807358625194</v>
      </c>
      <c r="H464" s="44">
        <f t="shared" si="401"/>
        <v>6274.1048423174452</v>
      </c>
      <c r="I464" s="44">
        <f t="shared" si="401"/>
        <v>3317.6230309138778</v>
      </c>
      <c r="J464" s="44">
        <f t="shared" ref="J464:O464" si="407">J72*J268</f>
        <v>1563.6723493419961</v>
      </c>
      <c r="K464" s="44">
        <f t="shared" si="407"/>
        <v>4032.3617056060452</v>
      </c>
      <c r="L464" s="44">
        <f t="shared" si="407"/>
        <v>931.72077365189205</v>
      </c>
      <c r="M464" s="44">
        <f t="shared" si="407"/>
        <v>18864.391477756646</v>
      </c>
      <c r="N464" s="44">
        <f t="shared" si="407"/>
        <v>12625.920456262751</v>
      </c>
      <c r="O464" s="44">
        <f t="shared" si="407"/>
        <v>4092.3268236903837</v>
      </c>
    </row>
    <row r="465" spans="1:15" x14ac:dyDescent="0.2">
      <c r="A465" s="38" t="s">
        <v>31</v>
      </c>
      <c r="D465" s="44">
        <f t="shared" ref="D465:I491" si="408">D73*D269</f>
        <v>284.59620669454381</v>
      </c>
      <c r="E465" s="44">
        <f t="shared" si="408"/>
        <v>10734.142445230484</v>
      </c>
      <c r="F465" s="44">
        <f t="shared" si="408"/>
        <v>11900.686185190325</v>
      </c>
      <c r="G465" s="44">
        <f t="shared" si="408"/>
        <v>13911.715813385379</v>
      </c>
      <c r="H465" s="44">
        <f t="shared" si="408"/>
        <v>4013.0515615560471</v>
      </c>
      <c r="I465" s="44">
        <f t="shared" si="408"/>
        <v>3743.8796492847446</v>
      </c>
      <c r="J465" s="44">
        <f t="shared" ref="J465:O465" si="409">J73*J269</f>
        <v>23679.931092612056</v>
      </c>
      <c r="K465" s="44">
        <f t="shared" si="409"/>
        <v>5313.902800834333</v>
      </c>
      <c r="L465" s="44">
        <f t="shared" si="409"/>
        <v>222.2845980219079</v>
      </c>
      <c r="M465" s="44">
        <f t="shared" si="409"/>
        <v>5405.7427938856154</v>
      </c>
      <c r="N465" s="44">
        <f t="shared" si="409"/>
        <v>9844.3995495208837</v>
      </c>
      <c r="O465" s="44">
        <f t="shared" si="409"/>
        <v>1717.2292838534929</v>
      </c>
    </row>
    <row r="466" spans="1:15" x14ac:dyDescent="0.2">
      <c r="A466" s="38" t="s">
        <v>32</v>
      </c>
      <c r="D466" s="44">
        <f t="shared" si="408"/>
        <v>1176.716361649145</v>
      </c>
      <c r="E466" s="44">
        <f t="shared" si="408"/>
        <v>5945.9930451793507</v>
      </c>
      <c r="F466" s="44">
        <f t="shared" si="408"/>
        <v>28732.825672950603</v>
      </c>
      <c r="G466" s="44">
        <f t="shared" si="408"/>
        <v>1764.4077268677859</v>
      </c>
      <c r="H466" s="44">
        <f t="shared" si="408"/>
        <v>20280.644802420185</v>
      </c>
      <c r="I466" s="44">
        <f t="shared" si="408"/>
        <v>3854.007494896844</v>
      </c>
      <c r="J466" s="44">
        <f t="shared" ref="J466:O466" si="410">J74*J270</f>
        <v>6313.0055884514186</v>
      </c>
      <c r="K466" s="44">
        <f t="shared" si="410"/>
        <v>18173.198665536675</v>
      </c>
      <c r="L466" s="44">
        <f t="shared" si="410"/>
        <v>4385.0775037574367</v>
      </c>
      <c r="M466" s="44">
        <f t="shared" si="410"/>
        <v>5718.8941189746156</v>
      </c>
      <c r="N466" s="44">
        <f t="shared" si="410"/>
        <v>3482.528181949941</v>
      </c>
      <c r="O466" s="44">
        <f t="shared" si="410"/>
        <v>5520.5905133574151</v>
      </c>
    </row>
    <row r="467" spans="1:15" x14ac:dyDescent="0.2">
      <c r="A467" s="38" t="s">
        <v>33</v>
      </c>
      <c r="D467" s="44">
        <f t="shared" si="408"/>
        <v>17825.683091610703</v>
      </c>
      <c r="E467" s="44">
        <f t="shared" si="408"/>
        <v>2061.6738718625429</v>
      </c>
      <c r="F467" s="44">
        <f t="shared" si="408"/>
        <v>1656.989750665083</v>
      </c>
      <c r="G467" s="44">
        <f t="shared" si="408"/>
        <v>26095.067897250898</v>
      </c>
      <c r="H467" s="44">
        <f t="shared" si="408"/>
        <v>4884.5767826694346</v>
      </c>
      <c r="I467" s="44">
        <f t="shared" si="408"/>
        <v>6242.3513498241991</v>
      </c>
      <c r="J467" s="44">
        <f t="shared" ref="J467:O467" si="411">J75*J271</f>
        <v>12004.063478852278</v>
      </c>
      <c r="K467" s="44">
        <f t="shared" si="411"/>
        <v>11093.039940809256</v>
      </c>
      <c r="L467" s="44">
        <f t="shared" si="411"/>
        <v>24305.699246537926</v>
      </c>
      <c r="M467" s="44">
        <f t="shared" si="411"/>
        <v>10787.178585805153</v>
      </c>
      <c r="N467" s="44">
        <f t="shared" si="411"/>
        <v>8459.5075566294927</v>
      </c>
      <c r="O467" s="44">
        <f t="shared" si="411"/>
        <v>1724.4364277461075</v>
      </c>
    </row>
    <row r="468" spans="1:15" x14ac:dyDescent="0.2">
      <c r="A468" s="38" t="s">
        <v>34</v>
      </c>
      <c r="D468" s="44">
        <f t="shared" si="408"/>
        <v>5678.2960250881761</v>
      </c>
      <c r="E468" s="44">
        <f t="shared" si="408"/>
        <v>10293.629547057424</v>
      </c>
      <c r="F468" s="44">
        <f t="shared" si="408"/>
        <v>24207.340407719155</v>
      </c>
      <c r="G468" s="44">
        <f t="shared" si="408"/>
        <v>4588.3980852545774</v>
      </c>
      <c r="H468" s="44">
        <f t="shared" si="408"/>
        <v>12618.576606525588</v>
      </c>
      <c r="I468" s="44">
        <f t="shared" si="408"/>
        <v>4446.5933079880942</v>
      </c>
      <c r="J468" s="44">
        <f t="shared" ref="J468:O468" si="412">J76*J272</f>
        <v>7599.4057793750708</v>
      </c>
      <c r="K468" s="44">
        <f t="shared" si="412"/>
        <v>4057.1942910929388</v>
      </c>
      <c r="L468" s="44">
        <f t="shared" si="412"/>
        <v>37970.254804688717</v>
      </c>
      <c r="M468" s="44">
        <f t="shared" si="412"/>
        <v>2158.7151606163034</v>
      </c>
      <c r="N468" s="44">
        <f t="shared" si="412"/>
        <v>631.03756125471784</v>
      </c>
      <c r="O468" s="44">
        <f t="shared" si="412"/>
        <v>804.90566532080561</v>
      </c>
    </row>
    <row r="469" spans="1:15" x14ac:dyDescent="0.2">
      <c r="A469" s="4" t="s">
        <v>36</v>
      </c>
      <c r="B469" s="4"/>
      <c r="C469" s="4"/>
      <c r="D469" s="45">
        <f>D470+D481</f>
        <v>147670.42501414171</v>
      </c>
      <c r="E469" s="45">
        <f t="shared" ref="E469:I469" si="413">E470+E481</f>
        <v>160649.40714367133</v>
      </c>
      <c r="F469" s="45">
        <f t="shared" si="413"/>
        <v>254012.70750330435</v>
      </c>
      <c r="G469" s="45">
        <f t="shared" si="413"/>
        <v>217140.38529021014</v>
      </c>
      <c r="H469" s="45">
        <f t="shared" si="413"/>
        <v>228804.97546207951</v>
      </c>
      <c r="I469" s="45">
        <f t="shared" si="413"/>
        <v>178339.26247728316</v>
      </c>
      <c r="J469" s="45">
        <f t="shared" ref="J469" si="414">J470+J481</f>
        <v>164101.678266645</v>
      </c>
      <c r="K469" s="45">
        <f t="shared" ref="K469" si="415">K470+K481</f>
        <v>219615.41890688339</v>
      </c>
      <c r="L469" s="45">
        <f t="shared" ref="L469" si="416">L470+L481</f>
        <v>212847.0946186377</v>
      </c>
      <c r="M469" s="45">
        <f t="shared" ref="M469" si="417">M470+M481</f>
        <v>243042.47234386959</v>
      </c>
      <c r="N469" s="45">
        <f t="shared" ref="N469" si="418">N470+N481</f>
        <v>240911.1195765225</v>
      </c>
      <c r="O469" s="45">
        <f t="shared" ref="O469" si="419">O470+O481</f>
        <v>146753.59325735495</v>
      </c>
    </row>
    <row r="470" spans="1:15" x14ac:dyDescent="0.2">
      <c r="A470" s="37" t="s">
        <v>24</v>
      </c>
      <c r="D470" s="46">
        <f>SUM(D471:D480)</f>
        <v>41194.596857196542</v>
      </c>
      <c r="E470" s="46">
        <f t="shared" ref="E470:I470" si="420">SUM(E471:E480)</f>
        <v>40063.223264261869</v>
      </c>
      <c r="F470" s="46">
        <f t="shared" si="420"/>
        <v>70734.484970384437</v>
      </c>
      <c r="G470" s="46">
        <f t="shared" si="420"/>
        <v>48954.345429258028</v>
      </c>
      <c r="H470" s="46">
        <f t="shared" si="420"/>
        <v>74157.655210749203</v>
      </c>
      <c r="I470" s="46">
        <f t="shared" si="420"/>
        <v>47520.719448590135</v>
      </c>
      <c r="J470" s="46">
        <f t="shared" ref="J470" si="421">SUM(J471:J480)</f>
        <v>67136.64245520893</v>
      </c>
      <c r="K470" s="46">
        <f t="shared" ref="K470" si="422">SUM(K471:K480)</f>
        <v>64864.887154292446</v>
      </c>
      <c r="L470" s="46">
        <f t="shared" ref="L470" si="423">SUM(L471:L480)</f>
        <v>47114.616959498686</v>
      </c>
      <c r="M470" s="46">
        <f t="shared" ref="M470" si="424">SUM(M471:M480)</f>
        <v>84319.04202540894</v>
      </c>
      <c r="N470" s="46">
        <f t="shared" ref="N470" si="425">SUM(N471:N480)</f>
        <v>68579.511482624497</v>
      </c>
      <c r="O470" s="46">
        <f t="shared" ref="O470" si="426">SUM(O471:O480)</f>
        <v>65458.838418632091</v>
      </c>
    </row>
    <row r="471" spans="1:15" x14ac:dyDescent="0.2">
      <c r="A471" s="38" t="s">
        <v>25</v>
      </c>
      <c r="D471" s="44">
        <f t="shared" si="408"/>
        <v>1625.1950399303732</v>
      </c>
      <c r="E471" s="44">
        <f t="shared" si="408"/>
        <v>15.699516290030539</v>
      </c>
      <c r="F471" s="44">
        <f t="shared" si="408"/>
        <v>8746.61165213612</v>
      </c>
      <c r="G471" s="44">
        <f t="shared" si="408"/>
        <v>1281.7244623076322</v>
      </c>
      <c r="H471" s="44">
        <f t="shared" si="408"/>
        <v>4549.7873416660386</v>
      </c>
      <c r="I471" s="44">
        <f t="shared" si="408"/>
        <v>501.3371866882581</v>
      </c>
      <c r="J471" s="44">
        <f t="shared" ref="J471:O471" si="427">J79*J275</f>
        <v>1577.6077075844739</v>
      </c>
      <c r="K471" s="44">
        <f t="shared" si="427"/>
        <v>3725.8467465361718</v>
      </c>
      <c r="L471" s="44">
        <f t="shared" si="427"/>
        <v>3937.6577141485236</v>
      </c>
      <c r="M471" s="44">
        <f t="shared" si="427"/>
        <v>603.32792276077964</v>
      </c>
      <c r="N471" s="44">
        <f t="shared" si="427"/>
        <v>1681.524214336642</v>
      </c>
      <c r="O471" s="44">
        <f t="shared" si="427"/>
        <v>2986.2893264038339</v>
      </c>
    </row>
    <row r="472" spans="1:15" x14ac:dyDescent="0.2">
      <c r="A472" s="38" t="s">
        <v>26</v>
      </c>
      <c r="D472" s="44">
        <f t="shared" si="408"/>
        <v>11069.758578064177</v>
      </c>
      <c r="E472" s="44">
        <f t="shared" si="408"/>
        <v>4064.8520344161111</v>
      </c>
      <c r="F472" s="44">
        <f t="shared" si="408"/>
        <v>7395.1182505726965</v>
      </c>
      <c r="G472" s="44">
        <f t="shared" si="408"/>
        <v>2176.108438933461</v>
      </c>
      <c r="H472" s="44">
        <f t="shared" si="408"/>
        <v>5044.1038017202245</v>
      </c>
      <c r="I472" s="44">
        <f t="shared" si="408"/>
        <v>853.93320342562583</v>
      </c>
      <c r="J472" s="44">
        <f t="shared" ref="J472:O472" si="428">J80*J276</f>
        <v>5666.6602314894872</v>
      </c>
      <c r="K472" s="44">
        <f t="shared" si="428"/>
        <v>2581.4956325997009</v>
      </c>
      <c r="L472" s="44">
        <f t="shared" si="428"/>
        <v>3868.3756235360365</v>
      </c>
      <c r="M472" s="44">
        <f t="shared" si="428"/>
        <v>2222.4539767586684</v>
      </c>
      <c r="N472" s="44">
        <f t="shared" si="428"/>
        <v>11615.320493130885</v>
      </c>
      <c r="O472" s="44">
        <f t="shared" si="428"/>
        <v>1992.4936785177119</v>
      </c>
    </row>
    <row r="473" spans="1:15" x14ac:dyDescent="0.2">
      <c r="A473" s="38" t="s">
        <v>27</v>
      </c>
      <c r="D473" s="44">
        <f t="shared" si="408"/>
        <v>856.49643862325297</v>
      </c>
      <c r="E473" s="44">
        <f t="shared" si="408"/>
        <v>18441.09296116481</v>
      </c>
      <c r="F473" s="44">
        <f t="shared" si="408"/>
        <v>5958.2030765177769</v>
      </c>
      <c r="G473" s="44">
        <f t="shared" si="408"/>
        <v>7979.2965983862887</v>
      </c>
      <c r="H473" s="44">
        <f t="shared" si="408"/>
        <v>3478.2872614591142</v>
      </c>
      <c r="I473" s="44">
        <f t="shared" si="408"/>
        <v>7897.3599381721042</v>
      </c>
      <c r="J473" s="44">
        <f t="shared" ref="J473:O473" si="429">J81*J277</f>
        <v>224.42781600578741</v>
      </c>
      <c r="K473" s="44">
        <f t="shared" si="429"/>
        <v>2707.6979181786292</v>
      </c>
      <c r="L473" s="44">
        <f t="shared" si="429"/>
        <v>183.27738035970523</v>
      </c>
      <c r="M473" s="44">
        <f t="shared" si="429"/>
        <v>7925.0342932212588</v>
      </c>
      <c r="N473" s="44">
        <f t="shared" si="429"/>
        <v>17363.081962340675</v>
      </c>
      <c r="O473" s="44">
        <f t="shared" si="429"/>
        <v>708.33340232061187</v>
      </c>
    </row>
    <row r="474" spans="1:15" x14ac:dyDescent="0.2">
      <c r="A474" s="38" t="s">
        <v>28</v>
      </c>
      <c r="D474" s="44">
        <f t="shared" si="408"/>
        <v>2284.6983526704348</v>
      </c>
      <c r="E474" s="44">
        <f t="shared" si="408"/>
        <v>638.43649365618069</v>
      </c>
      <c r="F474" s="44">
        <f t="shared" si="408"/>
        <v>10292.885036356856</v>
      </c>
      <c r="G474" s="44">
        <f t="shared" si="408"/>
        <v>5093.5206545175042</v>
      </c>
      <c r="H474" s="44">
        <f t="shared" si="408"/>
        <v>10717.12887360027</v>
      </c>
      <c r="I474" s="44">
        <f t="shared" si="408"/>
        <v>3183.5659668616645</v>
      </c>
      <c r="J474" s="44">
        <f t="shared" ref="J474:O474" si="430">J82*J278</f>
        <v>11140.016740534786</v>
      </c>
      <c r="K474" s="44">
        <f t="shared" si="430"/>
        <v>10232.80661594817</v>
      </c>
      <c r="L474" s="44">
        <f t="shared" si="430"/>
        <v>1175.4442870725388</v>
      </c>
      <c r="M474" s="44">
        <f t="shared" si="430"/>
        <v>12271.344255364842</v>
      </c>
      <c r="N474" s="44">
        <f t="shared" si="430"/>
        <v>1573.4713252363822</v>
      </c>
      <c r="O474" s="44">
        <f t="shared" si="430"/>
        <v>797.10606984104629</v>
      </c>
    </row>
    <row r="475" spans="1:15" x14ac:dyDescent="0.2">
      <c r="A475" s="38" t="s">
        <v>29</v>
      </c>
      <c r="D475" s="44">
        <f t="shared" si="408"/>
        <v>3023.1531716794807</v>
      </c>
      <c r="E475" s="44">
        <f t="shared" si="408"/>
        <v>9803.3702467931107</v>
      </c>
      <c r="F475" s="44">
        <f t="shared" si="408"/>
        <v>6203.1225719388394</v>
      </c>
      <c r="G475" s="44">
        <f t="shared" si="408"/>
        <v>2944.2730193244279</v>
      </c>
      <c r="H475" s="44">
        <f t="shared" si="408"/>
        <v>2844.2946578984861</v>
      </c>
      <c r="I475" s="44">
        <f t="shared" si="408"/>
        <v>287.50746268207365</v>
      </c>
      <c r="J475" s="44">
        <f t="shared" ref="J475:O475" si="431">J83*J279</f>
        <v>2893.3752504789313</v>
      </c>
      <c r="K475" s="44">
        <f t="shared" si="431"/>
        <v>1956.1274439276472</v>
      </c>
      <c r="L475" s="44">
        <f t="shared" si="431"/>
        <v>226.68991978931669</v>
      </c>
      <c r="M475" s="44">
        <f t="shared" si="431"/>
        <v>9330.296798174264</v>
      </c>
      <c r="N475" s="44">
        <f t="shared" si="431"/>
        <v>12627.446146225231</v>
      </c>
      <c r="O475" s="44">
        <f t="shared" si="431"/>
        <v>5657.6409793297671</v>
      </c>
    </row>
    <row r="476" spans="1:15" x14ac:dyDescent="0.2">
      <c r="A476" s="38" t="s">
        <v>30</v>
      </c>
      <c r="D476" s="44">
        <f t="shared" si="408"/>
        <v>297.60691085956751</v>
      </c>
      <c r="E476" s="44">
        <f t="shared" si="408"/>
        <v>384.81435231226487</v>
      </c>
      <c r="F476" s="44">
        <f t="shared" si="408"/>
        <v>452.37705761593691</v>
      </c>
      <c r="G476" s="44">
        <f t="shared" si="408"/>
        <v>14599.573606555734</v>
      </c>
      <c r="H476" s="44">
        <f t="shared" si="408"/>
        <v>12716.374503690351</v>
      </c>
      <c r="I476" s="44">
        <f t="shared" si="408"/>
        <v>990.91756477900924</v>
      </c>
      <c r="J476" s="44">
        <f t="shared" ref="J476:O476" si="432">J84*J280</f>
        <v>10581.739637087452</v>
      </c>
      <c r="K476" s="44">
        <f t="shared" si="432"/>
        <v>18268.10678246928</v>
      </c>
      <c r="L476" s="44">
        <f t="shared" si="432"/>
        <v>11622.880773092047</v>
      </c>
      <c r="M476" s="44">
        <f t="shared" si="432"/>
        <v>27349.418728631812</v>
      </c>
      <c r="N476" s="44">
        <f t="shared" si="432"/>
        <v>312.48138680717875</v>
      </c>
      <c r="O476" s="44">
        <f t="shared" si="432"/>
        <v>37471.734616468828</v>
      </c>
    </row>
    <row r="477" spans="1:15" x14ac:dyDescent="0.2">
      <c r="A477" s="38" t="s">
        <v>31</v>
      </c>
      <c r="D477" s="44">
        <f t="shared" si="408"/>
        <v>2060.3339192403491</v>
      </c>
      <c r="E477" s="44">
        <f t="shared" si="408"/>
        <v>770.2995623909311</v>
      </c>
      <c r="F477" s="44">
        <f t="shared" si="408"/>
        <v>17106.220737629545</v>
      </c>
      <c r="G477" s="44">
        <f t="shared" si="408"/>
        <v>7350.1475979793886</v>
      </c>
      <c r="H477" s="44">
        <f t="shared" si="408"/>
        <v>14469.407024775155</v>
      </c>
      <c r="I477" s="44">
        <f t="shared" si="408"/>
        <v>5568.3434930443645</v>
      </c>
      <c r="J477" s="44">
        <f t="shared" ref="J477:O477" si="433">J85*J281</f>
        <v>5712.0227143341754</v>
      </c>
      <c r="K477" s="44">
        <f t="shared" si="433"/>
        <v>1982.7422581845085</v>
      </c>
      <c r="L477" s="44">
        <f t="shared" si="433"/>
        <v>8342.0784744422199</v>
      </c>
      <c r="M477" s="44">
        <f t="shared" si="433"/>
        <v>9323.4199474742854</v>
      </c>
      <c r="N477" s="44">
        <f t="shared" si="433"/>
        <v>6035.7700414544543</v>
      </c>
      <c r="O477" s="44">
        <f t="shared" si="433"/>
        <v>4363.6863842258826</v>
      </c>
    </row>
    <row r="478" spans="1:15" x14ac:dyDescent="0.2">
      <c r="A478" s="38" t="s">
        <v>32</v>
      </c>
      <c r="D478" s="44">
        <f t="shared" si="408"/>
        <v>4976.2891878226474</v>
      </c>
      <c r="E478" s="44">
        <f t="shared" si="408"/>
        <v>1130.4098558757844</v>
      </c>
      <c r="F478" s="44">
        <f t="shared" si="408"/>
        <v>3129.6677402355554</v>
      </c>
      <c r="G478" s="44">
        <f t="shared" si="408"/>
        <v>2320.3797689393828</v>
      </c>
      <c r="H478" s="44">
        <f t="shared" si="408"/>
        <v>1466.5128855205037</v>
      </c>
      <c r="I478" s="44">
        <f t="shared" si="408"/>
        <v>18157.066244299891</v>
      </c>
      <c r="J478" s="44">
        <f t="shared" ref="J478:O478" si="434">J86*J282</f>
        <v>11084.176529262853</v>
      </c>
      <c r="K478" s="44">
        <f t="shared" si="434"/>
        <v>3953.1292101247914</v>
      </c>
      <c r="L478" s="44">
        <f t="shared" si="434"/>
        <v>5931.6023052930859</v>
      </c>
      <c r="M478" s="44">
        <f t="shared" si="434"/>
        <v>9722.0838943135932</v>
      </c>
      <c r="N478" s="44">
        <f t="shared" si="434"/>
        <v>9920.3477556011894</v>
      </c>
      <c r="O478" s="44">
        <f t="shared" si="434"/>
        <v>1205.1914644660667</v>
      </c>
    </row>
    <row r="479" spans="1:15" x14ac:dyDescent="0.2">
      <c r="A479" s="38" t="s">
        <v>33</v>
      </c>
      <c r="D479" s="44">
        <f t="shared" si="408"/>
        <v>14721.996638327777</v>
      </c>
      <c r="E479" s="44">
        <f t="shared" si="408"/>
        <v>4208.4189396983475</v>
      </c>
      <c r="F479" s="44">
        <f t="shared" si="408"/>
        <v>9401.7879352183372</v>
      </c>
      <c r="G479" s="44">
        <f t="shared" si="408"/>
        <v>4258.4571088472039</v>
      </c>
      <c r="H479" s="44">
        <f t="shared" si="408"/>
        <v>4967.0810581572032</v>
      </c>
      <c r="I479" s="44">
        <f t="shared" si="408"/>
        <v>3578.9767554394639</v>
      </c>
      <c r="J479" s="44">
        <f t="shared" ref="J479:O479" si="435">J87*J283</f>
        <v>15843.267436613527</v>
      </c>
      <c r="K479" s="44">
        <f t="shared" si="435"/>
        <v>2433.2284974178274</v>
      </c>
      <c r="L479" s="44">
        <f t="shared" si="435"/>
        <v>4526.2886541077614</v>
      </c>
      <c r="M479" s="44">
        <f t="shared" si="435"/>
        <v>5086.9971263605903</v>
      </c>
      <c r="N479" s="44">
        <f t="shared" si="435"/>
        <v>1166.7926211189804</v>
      </c>
      <c r="O479" s="44">
        <f t="shared" si="435"/>
        <v>8129.5251920497521</v>
      </c>
    </row>
    <row r="480" spans="1:15" x14ac:dyDescent="0.2">
      <c r="A480" s="38" t="s">
        <v>34</v>
      </c>
      <c r="D480" s="44">
        <f t="shared" si="408"/>
        <v>279.06861997848324</v>
      </c>
      <c r="E480" s="44">
        <f t="shared" si="408"/>
        <v>605.82930166429799</v>
      </c>
      <c r="F480" s="44">
        <f t="shared" si="408"/>
        <v>2048.4909121627647</v>
      </c>
      <c r="G480" s="44">
        <f t="shared" si="408"/>
        <v>950.86417346699352</v>
      </c>
      <c r="H480" s="44">
        <f t="shared" si="408"/>
        <v>13904.677802261866</v>
      </c>
      <c r="I480" s="44">
        <f t="shared" si="408"/>
        <v>6501.7116331976804</v>
      </c>
      <c r="J480" s="44">
        <f t="shared" ref="J480:O480" si="436">J88*J284</f>
        <v>2413.3483918174543</v>
      </c>
      <c r="K480" s="44">
        <f t="shared" si="436"/>
        <v>17023.706048905726</v>
      </c>
      <c r="L480" s="44">
        <f t="shared" si="436"/>
        <v>7300.3218276574553</v>
      </c>
      <c r="M480" s="44">
        <f t="shared" si="436"/>
        <v>484.66508234886714</v>
      </c>
      <c r="N480" s="44">
        <f t="shared" si="436"/>
        <v>6283.2755363728838</v>
      </c>
      <c r="O480" s="44">
        <f t="shared" si="436"/>
        <v>2146.8373050085916</v>
      </c>
    </row>
    <row r="481" spans="1:15" x14ac:dyDescent="0.2">
      <c r="A481" s="37" t="s">
        <v>35</v>
      </c>
      <c r="D481" s="46">
        <f>SUM(D482:D491)</f>
        <v>106475.82815694518</v>
      </c>
      <c r="E481" s="46">
        <f t="shared" ref="E481:I481" si="437">SUM(E482:E491)</f>
        <v>120586.18387940947</v>
      </c>
      <c r="F481" s="46">
        <f t="shared" si="437"/>
        <v>183278.22253291993</v>
      </c>
      <c r="G481" s="46">
        <f t="shared" si="437"/>
        <v>168186.03986095212</v>
      </c>
      <c r="H481" s="46">
        <f t="shared" si="437"/>
        <v>154647.3202513303</v>
      </c>
      <c r="I481" s="46">
        <f t="shared" si="437"/>
        <v>130818.54302869302</v>
      </c>
      <c r="J481" s="46">
        <f t="shared" ref="J481" si="438">SUM(J482:J491)</f>
        <v>96965.035811436086</v>
      </c>
      <c r="K481" s="46">
        <f t="shared" ref="K481" si="439">SUM(K482:K491)</f>
        <v>154750.53175259093</v>
      </c>
      <c r="L481" s="46">
        <f t="shared" ref="L481" si="440">SUM(L482:L491)</f>
        <v>165732.47765913903</v>
      </c>
      <c r="M481" s="46">
        <f t="shared" ref="M481" si="441">SUM(M482:M491)</f>
        <v>158723.43031846065</v>
      </c>
      <c r="N481" s="46">
        <f t="shared" ref="N481" si="442">SUM(N482:N491)</f>
        <v>172331.60809389802</v>
      </c>
      <c r="O481" s="46">
        <f t="shared" ref="O481" si="443">SUM(O482:O491)</f>
        <v>81294.75483872286</v>
      </c>
    </row>
    <row r="482" spans="1:15" x14ac:dyDescent="0.2">
      <c r="A482" s="38" t="s">
        <v>25</v>
      </c>
      <c r="D482" s="44">
        <f t="shared" si="408"/>
        <v>7544.38845864416</v>
      </c>
      <c r="E482" s="44">
        <f t="shared" si="408"/>
        <v>24150.911898215367</v>
      </c>
      <c r="F482" s="44">
        <f t="shared" si="408"/>
        <v>12451.830355770489</v>
      </c>
      <c r="G482" s="44">
        <f t="shared" si="408"/>
        <v>6874.7404641663752</v>
      </c>
      <c r="H482" s="44">
        <f t="shared" si="408"/>
        <v>2973.0462154048305</v>
      </c>
      <c r="I482" s="44">
        <f t="shared" si="408"/>
        <v>4899.0910532656162</v>
      </c>
      <c r="J482" s="44">
        <f t="shared" ref="J482:O482" si="444">J90*J286</f>
        <v>8506.8950953341118</v>
      </c>
      <c r="K482" s="44">
        <f t="shared" si="444"/>
        <v>476.84734605595111</v>
      </c>
      <c r="L482" s="44">
        <f t="shared" si="444"/>
        <v>7281.1563083232677</v>
      </c>
      <c r="M482" s="44">
        <f t="shared" si="444"/>
        <v>12491.194384985491</v>
      </c>
      <c r="N482" s="44">
        <f t="shared" si="444"/>
        <v>6110.5218788813481</v>
      </c>
      <c r="O482" s="44">
        <f t="shared" si="444"/>
        <v>6420.2259444995661</v>
      </c>
    </row>
    <row r="483" spans="1:15" x14ac:dyDescent="0.2">
      <c r="A483" s="38" t="s">
        <v>26</v>
      </c>
      <c r="D483" s="44">
        <f t="shared" si="408"/>
        <v>13885.542885902873</v>
      </c>
      <c r="E483" s="44">
        <f t="shared" si="408"/>
        <v>22657.741661214386</v>
      </c>
      <c r="F483" s="44">
        <f t="shared" si="408"/>
        <v>29270.795056036797</v>
      </c>
      <c r="G483" s="44">
        <f t="shared" si="408"/>
        <v>27735.940094957132</v>
      </c>
      <c r="H483" s="44">
        <f t="shared" si="408"/>
        <v>2301.3552153943056</v>
      </c>
      <c r="I483" s="44">
        <f t="shared" si="408"/>
        <v>45387.856173555578</v>
      </c>
      <c r="J483" s="44">
        <f t="shared" ref="J483:O483" si="445">J91*J287</f>
        <v>694.94625724068328</v>
      </c>
      <c r="K483" s="44">
        <f t="shared" si="445"/>
        <v>13505.050219920147</v>
      </c>
      <c r="L483" s="44">
        <f t="shared" si="445"/>
        <v>10100.379234148822</v>
      </c>
      <c r="M483" s="44">
        <f t="shared" si="445"/>
        <v>27998.664744241782</v>
      </c>
      <c r="N483" s="44">
        <f t="shared" si="445"/>
        <v>5215.744974851933</v>
      </c>
      <c r="O483" s="44">
        <f t="shared" si="445"/>
        <v>19421.28623726877</v>
      </c>
    </row>
    <row r="484" spans="1:15" x14ac:dyDescent="0.2">
      <c r="A484" s="38" t="s">
        <v>27</v>
      </c>
      <c r="D484" s="44">
        <f t="shared" si="408"/>
        <v>29325.642764737611</v>
      </c>
      <c r="E484" s="44">
        <f t="shared" si="408"/>
        <v>11169.207530352181</v>
      </c>
      <c r="F484" s="44">
        <f t="shared" si="408"/>
        <v>647.7577188366555</v>
      </c>
      <c r="G484" s="44">
        <f t="shared" si="408"/>
        <v>5612.4135040632427</v>
      </c>
      <c r="H484" s="44">
        <f t="shared" si="408"/>
        <v>9823.9728505592593</v>
      </c>
      <c r="I484" s="44">
        <f t="shared" si="408"/>
        <v>13870.937599974604</v>
      </c>
      <c r="J484" s="44">
        <f t="shared" ref="J484:O484" si="446">J92*J288</f>
        <v>4604.6289133487398</v>
      </c>
      <c r="K484" s="44">
        <f t="shared" si="446"/>
        <v>4969.3364008381341</v>
      </c>
      <c r="L484" s="44">
        <f t="shared" si="446"/>
        <v>6845.0953428377898</v>
      </c>
      <c r="M484" s="44">
        <f t="shared" si="446"/>
        <v>21983.426436040423</v>
      </c>
      <c r="N484" s="44">
        <f t="shared" si="446"/>
        <v>9606.7730553170713</v>
      </c>
      <c r="O484" s="44">
        <f t="shared" si="446"/>
        <v>10770.304643649348</v>
      </c>
    </row>
    <row r="485" spans="1:15" x14ac:dyDescent="0.2">
      <c r="A485" s="38" t="s">
        <v>28</v>
      </c>
      <c r="D485" s="44">
        <f t="shared" si="408"/>
        <v>9516.7246917790399</v>
      </c>
      <c r="E485" s="44">
        <f t="shared" si="408"/>
        <v>7589.5531906043252</v>
      </c>
      <c r="F485" s="44">
        <f t="shared" si="408"/>
        <v>22924.95812411065</v>
      </c>
      <c r="G485" s="44">
        <f t="shared" si="408"/>
        <v>54372.377757932103</v>
      </c>
      <c r="H485" s="44">
        <f t="shared" si="408"/>
        <v>1071.7142725468286</v>
      </c>
      <c r="I485" s="44">
        <f t="shared" si="408"/>
        <v>5521.8445083057459</v>
      </c>
      <c r="J485" s="44">
        <f t="shared" ref="J485:O485" si="447">J93*J289</f>
        <v>24834.887558462764</v>
      </c>
      <c r="K485" s="44">
        <f t="shared" si="447"/>
        <v>21507.759590648671</v>
      </c>
      <c r="L485" s="44">
        <f t="shared" si="447"/>
        <v>19367.862657875768</v>
      </c>
      <c r="M485" s="44">
        <f t="shared" si="447"/>
        <v>19784.229307703074</v>
      </c>
      <c r="N485" s="44">
        <f t="shared" si="447"/>
        <v>22890.399962499087</v>
      </c>
      <c r="O485" s="44">
        <f t="shared" si="447"/>
        <v>13434.12406792157</v>
      </c>
    </row>
    <row r="486" spans="1:15" x14ac:dyDescent="0.2">
      <c r="A486" s="38" t="s">
        <v>29</v>
      </c>
      <c r="D486" s="44">
        <f t="shared" si="408"/>
        <v>2845.8972171591608</v>
      </c>
      <c r="E486" s="44">
        <f t="shared" si="408"/>
        <v>2125.3039625102242</v>
      </c>
      <c r="F486" s="44">
        <f t="shared" si="408"/>
        <v>1823.0087725957367</v>
      </c>
      <c r="G486" s="44">
        <f t="shared" si="408"/>
        <v>19938.596855123254</v>
      </c>
      <c r="H486" s="44">
        <f t="shared" si="408"/>
        <v>12153.404231338303</v>
      </c>
      <c r="I486" s="44">
        <f t="shared" si="408"/>
        <v>29143.397919062296</v>
      </c>
      <c r="J486" s="44">
        <f t="shared" ref="J486:O486" si="448">J94*J290</f>
        <v>16976.748289343162</v>
      </c>
      <c r="K486" s="44">
        <f t="shared" si="448"/>
        <v>20180.174822645386</v>
      </c>
      <c r="L486" s="44">
        <f t="shared" si="448"/>
        <v>437.76122694597245</v>
      </c>
      <c r="M486" s="44">
        <f t="shared" si="448"/>
        <v>14498.964567930836</v>
      </c>
      <c r="N486" s="44">
        <f t="shared" si="448"/>
        <v>56996.694313418076</v>
      </c>
      <c r="O486" s="44">
        <f t="shared" si="448"/>
        <v>5482.7447579942063</v>
      </c>
    </row>
    <row r="487" spans="1:15" x14ac:dyDescent="0.2">
      <c r="A487" s="38" t="s">
        <v>30</v>
      </c>
      <c r="D487" s="44">
        <f t="shared" si="408"/>
        <v>11433.730276125443</v>
      </c>
      <c r="E487" s="44">
        <f t="shared" si="408"/>
        <v>11134.688892605105</v>
      </c>
      <c r="F487" s="44">
        <f t="shared" si="408"/>
        <v>20821.53633242015</v>
      </c>
      <c r="G487" s="44">
        <f t="shared" si="408"/>
        <v>73.962066497556748</v>
      </c>
      <c r="H487" s="44">
        <f t="shared" si="408"/>
        <v>11068.649760695022</v>
      </c>
      <c r="I487" s="44">
        <f t="shared" si="408"/>
        <v>7340.6143706489393</v>
      </c>
      <c r="J487" s="44">
        <f t="shared" ref="J487:O487" si="449">J95*J291</f>
        <v>3996.0682314033329</v>
      </c>
      <c r="K487" s="44">
        <f t="shared" si="449"/>
        <v>4664.8987207103291</v>
      </c>
      <c r="L487" s="44">
        <f t="shared" si="449"/>
        <v>1025.124821690521</v>
      </c>
      <c r="M487" s="44">
        <f t="shared" si="449"/>
        <v>25125.417508590486</v>
      </c>
      <c r="N487" s="44">
        <f t="shared" si="449"/>
        <v>17328.692385551087</v>
      </c>
      <c r="O487" s="44">
        <f t="shared" si="449"/>
        <v>11876.54737562507</v>
      </c>
    </row>
    <row r="488" spans="1:15" x14ac:dyDescent="0.2">
      <c r="A488" s="38" t="s">
        <v>31</v>
      </c>
      <c r="D488" s="44">
        <f t="shared" si="408"/>
        <v>259.71258682547699</v>
      </c>
      <c r="E488" s="44">
        <f t="shared" si="408"/>
        <v>16119.272408976411</v>
      </c>
      <c r="F488" s="44">
        <f t="shared" si="408"/>
        <v>9197.1157918099361</v>
      </c>
      <c r="G488" s="44">
        <f t="shared" si="408"/>
        <v>16102.646653908596</v>
      </c>
      <c r="H488" s="44">
        <f t="shared" si="408"/>
        <v>6261.0998998943032</v>
      </c>
      <c r="I488" s="44">
        <f t="shared" si="408"/>
        <v>8819.5633034015591</v>
      </c>
      <c r="J488" s="44">
        <f t="shared" ref="J488:O488" si="450">J96*J292</f>
        <v>12603.175273489043</v>
      </c>
      <c r="K488" s="44">
        <f t="shared" si="450"/>
        <v>9008.213611550309</v>
      </c>
      <c r="L488" s="44">
        <f t="shared" si="450"/>
        <v>847.49975619522252</v>
      </c>
      <c r="M488" s="44">
        <f t="shared" si="450"/>
        <v>12339.439473693008</v>
      </c>
      <c r="N488" s="44">
        <f t="shared" si="450"/>
        <v>32084.814695436282</v>
      </c>
      <c r="O488" s="44">
        <f t="shared" si="450"/>
        <v>2113.5728781593898</v>
      </c>
    </row>
    <row r="489" spans="1:15" x14ac:dyDescent="0.2">
      <c r="A489" s="38" t="s">
        <v>32</v>
      </c>
      <c r="D489" s="44">
        <f t="shared" si="408"/>
        <v>837.69694368060937</v>
      </c>
      <c r="E489" s="44">
        <f t="shared" si="408"/>
        <v>10853.659862687276</v>
      </c>
      <c r="F489" s="44">
        <f t="shared" si="408"/>
        <v>51221.986343070537</v>
      </c>
      <c r="G489" s="44">
        <f t="shared" si="408"/>
        <v>3603.077997748805</v>
      </c>
      <c r="H489" s="44">
        <f t="shared" si="408"/>
        <v>68202.713285809354</v>
      </c>
      <c r="I489" s="44">
        <f t="shared" si="408"/>
        <v>3267.0676448944614</v>
      </c>
      <c r="J489" s="44">
        <f t="shared" ref="J489:O489" si="451">J97*J293</f>
        <v>3909.3615046535092</v>
      </c>
      <c r="K489" s="44">
        <f t="shared" si="451"/>
        <v>41417.978499801451</v>
      </c>
      <c r="L489" s="44">
        <f t="shared" si="451"/>
        <v>15306.820077911525</v>
      </c>
      <c r="M489" s="44">
        <f t="shared" si="451"/>
        <v>8673.5026035945721</v>
      </c>
      <c r="N489" s="44">
        <f t="shared" si="451"/>
        <v>7349.2409776527766</v>
      </c>
      <c r="O489" s="44">
        <f t="shared" si="451"/>
        <v>5855.3774270681688</v>
      </c>
    </row>
    <row r="490" spans="1:15" x14ac:dyDescent="0.2">
      <c r="A490" s="38" t="s">
        <v>33</v>
      </c>
      <c r="D490" s="44">
        <f t="shared" si="408"/>
        <v>27115.128818610807</v>
      </c>
      <c r="E490" s="44">
        <f t="shared" si="408"/>
        <v>4495.7702316328232</v>
      </c>
      <c r="F490" s="44">
        <f t="shared" si="408"/>
        <v>1404.2042707139835</v>
      </c>
      <c r="G490" s="44">
        <f t="shared" si="408"/>
        <v>27241.70847160284</v>
      </c>
      <c r="H490" s="44">
        <f t="shared" si="408"/>
        <v>6222.3727611175309</v>
      </c>
      <c r="I490" s="44">
        <f t="shared" si="408"/>
        <v>7943.1264935278778</v>
      </c>
      <c r="J490" s="44">
        <f t="shared" ref="J490:O490" si="452">J98*J294</f>
        <v>12029.672877923782</v>
      </c>
      <c r="K490" s="44">
        <f t="shared" si="452"/>
        <v>34634.372480353544</v>
      </c>
      <c r="L490" s="44">
        <f t="shared" si="452"/>
        <v>65233.235143461745</v>
      </c>
      <c r="M490" s="44">
        <f t="shared" si="452"/>
        <v>13258.723856505005</v>
      </c>
      <c r="N490" s="44">
        <f t="shared" si="452"/>
        <v>13831.104205274032</v>
      </c>
      <c r="O490" s="44">
        <f t="shared" si="452"/>
        <v>3038.8387710891293</v>
      </c>
    </row>
    <row r="491" spans="1:15" x14ac:dyDescent="0.2">
      <c r="A491" s="38" t="s">
        <v>34</v>
      </c>
      <c r="D491" s="44">
        <f t="shared" si="408"/>
        <v>3711.3635134799961</v>
      </c>
      <c r="E491" s="44">
        <f t="shared" si="408"/>
        <v>10290.074240611371</v>
      </c>
      <c r="F491" s="44">
        <f t="shared" si="408"/>
        <v>33515.029767554981</v>
      </c>
      <c r="G491" s="44">
        <f t="shared" si="408"/>
        <v>6630.5759949522162</v>
      </c>
      <c r="H491" s="44">
        <f t="shared" si="408"/>
        <v>34568.991758570563</v>
      </c>
      <c r="I491" s="44">
        <f t="shared" si="408"/>
        <v>4625.043962056342</v>
      </c>
      <c r="J491" s="44">
        <f t="shared" ref="J491:O491" si="453">J99*J295</f>
        <v>8808.6518102369573</v>
      </c>
      <c r="K491" s="44">
        <f t="shared" si="453"/>
        <v>4385.9000600670088</v>
      </c>
      <c r="L491" s="44">
        <f t="shared" si="453"/>
        <v>39287.543089748375</v>
      </c>
      <c r="M491" s="44">
        <f t="shared" si="453"/>
        <v>2569.8674351759923</v>
      </c>
      <c r="N491" s="44">
        <f t="shared" si="453"/>
        <v>917.62164501633106</v>
      </c>
      <c r="O491" s="44">
        <f t="shared" si="453"/>
        <v>2881.7327354476274</v>
      </c>
    </row>
    <row r="492" spans="1:15" x14ac:dyDescent="0.2"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</row>
    <row r="493" spans="1:15" x14ac:dyDescent="0.2">
      <c r="A493" s="3" t="s">
        <v>54</v>
      </c>
      <c r="B493" s="3"/>
      <c r="C493" s="3"/>
      <c r="D493" s="43">
        <f>D297-D395</f>
        <v>54142.122471312294</v>
      </c>
      <c r="E493" s="43">
        <f t="shared" ref="E493:I493" si="454">E297-E395</f>
        <v>24741.324818577617</v>
      </c>
      <c r="F493" s="43">
        <f t="shared" si="454"/>
        <v>66163.536203617579</v>
      </c>
      <c r="G493" s="43">
        <f t="shared" si="454"/>
        <v>105068.12777247129</v>
      </c>
      <c r="H493" s="43">
        <f t="shared" si="454"/>
        <v>17245.248545867973</v>
      </c>
      <c r="I493" s="43">
        <f t="shared" si="454"/>
        <v>26376.124446978094</v>
      </c>
      <c r="J493" s="43">
        <f t="shared" ref="J493:O493" si="455">J297-J395</f>
        <v>48252.967573609785</v>
      </c>
      <c r="K493" s="43">
        <f t="shared" si="455"/>
        <v>82687.826181140495</v>
      </c>
      <c r="L493" s="43">
        <f t="shared" si="455"/>
        <v>41946.657345273066</v>
      </c>
      <c r="M493" s="43">
        <f t="shared" si="455"/>
        <v>22551.443992963526</v>
      </c>
      <c r="N493" s="43">
        <f t="shared" si="455"/>
        <v>50316.906063883216</v>
      </c>
      <c r="O493" s="43">
        <f t="shared" si="455"/>
        <v>27520.728358313907</v>
      </c>
    </row>
    <row r="494" spans="1:15" x14ac:dyDescent="0.2">
      <c r="A494" s="37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</row>
    <row r="495" spans="1:15" x14ac:dyDescent="0.2">
      <c r="A495" s="3" t="s">
        <v>22</v>
      </c>
      <c r="B495" s="3"/>
      <c r="C495" s="3"/>
      <c r="D495" s="43">
        <f t="shared" ref="D495:I541" si="456">D299-D397</f>
        <v>29929.161848777643</v>
      </c>
      <c r="E495" s="43">
        <f t="shared" si="456"/>
        <v>10477.237726232619</v>
      </c>
      <c r="F495" s="43">
        <f t="shared" si="456"/>
        <v>15734.16225048466</v>
      </c>
      <c r="G495" s="43">
        <f t="shared" si="456"/>
        <v>23510.438132264942</v>
      </c>
      <c r="H495" s="43">
        <f t="shared" si="456"/>
        <v>8064.3981955500203</v>
      </c>
      <c r="I495" s="43">
        <f t="shared" si="456"/>
        <v>5944.7398449169123</v>
      </c>
      <c r="J495" s="43">
        <f t="shared" ref="J495:O510" si="457">J299-J397</f>
        <v>27204.049767825898</v>
      </c>
      <c r="K495" s="43">
        <f t="shared" si="457"/>
        <v>35890.878210477997</v>
      </c>
      <c r="L495" s="43">
        <f t="shared" si="457"/>
        <v>22517.735763110948</v>
      </c>
      <c r="M495" s="43">
        <f t="shared" si="457"/>
        <v>12787.867775851162</v>
      </c>
      <c r="N495" s="43">
        <f t="shared" si="457"/>
        <v>34131.015674702707</v>
      </c>
      <c r="O495" s="43">
        <f t="shared" si="457"/>
        <v>19262.419940675958</v>
      </c>
    </row>
    <row r="496" spans="1:15" x14ac:dyDescent="0.2">
      <c r="A496" s="4" t="s">
        <v>23</v>
      </c>
      <c r="B496" s="4"/>
      <c r="C496" s="4"/>
      <c r="D496" s="45">
        <f t="shared" si="456"/>
        <v>16963.128246498731</v>
      </c>
      <c r="E496" s="45">
        <f t="shared" si="456"/>
        <v>11600.219935274392</v>
      </c>
      <c r="F496" s="45">
        <f t="shared" si="456"/>
        <v>6935.1838388274628</v>
      </c>
      <c r="G496" s="45">
        <f t="shared" si="456"/>
        <v>9973.4599194398616</v>
      </c>
      <c r="H496" s="45">
        <f t="shared" si="456"/>
        <v>-2996.5105222551792</v>
      </c>
      <c r="I496" s="45">
        <f t="shared" si="456"/>
        <v>2452.1239315223356</v>
      </c>
      <c r="J496" s="45">
        <f t="shared" si="457"/>
        <v>13407.210350740381</v>
      </c>
      <c r="K496" s="45">
        <f t="shared" si="457"/>
        <v>22722.634695267785</v>
      </c>
      <c r="L496" s="45">
        <f t="shared" si="457"/>
        <v>13409.071432822413</v>
      </c>
      <c r="M496" s="45">
        <f t="shared" si="457"/>
        <v>6321.0772671363084</v>
      </c>
      <c r="N496" s="45">
        <f t="shared" si="457"/>
        <v>7582.5103872830805</v>
      </c>
      <c r="O496" s="45">
        <f t="shared" si="457"/>
        <v>-1348.6674933821487</v>
      </c>
    </row>
    <row r="497" spans="1:15" x14ac:dyDescent="0.2">
      <c r="A497" s="37" t="s">
        <v>24</v>
      </c>
      <c r="D497" s="46">
        <f t="shared" si="456"/>
        <v>3458.7330456950513</v>
      </c>
      <c r="E497" s="46">
        <f t="shared" si="456"/>
        <v>4614.6849334294275</v>
      </c>
      <c r="F497" s="46">
        <f t="shared" si="456"/>
        <v>205.00500033027129</v>
      </c>
      <c r="G497" s="46">
        <f t="shared" si="456"/>
        <v>6546.1093267550605</v>
      </c>
      <c r="H497" s="46">
        <f t="shared" si="456"/>
        <v>1458.1553682957929</v>
      </c>
      <c r="I497" s="46">
        <f t="shared" si="456"/>
        <v>5702.2366807686485</v>
      </c>
      <c r="J497" s="46">
        <f t="shared" si="457"/>
        <v>-1783.4682488568651</v>
      </c>
      <c r="K497" s="46">
        <f t="shared" si="457"/>
        <v>4954.4671155317847</v>
      </c>
      <c r="L497" s="46">
        <f t="shared" si="457"/>
        <v>4724.475356079427</v>
      </c>
      <c r="M497" s="46">
        <f t="shared" si="457"/>
        <v>-913.24304656994354</v>
      </c>
      <c r="N497" s="46">
        <f t="shared" si="457"/>
        <v>5506.2113897371128</v>
      </c>
      <c r="O497" s="46">
        <f t="shared" si="457"/>
        <v>4274.4977674373731</v>
      </c>
    </row>
    <row r="498" spans="1:15" x14ac:dyDescent="0.2">
      <c r="A498" s="38" t="s">
        <v>25</v>
      </c>
      <c r="D498" s="44">
        <f t="shared" si="456"/>
        <v>114.81578939666576</v>
      </c>
      <c r="E498" s="44">
        <f t="shared" si="456"/>
        <v>128.60322630842836</v>
      </c>
      <c r="F498" s="44">
        <f t="shared" si="456"/>
        <v>106.29352130509858</v>
      </c>
      <c r="G498" s="44">
        <f t="shared" si="456"/>
        <v>1758.1282263751459</v>
      </c>
      <c r="H498" s="44">
        <f t="shared" si="456"/>
        <v>73.137854121443297</v>
      </c>
      <c r="I498" s="44">
        <f t="shared" si="456"/>
        <v>363.32881383429049</v>
      </c>
      <c r="J498" s="44">
        <f t="shared" si="457"/>
        <v>72.726045599423458</v>
      </c>
      <c r="K498" s="44">
        <f t="shared" si="457"/>
        <v>-15.263319519517722</v>
      </c>
      <c r="L498" s="44">
        <f t="shared" si="457"/>
        <v>-441.43514405560381</v>
      </c>
      <c r="M498" s="44">
        <f t="shared" si="457"/>
        <v>308.58126464513157</v>
      </c>
      <c r="N498" s="44">
        <f t="shared" si="457"/>
        <v>319.40102642076113</v>
      </c>
      <c r="O498" s="44">
        <f t="shared" si="457"/>
        <v>751.62406758321868</v>
      </c>
    </row>
    <row r="499" spans="1:15" x14ac:dyDescent="0.2">
      <c r="A499" s="38" t="s">
        <v>26</v>
      </c>
      <c r="D499" s="44">
        <f t="shared" si="456"/>
        <v>14.960717310525979</v>
      </c>
      <c r="E499" s="44">
        <f t="shared" si="456"/>
        <v>-107.59851729418358</v>
      </c>
      <c r="F499" s="44">
        <f t="shared" si="456"/>
        <v>-538.24383115857609</v>
      </c>
      <c r="G499" s="44">
        <f t="shared" si="456"/>
        <v>3468.1123960677178</v>
      </c>
      <c r="H499" s="44">
        <f t="shared" si="456"/>
        <v>1097.4393460032779</v>
      </c>
      <c r="I499" s="44">
        <f t="shared" si="456"/>
        <v>-41.312640800068948</v>
      </c>
      <c r="J499" s="44">
        <f t="shared" si="457"/>
        <v>375.29850804162078</v>
      </c>
      <c r="K499" s="44">
        <f t="shared" si="457"/>
        <v>-94.493581209429976</v>
      </c>
      <c r="L499" s="44">
        <f t="shared" si="457"/>
        <v>1917.8163680584303</v>
      </c>
      <c r="M499" s="44">
        <f t="shared" si="457"/>
        <v>-213.68164126193074</v>
      </c>
      <c r="N499" s="44">
        <f t="shared" si="457"/>
        <v>-420.00860632264039</v>
      </c>
      <c r="O499" s="44">
        <f t="shared" si="457"/>
        <v>97.974210897671355</v>
      </c>
    </row>
    <row r="500" spans="1:15" x14ac:dyDescent="0.2">
      <c r="A500" s="38" t="s">
        <v>27</v>
      </c>
      <c r="D500" s="44">
        <f t="shared" si="456"/>
        <v>-32.664321240814388</v>
      </c>
      <c r="E500" s="44">
        <f t="shared" si="456"/>
        <v>-260.09689231415723</v>
      </c>
      <c r="F500" s="44">
        <f t="shared" si="456"/>
        <v>377.22928173014202</v>
      </c>
      <c r="G500" s="44">
        <f t="shared" si="456"/>
        <v>-321.2571785042046</v>
      </c>
      <c r="H500" s="44">
        <f t="shared" si="456"/>
        <v>221.06488340844635</v>
      </c>
      <c r="I500" s="44">
        <f t="shared" si="456"/>
        <v>847.31456241900196</v>
      </c>
      <c r="J500" s="44">
        <f t="shared" si="457"/>
        <v>-20.326909125138855</v>
      </c>
      <c r="K500" s="44">
        <f t="shared" si="457"/>
        <v>-1034.0552518639524</v>
      </c>
      <c r="L500" s="44">
        <f t="shared" si="457"/>
        <v>-200.28965895080819</v>
      </c>
      <c r="M500" s="44">
        <f t="shared" si="457"/>
        <v>661.81030894450441</v>
      </c>
      <c r="N500" s="44">
        <f t="shared" si="457"/>
        <v>795.27939938427289</v>
      </c>
      <c r="O500" s="44">
        <f t="shared" si="457"/>
        <v>530.45665082400956</v>
      </c>
    </row>
    <row r="501" spans="1:15" x14ac:dyDescent="0.2">
      <c r="A501" s="38" t="s">
        <v>28</v>
      </c>
      <c r="D501" s="44">
        <f t="shared" si="456"/>
        <v>-35.28513674779515</v>
      </c>
      <c r="E501" s="44">
        <f t="shared" si="456"/>
        <v>14.464503354135701</v>
      </c>
      <c r="F501" s="44">
        <f t="shared" si="456"/>
        <v>45.38651680657739</v>
      </c>
      <c r="G501" s="44">
        <f t="shared" si="456"/>
        <v>-153.04926805007926</v>
      </c>
      <c r="H501" s="44">
        <f t="shared" si="456"/>
        <v>-747.05395909677645</v>
      </c>
      <c r="I501" s="44">
        <f t="shared" si="456"/>
        <v>263.91938646833114</v>
      </c>
      <c r="J501" s="44">
        <f t="shared" si="457"/>
        <v>-2423.9363144926592</v>
      </c>
      <c r="K501" s="44">
        <f t="shared" si="457"/>
        <v>5071.9361927203108</v>
      </c>
      <c r="L501" s="44">
        <f t="shared" si="457"/>
        <v>-135.0355387642021</v>
      </c>
      <c r="M501" s="44">
        <f t="shared" si="457"/>
        <v>1369.2720204956813</v>
      </c>
      <c r="N501" s="44">
        <f t="shared" si="457"/>
        <v>875.91862233618122</v>
      </c>
      <c r="O501" s="44">
        <f t="shared" si="457"/>
        <v>-275.35989154747404</v>
      </c>
    </row>
    <row r="502" spans="1:15" x14ac:dyDescent="0.2">
      <c r="A502" s="38" t="s">
        <v>29</v>
      </c>
      <c r="D502" s="44">
        <f t="shared" si="456"/>
        <v>1036.5813874454443</v>
      </c>
      <c r="E502" s="44">
        <f t="shared" si="456"/>
        <v>104.41714653941131</v>
      </c>
      <c r="F502" s="44">
        <f t="shared" si="456"/>
        <v>-1204.8965661671646</v>
      </c>
      <c r="G502" s="44">
        <f t="shared" si="456"/>
        <v>-700.52177931557162</v>
      </c>
      <c r="H502" s="44">
        <f t="shared" si="456"/>
        <v>-609.56030142138297</v>
      </c>
      <c r="I502" s="44">
        <f t="shared" si="456"/>
        <v>726.00552369901379</v>
      </c>
      <c r="J502" s="44">
        <f t="shared" si="457"/>
        <v>-1669.1079850649567</v>
      </c>
      <c r="K502" s="44">
        <f t="shared" si="457"/>
        <v>-1907.3850950374181</v>
      </c>
      <c r="L502" s="44">
        <f t="shared" si="457"/>
        <v>2392.5404762906746</v>
      </c>
      <c r="M502" s="44">
        <f t="shared" si="457"/>
        <v>1750.3763308222879</v>
      </c>
      <c r="N502" s="44">
        <f t="shared" si="457"/>
        <v>-940.56292252680942</v>
      </c>
      <c r="O502" s="44">
        <f t="shared" si="457"/>
        <v>4638.0110962984909</v>
      </c>
    </row>
    <row r="503" spans="1:15" x14ac:dyDescent="0.2">
      <c r="A503" s="38" t="s">
        <v>30</v>
      </c>
      <c r="D503" s="44">
        <f t="shared" si="456"/>
        <v>1160.3635265038929</v>
      </c>
      <c r="E503" s="44">
        <f t="shared" si="456"/>
        <v>1037.0894743681247</v>
      </c>
      <c r="F503" s="44">
        <f t="shared" si="456"/>
        <v>-300.07381142050599</v>
      </c>
      <c r="G503" s="44">
        <f t="shared" si="456"/>
        <v>2451.646423365507</v>
      </c>
      <c r="H503" s="44">
        <f t="shared" si="456"/>
        <v>1177.6273566404373</v>
      </c>
      <c r="I503" s="44">
        <f t="shared" si="456"/>
        <v>199.63259013647075</v>
      </c>
      <c r="J503" s="44">
        <f t="shared" si="457"/>
        <v>487.51974623088608</v>
      </c>
      <c r="K503" s="44">
        <f t="shared" si="457"/>
        <v>473.25605949041187</v>
      </c>
      <c r="L503" s="44">
        <f t="shared" si="457"/>
        <v>100.93852431173246</v>
      </c>
      <c r="M503" s="44">
        <f t="shared" si="457"/>
        <v>159.03091287306512</v>
      </c>
      <c r="N503" s="44">
        <f t="shared" si="457"/>
        <v>28.583972461952612</v>
      </c>
      <c r="O503" s="44">
        <f t="shared" si="457"/>
        <v>-32.280525950505648</v>
      </c>
    </row>
    <row r="504" spans="1:15" x14ac:dyDescent="0.2">
      <c r="A504" s="38" t="s">
        <v>31</v>
      </c>
      <c r="D504" s="44">
        <f t="shared" si="456"/>
        <v>21.4776800200748</v>
      </c>
      <c r="E504" s="44">
        <f t="shared" si="456"/>
        <v>4053.7548790121764</v>
      </c>
      <c r="F504" s="44">
        <f t="shared" si="456"/>
        <v>-60.996107255268726</v>
      </c>
      <c r="G504" s="44">
        <f t="shared" si="456"/>
        <v>-977.02624456457261</v>
      </c>
      <c r="H504" s="44">
        <f t="shared" si="456"/>
        <v>546.8642003037412</v>
      </c>
      <c r="I504" s="44">
        <f t="shared" si="456"/>
        <v>-99.451722057433471</v>
      </c>
      <c r="J504" s="44">
        <f t="shared" si="457"/>
        <v>-267.8041594507481</v>
      </c>
      <c r="K504" s="44">
        <f t="shared" si="457"/>
        <v>1163.7971200657862</v>
      </c>
      <c r="L504" s="44">
        <f t="shared" si="457"/>
        <v>500.86220983241856</v>
      </c>
      <c r="M504" s="44">
        <f t="shared" si="457"/>
        <v>-22.833890858748532</v>
      </c>
      <c r="N504" s="44">
        <f t="shared" si="457"/>
        <v>3424.2023598811966</v>
      </c>
      <c r="O504" s="44">
        <f t="shared" si="457"/>
        <v>-475.30131511186391</v>
      </c>
    </row>
    <row r="505" spans="1:15" x14ac:dyDescent="0.2">
      <c r="A505" s="38" t="s">
        <v>32</v>
      </c>
      <c r="D505" s="44">
        <f t="shared" si="456"/>
        <v>-49.124184962227787</v>
      </c>
      <c r="E505" s="44">
        <f t="shared" si="456"/>
        <v>382.37258977674082</v>
      </c>
      <c r="F505" s="44">
        <f t="shared" si="456"/>
        <v>1018.7688808232097</v>
      </c>
      <c r="G505" s="44">
        <f t="shared" si="456"/>
        <v>699.96381204246723</v>
      </c>
      <c r="H505" s="44">
        <f t="shared" si="456"/>
        <v>-232.91277515902743</v>
      </c>
      <c r="I505" s="44">
        <f t="shared" si="456"/>
        <v>-1331.2012622633765</v>
      </c>
      <c r="J505" s="44">
        <f t="shared" si="457"/>
        <v>1663.0295386745911</v>
      </c>
      <c r="K505" s="44">
        <f t="shared" si="457"/>
        <v>783.70856157503567</v>
      </c>
      <c r="L505" s="44">
        <f t="shared" si="457"/>
        <v>1249.7849276566176</v>
      </c>
      <c r="M505" s="44">
        <f t="shared" si="457"/>
        <v>-532.06018560147004</v>
      </c>
      <c r="N505" s="44">
        <f t="shared" si="457"/>
        <v>1689.4917503484789</v>
      </c>
      <c r="O505" s="44">
        <f t="shared" si="457"/>
        <v>-321.45180003788073</v>
      </c>
    </row>
    <row r="506" spans="1:15" x14ac:dyDescent="0.2">
      <c r="A506" s="38" t="s">
        <v>33</v>
      </c>
      <c r="D506" s="44">
        <f t="shared" si="456"/>
        <v>1114.7810631307834</v>
      </c>
      <c r="E506" s="44">
        <f t="shared" si="456"/>
        <v>157.16538358530215</v>
      </c>
      <c r="F506" s="44">
        <f t="shared" si="456"/>
        <v>232.83073007240012</v>
      </c>
      <c r="G506" s="44">
        <f t="shared" si="456"/>
        <v>-13.803447970931529</v>
      </c>
      <c r="H506" s="44">
        <f t="shared" si="456"/>
        <v>-108.26809646339962</v>
      </c>
      <c r="I506" s="44">
        <f t="shared" si="456"/>
        <v>1135.2292496120399</v>
      </c>
      <c r="J506" s="44">
        <f t="shared" si="457"/>
        <v>3615.2526640609412</v>
      </c>
      <c r="K506" s="44">
        <f t="shared" si="457"/>
        <v>289.69662266520572</v>
      </c>
      <c r="L506" s="44">
        <f t="shared" si="457"/>
        <v>353.02265746386524</v>
      </c>
      <c r="M506" s="44">
        <f t="shared" si="457"/>
        <v>-3535.3984377201159</v>
      </c>
      <c r="N506" s="44">
        <f t="shared" si="457"/>
        <v>-588.88336950492567</v>
      </c>
      <c r="O506" s="44">
        <f t="shared" si="457"/>
        <v>-21.404474500586446</v>
      </c>
    </row>
    <row r="507" spans="1:15" x14ac:dyDescent="0.2">
      <c r="A507" s="38" t="s">
        <v>34</v>
      </c>
      <c r="D507" s="44">
        <f t="shared" si="456"/>
        <v>112.8265248384937</v>
      </c>
      <c r="E507" s="44">
        <f t="shared" si="456"/>
        <v>-895.48685990654212</v>
      </c>
      <c r="F507" s="44">
        <f t="shared" si="456"/>
        <v>528.70638559435179</v>
      </c>
      <c r="G507" s="44">
        <f t="shared" si="456"/>
        <v>333.91638730957948</v>
      </c>
      <c r="H507" s="44">
        <f t="shared" si="456"/>
        <v>39.816859959037401</v>
      </c>
      <c r="I507" s="44">
        <f t="shared" si="456"/>
        <v>3638.7721797203785</v>
      </c>
      <c r="J507" s="44">
        <f t="shared" si="457"/>
        <v>-3616.1193833308225</v>
      </c>
      <c r="K507" s="44">
        <f t="shared" si="457"/>
        <v>223.26980664536131</v>
      </c>
      <c r="L507" s="44">
        <f t="shared" si="457"/>
        <v>-1013.729465763693</v>
      </c>
      <c r="M507" s="44">
        <f t="shared" si="457"/>
        <v>-858.33972890834411</v>
      </c>
      <c r="N507" s="44">
        <f t="shared" si="457"/>
        <v>322.7891572586484</v>
      </c>
      <c r="O507" s="44">
        <f t="shared" si="457"/>
        <v>-617.77025101770505</v>
      </c>
    </row>
    <row r="508" spans="1:15" x14ac:dyDescent="0.2">
      <c r="A508" s="37" t="s">
        <v>35</v>
      </c>
      <c r="D508" s="46">
        <f t="shared" si="456"/>
        <v>13504.395200803672</v>
      </c>
      <c r="E508" s="46">
        <f t="shared" si="456"/>
        <v>6985.5350018449681</v>
      </c>
      <c r="F508" s="46">
        <f t="shared" si="456"/>
        <v>6730.1788384971878</v>
      </c>
      <c r="G508" s="46">
        <f t="shared" si="456"/>
        <v>3427.3505926848011</v>
      </c>
      <c r="H508" s="46">
        <f t="shared" si="456"/>
        <v>-4454.6658905509685</v>
      </c>
      <c r="I508" s="46">
        <f t="shared" si="456"/>
        <v>-3250.1127492463129</v>
      </c>
      <c r="J508" s="46">
        <f t="shared" si="457"/>
        <v>15190.67859959726</v>
      </c>
      <c r="K508" s="46">
        <f t="shared" si="457"/>
        <v>17768.167579736008</v>
      </c>
      <c r="L508" s="46">
        <f t="shared" si="457"/>
        <v>8684.596076742986</v>
      </c>
      <c r="M508" s="46">
        <f t="shared" si="457"/>
        <v>7234.3203137062374</v>
      </c>
      <c r="N508" s="46">
        <f t="shared" si="457"/>
        <v>2076.2989975459641</v>
      </c>
      <c r="O508" s="46">
        <f t="shared" si="457"/>
        <v>-5623.1652608195291</v>
      </c>
    </row>
    <row r="509" spans="1:15" x14ac:dyDescent="0.2">
      <c r="A509" s="38" t="s">
        <v>25</v>
      </c>
      <c r="D509" s="44">
        <f t="shared" si="456"/>
        <v>3451.77451547491</v>
      </c>
      <c r="E509" s="44">
        <f t="shared" si="456"/>
        <v>3357.2419183832735</v>
      </c>
      <c r="F509" s="44">
        <f t="shared" si="456"/>
        <v>1524.9154415391949</v>
      </c>
      <c r="G509" s="44">
        <f t="shared" si="456"/>
        <v>-212.26452889992288</v>
      </c>
      <c r="H509" s="44">
        <f t="shared" si="456"/>
        <v>2801.9873697309231</v>
      </c>
      <c r="I509" s="44">
        <f t="shared" si="456"/>
        <v>557.839270215547</v>
      </c>
      <c r="J509" s="44">
        <f t="shared" si="457"/>
        <v>59.638846683464863</v>
      </c>
      <c r="K509" s="44">
        <f t="shared" si="457"/>
        <v>897.38553650285849</v>
      </c>
      <c r="L509" s="44">
        <f t="shared" si="457"/>
        <v>9323.5052167645081</v>
      </c>
      <c r="M509" s="44">
        <f t="shared" si="457"/>
        <v>-244.17786961352022</v>
      </c>
      <c r="N509" s="44">
        <f t="shared" si="457"/>
        <v>-1383.362794415465</v>
      </c>
      <c r="O509" s="44">
        <f t="shared" si="457"/>
        <v>685.50843624867775</v>
      </c>
    </row>
    <row r="510" spans="1:15" x14ac:dyDescent="0.2">
      <c r="A510" s="38" t="s">
        <v>26</v>
      </c>
      <c r="D510" s="44">
        <f t="shared" si="456"/>
        <v>-909.75799445176017</v>
      </c>
      <c r="E510" s="44">
        <f t="shared" si="456"/>
        <v>-444.59527116285199</v>
      </c>
      <c r="F510" s="44">
        <f t="shared" si="456"/>
        <v>1954.3232414758068</v>
      </c>
      <c r="G510" s="44">
        <f t="shared" si="456"/>
        <v>-764.58290445369039</v>
      </c>
      <c r="H510" s="44">
        <f t="shared" si="456"/>
        <v>4820.1400787847433</v>
      </c>
      <c r="I510" s="44">
        <f t="shared" si="456"/>
        <v>2314.8406378556683</v>
      </c>
      <c r="J510" s="44">
        <f t="shared" si="457"/>
        <v>952.61233646081746</v>
      </c>
      <c r="K510" s="44">
        <f t="shared" si="457"/>
        <v>4088.6212187845831</v>
      </c>
      <c r="L510" s="44">
        <f t="shared" si="457"/>
        <v>529.91488688111531</v>
      </c>
      <c r="M510" s="44">
        <f t="shared" si="457"/>
        <v>-88.93587865929203</v>
      </c>
      <c r="N510" s="44">
        <f t="shared" si="457"/>
        <v>-1527.3541296767262</v>
      </c>
      <c r="O510" s="44">
        <f t="shared" si="457"/>
        <v>-41.946291304184001</v>
      </c>
    </row>
    <row r="511" spans="1:15" x14ac:dyDescent="0.2">
      <c r="A511" s="38" t="s">
        <v>27</v>
      </c>
      <c r="D511" s="44">
        <f t="shared" si="456"/>
        <v>-95.369643968368109</v>
      </c>
      <c r="E511" s="44">
        <f t="shared" si="456"/>
        <v>233.63821463450495</v>
      </c>
      <c r="F511" s="44">
        <f t="shared" si="456"/>
        <v>2308.4245545762278</v>
      </c>
      <c r="G511" s="44">
        <f t="shared" si="456"/>
        <v>1414.6053306150643</v>
      </c>
      <c r="H511" s="44">
        <f t="shared" si="456"/>
        <v>-636.61078532508873</v>
      </c>
      <c r="I511" s="44">
        <f t="shared" si="456"/>
        <v>-2375.6886657127361</v>
      </c>
      <c r="J511" s="44">
        <f t="shared" ref="J511:O526" si="458">J315-J413</f>
        <v>2728.151028178012</v>
      </c>
      <c r="K511" s="44">
        <f t="shared" si="458"/>
        <v>609.54626762294333</v>
      </c>
      <c r="L511" s="44">
        <f t="shared" si="458"/>
        <v>-163.01739264141793</v>
      </c>
      <c r="M511" s="44">
        <f t="shared" si="458"/>
        <v>2491.7590585302023</v>
      </c>
      <c r="N511" s="44">
        <f t="shared" si="458"/>
        <v>-49.099488916072914</v>
      </c>
      <c r="O511" s="44">
        <f t="shared" si="458"/>
        <v>-83.89528551147373</v>
      </c>
    </row>
    <row r="512" spans="1:15" x14ac:dyDescent="0.2">
      <c r="A512" s="38" t="s">
        <v>28</v>
      </c>
      <c r="D512" s="44">
        <f t="shared" si="456"/>
        <v>-1912.5746948910646</v>
      </c>
      <c r="E512" s="44">
        <f t="shared" si="456"/>
        <v>1397.5116654057829</v>
      </c>
      <c r="F512" s="44">
        <f t="shared" si="456"/>
        <v>-2672.8072685641891</v>
      </c>
      <c r="G512" s="44">
        <f t="shared" si="456"/>
        <v>-999.35577360165917</v>
      </c>
      <c r="H512" s="44">
        <f t="shared" si="456"/>
        <v>-4113.0824292773232</v>
      </c>
      <c r="I512" s="44">
        <f t="shared" si="456"/>
        <v>2629.8657428481411</v>
      </c>
      <c r="J512" s="44">
        <f t="shared" si="458"/>
        <v>3373.3419357786479</v>
      </c>
      <c r="K512" s="44">
        <f t="shared" si="458"/>
        <v>2459.7002937541729</v>
      </c>
      <c r="L512" s="44">
        <f t="shared" si="458"/>
        <v>276.06859569604921</v>
      </c>
      <c r="M512" s="44">
        <f t="shared" si="458"/>
        <v>-2349.6905521750559</v>
      </c>
      <c r="N512" s="44">
        <f t="shared" si="458"/>
        <v>-26.089402816162647</v>
      </c>
      <c r="O512" s="44">
        <f t="shared" si="458"/>
        <v>3527.3448585306887</v>
      </c>
    </row>
    <row r="513" spans="1:15" x14ac:dyDescent="0.2">
      <c r="A513" s="38" t="s">
        <v>29</v>
      </c>
      <c r="D513" s="44">
        <f t="shared" si="456"/>
        <v>4418.1032009162154</v>
      </c>
      <c r="E513" s="44">
        <f t="shared" si="456"/>
        <v>-496.41052724538849</v>
      </c>
      <c r="F513" s="44">
        <f t="shared" si="456"/>
        <v>-712.80965288102925</v>
      </c>
      <c r="G513" s="44">
        <f t="shared" si="456"/>
        <v>1374.6029873677376</v>
      </c>
      <c r="H513" s="44">
        <f t="shared" si="456"/>
        <v>-4981.4428859136242</v>
      </c>
      <c r="I513" s="44">
        <f t="shared" si="456"/>
        <v>384.97040038333876</v>
      </c>
      <c r="J513" s="44">
        <f t="shared" si="458"/>
        <v>-2195.9878070803152</v>
      </c>
      <c r="K513" s="44">
        <f t="shared" si="458"/>
        <v>4324.759448926794</v>
      </c>
      <c r="L513" s="44">
        <f t="shared" si="458"/>
        <v>354.27086699865595</v>
      </c>
      <c r="M513" s="44">
        <f t="shared" si="458"/>
        <v>2173.9824647601745</v>
      </c>
      <c r="N513" s="44">
        <f t="shared" si="458"/>
        <v>779.34429284051635</v>
      </c>
      <c r="O513" s="44">
        <f t="shared" si="458"/>
        <v>-1414.0331048400112</v>
      </c>
    </row>
    <row r="514" spans="1:15" x14ac:dyDescent="0.2">
      <c r="A514" s="38" t="s">
        <v>30</v>
      </c>
      <c r="D514" s="44">
        <f t="shared" si="456"/>
        <v>6994.0308277768909</v>
      </c>
      <c r="E514" s="44">
        <f t="shared" si="456"/>
        <v>-703.34257460700428</v>
      </c>
      <c r="F514" s="44">
        <f t="shared" si="456"/>
        <v>24.199722235363424</v>
      </c>
      <c r="G514" s="44">
        <f t="shared" si="456"/>
        <v>397.39593064298788</v>
      </c>
      <c r="H514" s="44">
        <f t="shared" si="456"/>
        <v>-176.14295755977582</v>
      </c>
      <c r="I514" s="44">
        <f t="shared" si="456"/>
        <v>566.29040880177308</v>
      </c>
      <c r="J514" s="44">
        <f t="shared" si="458"/>
        <v>3254.4735538615332</v>
      </c>
      <c r="K514" s="44">
        <f t="shared" si="458"/>
        <v>-1165.7033875258749</v>
      </c>
      <c r="L514" s="44">
        <f t="shared" si="458"/>
        <v>-553.38223911804971</v>
      </c>
      <c r="M514" s="44">
        <f t="shared" si="458"/>
        <v>5778.7401082408651</v>
      </c>
      <c r="N514" s="44">
        <f t="shared" si="458"/>
        <v>63.84119841638767</v>
      </c>
      <c r="O514" s="44">
        <f t="shared" si="458"/>
        <v>-293.32564269037607</v>
      </c>
    </row>
    <row r="515" spans="1:15" x14ac:dyDescent="0.2">
      <c r="A515" s="38" t="s">
        <v>31</v>
      </c>
      <c r="D515" s="44">
        <f t="shared" si="456"/>
        <v>4903.6183158553795</v>
      </c>
      <c r="E515" s="44">
        <f t="shared" si="456"/>
        <v>-177.11237205452926</v>
      </c>
      <c r="F515" s="44">
        <f t="shared" si="456"/>
        <v>916.19237969527967</v>
      </c>
      <c r="G515" s="44">
        <f t="shared" si="456"/>
        <v>4029.8206706240871</v>
      </c>
      <c r="H515" s="44">
        <f t="shared" si="456"/>
        <v>-148.84608540731097</v>
      </c>
      <c r="I515" s="44">
        <f t="shared" si="456"/>
        <v>-383.20395332418411</v>
      </c>
      <c r="J515" s="44">
        <f t="shared" si="458"/>
        <v>-137.32327592151159</v>
      </c>
      <c r="K515" s="44">
        <f t="shared" si="458"/>
        <v>1437.7097472815149</v>
      </c>
      <c r="L515" s="44">
        <f t="shared" si="458"/>
        <v>-53.788250707225416</v>
      </c>
      <c r="M515" s="44">
        <f t="shared" si="458"/>
        <v>-240.36915051745564</v>
      </c>
      <c r="N515" s="44">
        <f t="shared" si="458"/>
        <v>3805.8573452177261</v>
      </c>
      <c r="O515" s="44">
        <f t="shared" si="458"/>
        <v>-6694.113106247547</v>
      </c>
    </row>
    <row r="516" spans="1:15" x14ac:dyDescent="0.2">
      <c r="A516" s="38" t="s">
        <v>32</v>
      </c>
      <c r="D516" s="44">
        <f t="shared" si="456"/>
        <v>-1026.2211915826292</v>
      </c>
      <c r="E516" s="44">
        <f t="shared" si="456"/>
        <v>3543.9173683205081</v>
      </c>
      <c r="F516" s="44">
        <f t="shared" si="456"/>
        <v>-1032.7057818361982</v>
      </c>
      <c r="G516" s="44">
        <f t="shared" si="456"/>
        <v>176.63948384520836</v>
      </c>
      <c r="H516" s="44">
        <f t="shared" si="456"/>
        <v>-1358.0214281197077</v>
      </c>
      <c r="I516" s="44">
        <f t="shared" si="456"/>
        <v>-2984.8681518593457</v>
      </c>
      <c r="J516" s="44">
        <f t="shared" si="458"/>
        <v>959.7361080513374</v>
      </c>
      <c r="K516" s="44">
        <f t="shared" si="458"/>
        <v>-868.64687322461214</v>
      </c>
      <c r="L516" s="44">
        <f t="shared" si="458"/>
        <v>614.90951691946429</v>
      </c>
      <c r="M516" s="44">
        <f t="shared" si="458"/>
        <v>-1062.1098810015737</v>
      </c>
      <c r="N516" s="44">
        <f t="shared" si="458"/>
        <v>4708.4069496664179</v>
      </c>
      <c r="O516" s="44">
        <f t="shared" si="458"/>
        <v>1617.7613927400894</v>
      </c>
    </row>
    <row r="517" spans="1:15" x14ac:dyDescent="0.2">
      <c r="A517" s="38" t="s">
        <v>33</v>
      </c>
      <c r="D517" s="44">
        <f t="shared" si="456"/>
        <v>-2345.1540673429299</v>
      </c>
      <c r="E517" s="44">
        <f t="shared" si="456"/>
        <v>975.60800604245924</v>
      </c>
      <c r="F517" s="44">
        <f t="shared" si="456"/>
        <v>2323.1619659579865</v>
      </c>
      <c r="G517" s="44">
        <f t="shared" si="456"/>
        <v>-2344.0018346783327</v>
      </c>
      <c r="H517" s="44">
        <f t="shared" si="456"/>
        <v>-3.8218672293288591</v>
      </c>
      <c r="I517" s="44">
        <f t="shared" si="456"/>
        <v>-1140.919766851709</v>
      </c>
      <c r="J517" s="44">
        <f t="shared" si="458"/>
        <v>5953.1328100567516</v>
      </c>
      <c r="K517" s="44">
        <f t="shared" si="458"/>
        <v>4891.7333032057177</v>
      </c>
      <c r="L517" s="44">
        <f t="shared" si="458"/>
        <v>85.569113255926482</v>
      </c>
      <c r="M517" s="44">
        <f t="shared" si="458"/>
        <v>1307.1389586965324</v>
      </c>
      <c r="N517" s="44">
        <f t="shared" si="458"/>
        <v>-2462.2161907102054</v>
      </c>
      <c r="O517" s="44">
        <f t="shared" si="458"/>
        <v>-624.01371958117443</v>
      </c>
    </row>
    <row r="518" spans="1:15" x14ac:dyDescent="0.2">
      <c r="A518" s="38" t="s">
        <v>34</v>
      </c>
      <c r="D518" s="44">
        <f t="shared" si="456"/>
        <v>25.945933017022071</v>
      </c>
      <c r="E518" s="44">
        <f t="shared" si="456"/>
        <v>-700.92142587177386</v>
      </c>
      <c r="F518" s="44">
        <f t="shared" si="456"/>
        <v>2097.2842362987521</v>
      </c>
      <c r="G518" s="44">
        <f t="shared" si="456"/>
        <v>354.49123122331184</v>
      </c>
      <c r="H518" s="44">
        <f t="shared" si="456"/>
        <v>-658.8249002344628</v>
      </c>
      <c r="I518" s="44">
        <f t="shared" si="456"/>
        <v>-2819.2386716028159</v>
      </c>
      <c r="J518" s="44">
        <f t="shared" si="458"/>
        <v>242.90306352851258</v>
      </c>
      <c r="K518" s="44">
        <f t="shared" si="458"/>
        <v>1093.06202440792</v>
      </c>
      <c r="L518" s="44">
        <f t="shared" si="458"/>
        <v>-1729.4542373060467</v>
      </c>
      <c r="M518" s="44">
        <f t="shared" si="458"/>
        <v>-532.01694455462484</v>
      </c>
      <c r="N518" s="44">
        <f t="shared" si="458"/>
        <v>-1833.0287820604462</v>
      </c>
      <c r="O518" s="44">
        <f t="shared" si="458"/>
        <v>-2302.4527981642204</v>
      </c>
    </row>
    <row r="519" spans="1:15" x14ac:dyDescent="0.2">
      <c r="A519" s="4" t="s">
        <v>36</v>
      </c>
      <c r="B519" s="4"/>
      <c r="C519" s="4"/>
      <c r="D519" s="45">
        <f t="shared" si="456"/>
        <v>12966.033602278912</v>
      </c>
      <c r="E519" s="45">
        <f t="shared" si="456"/>
        <v>-1122.9822090417729</v>
      </c>
      <c r="F519" s="45">
        <f t="shared" si="456"/>
        <v>8798.9784116571973</v>
      </c>
      <c r="G519" s="45">
        <f t="shared" si="456"/>
        <v>13536.97821282511</v>
      </c>
      <c r="H519" s="45">
        <f t="shared" si="456"/>
        <v>11060.908717805229</v>
      </c>
      <c r="I519" s="45">
        <f t="shared" si="456"/>
        <v>3492.6159133946057</v>
      </c>
      <c r="J519" s="45">
        <f t="shared" si="458"/>
        <v>13796.839417085517</v>
      </c>
      <c r="K519" s="45">
        <f t="shared" si="458"/>
        <v>13168.243515210212</v>
      </c>
      <c r="L519" s="45">
        <f t="shared" si="458"/>
        <v>9108.6643302885495</v>
      </c>
      <c r="M519" s="45">
        <f t="shared" si="458"/>
        <v>6466.7905087148974</v>
      </c>
      <c r="N519" s="45">
        <f t="shared" si="458"/>
        <v>26548.505287419626</v>
      </c>
      <c r="O519" s="45">
        <f t="shared" si="458"/>
        <v>20611.087434058136</v>
      </c>
    </row>
    <row r="520" spans="1:15" x14ac:dyDescent="0.2">
      <c r="A520" s="37" t="s">
        <v>24</v>
      </c>
      <c r="D520" s="46">
        <f t="shared" si="456"/>
        <v>5221.3605850540189</v>
      </c>
      <c r="E520" s="46">
        <f t="shared" si="456"/>
        <v>2382.6066295765631</v>
      </c>
      <c r="F520" s="46">
        <f t="shared" si="456"/>
        <v>2778.2633048161697</v>
      </c>
      <c r="G520" s="46">
        <f t="shared" si="456"/>
        <v>2043.5541394300672</v>
      </c>
      <c r="H520" s="46">
        <f t="shared" si="456"/>
        <v>1507.5120572424348</v>
      </c>
      <c r="I520" s="46">
        <f t="shared" si="456"/>
        <v>641.74853020939918</v>
      </c>
      <c r="J520" s="46">
        <f t="shared" si="458"/>
        <v>4807.4025053458972</v>
      </c>
      <c r="K520" s="46">
        <f t="shared" si="458"/>
        <v>5079.0973514988837</v>
      </c>
      <c r="L520" s="46">
        <f t="shared" si="458"/>
        <v>2134.9631204459947</v>
      </c>
      <c r="M520" s="46">
        <f t="shared" si="458"/>
        <v>-2023.0973706936275</v>
      </c>
      <c r="N520" s="46">
        <f t="shared" si="458"/>
        <v>13267.854044522799</v>
      </c>
      <c r="O520" s="46">
        <f t="shared" si="458"/>
        <v>7329.188213723035</v>
      </c>
    </row>
    <row r="521" spans="1:15" x14ac:dyDescent="0.2">
      <c r="A521" s="38" t="s">
        <v>25</v>
      </c>
      <c r="D521" s="44">
        <f t="shared" si="456"/>
        <v>740.46834459869933</v>
      </c>
      <c r="E521" s="44">
        <f t="shared" si="456"/>
        <v>-293.03525772401781</v>
      </c>
      <c r="F521" s="44">
        <f t="shared" si="456"/>
        <v>1574.8278295748405</v>
      </c>
      <c r="G521" s="44">
        <f t="shared" si="456"/>
        <v>-1047.6720168125848</v>
      </c>
      <c r="H521" s="44">
        <f t="shared" si="456"/>
        <v>-305.02074771608386</v>
      </c>
      <c r="I521" s="44">
        <f t="shared" si="456"/>
        <v>-187.31310912595563</v>
      </c>
      <c r="J521" s="44">
        <f t="shared" si="458"/>
        <v>-1598.7974837339862</v>
      </c>
      <c r="K521" s="44">
        <f t="shared" si="458"/>
        <v>1330.35277325777</v>
      </c>
      <c r="L521" s="44">
        <f t="shared" si="458"/>
        <v>-56.244703144399409</v>
      </c>
      <c r="M521" s="44">
        <f t="shared" si="458"/>
        <v>465.86435040671972</v>
      </c>
      <c r="N521" s="44">
        <f t="shared" si="458"/>
        <v>1665.3661335463094</v>
      </c>
      <c r="O521" s="44">
        <f t="shared" si="458"/>
        <v>3645.2305565996003</v>
      </c>
    </row>
    <row r="522" spans="1:15" x14ac:dyDescent="0.2">
      <c r="A522" s="38" t="s">
        <v>26</v>
      </c>
      <c r="D522" s="44">
        <f t="shared" si="456"/>
        <v>-5.4680156963513582</v>
      </c>
      <c r="E522" s="44">
        <f t="shared" si="456"/>
        <v>-71.522719710677848</v>
      </c>
      <c r="F522" s="44">
        <f t="shared" si="456"/>
        <v>-339.09315621477799</v>
      </c>
      <c r="G522" s="44">
        <f t="shared" si="456"/>
        <v>141.76100856178255</v>
      </c>
      <c r="H522" s="44">
        <f t="shared" si="456"/>
        <v>-133.25425259093777</v>
      </c>
      <c r="I522" s="44">
        <f t="shared" si="456"/>
        <v>-629.51563179094273</v>
      </c>
      <c r="J522" s="44">
        <f t="shared" si="458"/>
        <v>716.52241220533961</v>
      </c>
      <c r="K522" s="44">
        <f t="shared" si="458"/>
        <v>359.22636558120485</v>
      </c>
      <c r="L522" s="44">
        <f t="shared" si="458"/>
        <v>-131.01410710355594</v>
      </c>
      <c r="M522" s="44">
        <f t="shared" si="458"/>
        <v>-328.67781031646336</v>
      </c>
      <c r="N522" s="44">
        <f t="shared" si="458"/>
        <v>5090.5471983582502</v>
      </c>
      <c r="O522" s="44">
        <f t="shared" si="458"/>
        <v>706.05528842651438</v>
      </c>
    </row>
    <row r="523" spans="1:15" x14ac:dyDescent="0.2">
      <c r="A523" s="38" t="s">
        <v>27</v>
      </c>
      <c r="D523" s="44">
        <f t="shared" si="456"/>
        <v>728.56481394745265</v>
      </c>
      <c r="E523" s="44">
        <f t="shared" si="456"/>
        <v>935.8697218580528</v>
      </c>
      <c r="F523" s="44">
        <f t="shared" si="456"/>
        <v>881.70538309848598</v>
      </c>
      <c r="G523" s="44">
        <f t="shared" si="456"/>
        <v>588.40923545469059</v>
      </c>
      <c r="H523" s="44">
        <f t="shared" si="456"/>
        <v>346.11754463926536</v>
      </c>
      <c r="I523" s="44">
        <f t="shared" si="456"/>
        <v>-1716.287339917787</v>
      </c>
      <c r="J523" s="44">
        <f t="shared" si="458"/>
        <v>1692.5158256446525</v>
      </c>
      <c r="K523" s="44">
        <f t="shared" si="458"/>
        <v>-154.33533460011188</v>
      </c>
      <c r="L523" s="44">
        <f t="shared" si="458"/>
        <v>-512.66277015302421</v>
      </c>
      <c r="M523" s="44">
        <f t="shared" si="458"/>
        <v>-89.850362948860038</v>
      </c>
      <c r="N523" s="44">
        <f t="shared" si="458"/>
        <v>1024.9718450988771</v>
      </c>
      <c r="O523" s="44">
        <f t="shared" si="458"/>
        <v>990.24774999399051</v>
      </c>
    </row>
    <row r="524" spans="1:15" x14ac:dyDescent="0.2">
      <c r="A524" s="38" t="s">
        <v>28</v>
      </c>
      <c r="D524" s="44">
        <f t="shared" si="456"/>
        <v>282.62855340011743</v>
      </c>
      <c r="E524" s="44">
        <f t="shared" si="456"/>
        <v>283.30685164284864</v>
      </c>
      <c r="F524" s="44">
        <f t="shared" si="456"/>
        <v>190.03692369266628</v>
      </c>
      <c r="G524" s="44">
        <f t="shared" si="456"/>
        <v>-91.330338204574218</v>
      </c>
      <c r="H524" s="44">
        <f t="shared" si="456"/>
        <v>347.17587832434583</v>
      </c>
      <c r="I524" s="44">
        <f t="shared" si="456"/>
        <v>45.804402096661988</v>
      </c>
      <c r="J524" s="44">
        <f t="shared" si="458"/>
        <v>793.92417360591571</v>
      </c>
      <c r="K524" s="44">
        <f t="shared" si="458"/>
        <v>930.46661549888722</v>
      </c>
      <c r="L524" s="44">
        <f t="shared" si="458"/>
        <v>3.42063103173939</v>
      </c>
      <c r="M524" s="44">
        <f t="shared" si="458"/>
        <v>-8.685871640042194</v>
      </c>
      <c r="N524" s="44">
        <f t="shared" si="458"/>
        <v>2763.8114695910272</v>
      </c>
      <c r="O524" s="44">
        <f t="shared" si="458"/>
        <v>233.66594066837933</v>
      </c>
    </row>
    <row r="525" spans="1:15" x14ac:dyDescent="0.2">
      <c r="A525" s="38" t="s">
        <v>29</v>
      </c>
      <c r="D525" s="44">
        <f t="shared" si="456"/>
        <v>381.74392078121514</v>
      </c>
      <c r="E525" s="44">
        <f t="shared" si="456"/>
        <v>336.73571986457682</v>
      </c>
      <c r="F525" s="44">
        <f t="shared" si="456"/>
        <v>483.61605292781678</v>
      </c>
      <c r="G525" s="44">
        <f t="shared" si="456"/>
        <v>101.91684684007706</v>
      </c>
      <c r="H525" s="44">
        <f t="shared" si="456"/>
        <v>188.69453215189151</v>
      </c>
      <c r="I525" s="44">
        <f t="shared" si="456"/>
        <v>237.78284017809631</v>
      </c>
      <c r="J525" s="44">
        <f t="shared" si="458"/>
        <v>845.93049066559979</v>
      </c>
      <c r="K525" s="44">
        <f t="shared" si="458"/>
        <v>2307.8849662895354</v>
      </c>
      <c r="L525" s="44">
        <f t="shared" si="458"/>
        <v>1502.6632825812299</v>
      </c>
      <c r="M525" s="44">
        <f t="shared" si="458"/>
        <v>-159.1230617801059</v>
      </c>
      <c r="N525" s="44">
        <f t="shared" si="458"/>
        <v>-1182.4992331195626</v>
      </c>
      <c r="O525" s="44">
        <f t="shared" si="458"/>
        <v>489.9848032057173</v>
      </c>
    </row>
    <row r="526" spans="1:15" x14ac:dyDescent="0.2">
      <c r="A526" s="38" t="s">
        <v>30</v>
      </c>
      <c r="D526" s="44">
        <f t="shared" si="456"/>
        <v>226.07767414098475</v>
      </c>
      <c r="E526" s="44">
        <f t="shared" si="456"/>
        <v>-455.95171031535119</v>
      </c>
      <c r="F526" s="44">
        <f t="shared" si="456"/>
        <v>494.6585635762583</v>
      </c>
      <c r="G526" s="44">
        <f t="shared" si="456"/>
        <v>64.686266089352245</v>
      </c>
      <c r="H526" s="44">
        <f t="shared" si="456"/>
        <v>1289.8297447557652</v>
      </c>
      <c r="I526" s="44">
        <f t="shared" si="456"/>
        <v>-180.87916581423269</v>
      </c>
      <c r="J526" s="44">
        <f t="shared" si="458"/>
        <v>741.9754944866097</v>
      </c>
      <c r="K526" s="44">
        <f t="shared" si="458"/>
        <v>91.933437818618899</v>
      </c>
      <c r="L526" s="44">
        <f t="shared" si="458"/>
        <v>-1.9527559761017983</v>
      </c>
      <c r="M526" s="44">
        <f t="shared" si="458"/>
        <v>-727.11848175531804</v>
      </c>
      <c r="N526" s="44">
        <f t="shared" si="458"/>
        <v>1668.8921230299902</v>
      </c>
      <c r="O526" s="44">
        <f t="shared" si="458"/>
        <v>128.27149316913301</v>
      </c>
    </row>
    <row r="527" spans="1:15" x14ac:dyDescent="0.2">
      <c r="A527" s="38" t="s">
        <v>31</v>
      </c>
      <c r="D527" s="44">
        <f t="shared" si="456"/>
        <v>2281.6462686562309</v>
      </c>
      <c r="E527" s="44">
        <f t="shared" si="456"/>
        <v>321.71822749091325</v>
      </c>
      <c r="F527" s="44">
        <f t="shared" si="456"/>
        <v>43.295482117170707</v>
      </c>
      <c r="G527" s="44">
        <f t="shared" si="456"/>
        <v>109.61027024567738</v>
      </c>
      <c r="H527" s="44">
        <f t="shared" si="456"/>
        <v>1.8790323318928017</v>
      </c>
      <c r="I527" s="44">
        <f t="shared" si="456"/>
        <v>-269.35745639683182</v>
      </c>
      <c r="J527" s="44">
        <f t="shared" ref="J527:O535" si="459">J331-J429</f>
        <v>-367.93038472378248</v>
      </c>
      <c r="K527" s="44">
        <f t="shared" si="459"/>
        <v>173.52153334648494</v>
      </c>
      <c r="L527" s="44">
        <f t="shared" si="459"/>
        <v>591.58555093299447</v>
      </c>
      <c r="M527" s="44">
        <f t="shared" si="459"/>
        <v>578.46251339325659</v>
      </c>
      <c r="N527" s="44">
        <f t="shared" si="459"/>
        <v>993.49128544040741</v>
      </c>
      <c r="O527" s="44">
        <f t="shared" si="459"/>
        <v>13.947731578085723</v>
      </c>
    </row>
    <row r="528" spans="1:15" x14ac:dyDescent="0.2">
      <c r="A528" s="38" t="s">
        <v>32</v>
      </c>
      <c r="D528" s="44">
        <f t="shared" si="456"/>
        <v>4.073304844097855</v>
      </c>
      <c r="E528" s="44">
        <f t="shared" si="456"/>
        <v>136.19924406944062</v>
      </c>
      <c r="F528" s="44">
        <f t="shared" si="456"/>
        <v>-1225.4735479626916</v>
      </c>
      <c r="G528" s="44">
        <f t="shared" si="456"/>
        <v>298.5623171112029</v>
      </c>
      <c r="H528" s="44">
        <f t="shared" si="456"/>
        <v>-1068.8716791594725</v>
      </c>
      <c r="I528" s="44">
        <f t="shared" si="456"/>
        <v>-529.72072455621401</v>
      </c>
      <c r="J528" s="44">
        <f t="shared" si="459"/>
        <v>-95.240930769083548</v>
      </c>
      <c r="K528" s="44">
        <f t="shared" si="459"/>
        <v>-418.07010544598074</v>
      </c>
      <c r="L528" s="44">
        <f t="shared" si="459"/>
        <v>598.74692170571802</v>
      </c>
      <c r="M528" s="44">
        <f t="shared" si="459"/>
        <v>-1471.7478213781096</v>
      </c>
      <c r="N528" s="44">
        <f t="shared" si="459"/>
        <v>1103.1958649525227</v>
      </c>
      <c r="O528" s="44">
        <f t="shared" si="459"/>
        <v>1195.7250873925013</v>
      </c>
    </row>
    <row r="529" spans="1:15" x14ac:dyDescent="0.2">
      <c r="A529" s="38" t="s">
        <v>33</v>
      </c>
      <c r="D529" s="44">
        <f t="shared" si="456"/>
        <v>55.835964668300221</v>
      </c>
      <c r="E529" s="44">
        <f t="shared" si="456"/>
        <v>-83.562320035289986</v>
      </c>
      <c r="F529" s="44">
        <f t="shared" si="456"/>
        <v>36.366685158797878</v>
      </c>
      <c r="G529" s="44">
        <f t="shared" si="456"/>
        <v>1575.3007184890926</v>
      </c>
      <c r="H529" s="44">
        <f t="shared" si="456"/>
        <v>-1776.5197056627676</v>
      </c>
      <c r="I529" s="44">
        <f t="shared" si="456"/>
        <v>993.08262599653949</v>
      </c>
      <c r="J529" s="44">
        <f t="shared" si="459"/>
        <v>1104.737636031768</v>
      </c>
      <c r="K529" s="44">
        <f t="shared" si="459"/>
        <v>-118.96752461777646</v>
      </c>
      <c r="L529" s="44">
        <f t="shared" si="459"/>
        <v>235.69151480310654</v>
      </c>
      <c r="M529" s="44">
        <f t="shared" si="459"/>
        <v>-86.379652653006588</v>
      </c>
      <c r="N529" s="44">
        <f t="shared" si="459"/>
        <v>-70.254121414277961</v>
      </c>
      <c r="O529" s="44">
        <f t="shared" si="459"/>
        <v>76.013005038667302</v>
      </c>
    </row>
    <row r="530" spans="1:15" x14ac:dyDescent="0.2">
      <c r="A530" s="38" t="s">
        <v>34</v>
      </c>
      <c r="D530" s="44">
        <f t="shared" si="456"/>
        <v>525.78975571327169</v>
      </c>
      <c r="E530" s="44">
        <f t="shared" si="456"/>
        <v>1272.8488724360677</v>
      </c>
      <c r="F530" s="44">
        <f t="shared" si="456"/>
        <v>638.32308884760459</v>
      </c>
      <c r="G530" s="44">
        <f t="shared" si="456"/>
        <v>302.30983165535531</v>
      </c>
      <c r="H530" s="44">
        <f t="shared" si="456"/>
        <v>2617.4817101685458</v>
      </c>
      <c r="I530" s="44">
        <f t="shared" si="456"/>
        <v>2878.1520895400627</v>
      </c>
      <c r="J530" s="44">
        <f t="shared" si="459"/>
        <v>973.76527193287166</v>
      </c>
      <c r="K530" s="44">
        <f t="shared" si="459"/>
        <v>577.08462437025219</v>
      </c>
      <c r="L530" s="44">
        <f t="shared" si="459"/>
        <v>-95.270444231709916</v>
      </c>
      <c r="M530" s="44">
        <f t="shared" si="459"/>
        <v>-195.84117202169909</v>
      </c>
      <c r="N530" s="44">
        <f t="shared" si="459"/>
        <v>210.3314790392692</v>
      </c>
      <c r="O530" s="44">
        <f t="shared" si="459"/>
        <v>-149.95344234955246</v>
      </c>
    </row>
    <row r="531" spans="1:15" x14ac:dyDescent="0.2">
      <c r="A531" s="37" t="s">
        <v>35</v>
      </c>
      <c r="D531" s="46">
        <f t="shared" si="456"/>
        <v>7744.6730172248863</v>
      </c>
      <c r="E531" s="46">
        <f t="shared" si="456"/>
        <v>-3505.588838618336</v>
      </c>
      <c r="F531" s="46">
        <f t="shared" si="456"/>
        <v>6020.715106841024</v>
      </c>
      <c r="G531" s="46">
        <f t="shared" si="456"/>
        <v>11493.424073395043</v>
      </c>
      <c r="H531" s="46">
        <f t="shared" si="456"/>
        <v>9553.3966605627938</v>
      </c>
      <c r="I531" s="46">
        <f t="shared" si="456"/>
        <v>2850.8673831851775</v>
      </c>
      <c r="J531" s="46">
        <f t="shared" si="459"/>
        <v>8989.4369117396127</v>
      </c>
      <c r="K531" s="46">
        <f t="shared" si="459"/>
        <v>8089.1461637113389</v>
      </c>
      <c r="L531" s="46">
        <f t="shared" si="459"/>
        <v>6973.7012098425475</v>
      </c>
      <c r="M531" s="46">
        <f t="shared" si="459"/>
        <v>8489.8878794085176</v>
      </c>
      <c r="N531" s="46">
        <f t="shared" si="459"/>
        <v>13280.651242896827</v>
      </c>
      <c r="O531" s="46">
        <f t="shared" si="459"/>
        <v>13281.899220335108</v>
      </c>
    </row>
    <row r="532" spans="1:15" x14ac:dyDescent="0.2">
      <c r="A532" s="38" t="s">
        <v>25</v>
      </c>
      <c r="D532" s="44">
        <f t="shared" si="456"/>
        <v>4482.6297076707051</v>
      </c>
      <c r="E532" s="44">
        <f t="shared" si="456"/>
        <v>-927.12494031323877</v>
      </c>
      <c r="F532" s="44">
        <f t="shared" si="456"/>
        <v>-350.38451397137169</v>
      </c>
      <c r="G532" s="44">
        <f t="shared" si="456"/>
        <v>802.30808287533137</v>
      </c>
      <c r="H532" s="44">
        <f t="shared" si="456"/>
        <v>-1463.8091864533853</v>
      </c>
      <c r="I532" s="44">
        <f t="shared" si="456"/>
        <v>-441.25830740881065</v>
      </c>
      <c r="J532" s="44">
        <f t="shared" si="459"/>
        <v>-789.70246004631372</v>
      </c>
      <c r="K532" s="44">
        <f t="shared" si="459"/>
        <v>100.10205665287924</v>
      </c>
      <c r="L532" s="44">
        <f t="shared" si="459"/>
        <v>5752.8207610913105</v>
      </c>
      <c r="M532" s="44">
        <f t="shared" si="459"/>
        <v>-278.85023975541844</v>
      </c>
      <c r="N532" s="44">
        <f t="shared" si="459"/>
        <v>6731.6722603017588</v>
      </c>
      <c r="O532" s="44">
        <f t="shared" si="459"/>
        <v>-2417.3926563782952</v>
      </c>
    </row>
    <row r="533" spans="1:15" x14ac:dyDescent="0.2">
      <c r="A533" s="38" t="s">
        <v>26</v>
      </c>
      <c r="D533" s="44">
        <f t="shared" si="456"/>
        <v>-1039.3192583451801</v>
      </c>
      <c r="E533" s="44">
        <f t="shared" si="456"/>
        <v>-2399.4490695298209</v>
      </c>
      <c r="F533" s="44">
        <f t="shared" si="456"/>
        <v>1996.6111169201477</v>
      </c>
      <c r="G533" s="44">
        <f t="shared" si="456"/>
        <v>1220.4841620136604</v>
      </c>
      <c r="H533" s="44">
        <f t="shared" si="456"/>
        <v>230.85842192575137</v>
      </c>
      <c r="I533" s="44">
        <f t="shared" si="456"/>
        <v>3367.4190679951244</v>
      </c>
      <c r="J533" s="44">
        <f t="shared" si="459"/>
        <v>3.6296525584451267</v>
      </c>
      <c r="K533" s="44">
        <f t="shared" si="459"/>
        <v>1600.3194323453299</v>
      </c>
      <c r="L533" s="44">
        <f t="shared" si="459"/>
        <v>-796.9796782823164</v>
      </c>
      <c r="M533" s="44">
        <f t="shared" si="459"/>
        <v>-2144.8268718707241</v>
      </c>
      <c r="N533" s="44">
        <f t="shared" si="459"/>
        <v>-2119.8420749417674</v>
      </c>
      <c r="O533" s="44">
        <f t="shared" si="459"/>
        <v>-2246.7054068186007</v>
      </c>
    </row>
    <row r="534" spans="1:15" x14ac:dyDescent="0.2">
      <c r="A534" s="38" t="s">
        <v>27</v>
      </c>
      <c r="D534" s="44">
        <f t="shared" si="456"/>
        <v>-1064.3423482852431</v>
      </c>
      <c r="E534" s="44">
        <f t="shared" si="456"/>
        <v>998.32178594314109</v>
      </c>
      <c r="F534" s="44">
        <f t="shared" si="456"/>
        <v>153.42003433733771</v>
      </c>
      <c r="G534" s="44">
        <f t="shared" si="456"/>
        <v>66.777406587350015</v>
      </c>
      <c r="H534" s="44">
        <f t="shared" si="456"/>
        <v>1.4750520557608979</v>
      </c>
      <c r="I534" s="44">
        <f t="shared" si="456"/>
        <v>1718.7312374273406</v>
      </c>
      <c r="J534" s="44">
        <f t="shared" si="459"/>
        <v>-140.07420835916491</v>
      </c>
      <c r="K534" s="44">
        <f t="shared" si="459"/>
        <v>1256.9660811610447</v>
      </c>
      <c r="L534" s="44">
        <f t="shared" si="459"/>
        <v>-32.8130890076593</v>
      </c>
      <c r="M534" s="44">
        <f t="shared" si="459"/>
        <v>-520.80333144059296</v>
      </c>
      <c r="N534" s="44">
        <f t="shared" si="459"/>
        <v>652.94641696838244</v>
      </c>
      <c r="O534" s="44">
        <f t="shared" si="459"/>
        <v>997.89949609305768</v>
      </c>
    </row>
    <row r="535" spans="1:15" x14ac:dyDescent="0.2">
      <c r="A535" s="38" t="s">
        <v>28</v>
      </c>
      <c r="D535" s="44">
        <f t="shared" si="456"/>
        <v>1277.7660828508251</v>
      </c>
      <c r="E535" s="44">
        <f t="shared" si="456"/>
        <v>-197.45917337454171</v>
      </c>
      <c r="F535" s="44">
        <f t="shared" si="456"/>
        <v>126.195754178073</v>
      </c>
      <c r="G535" s="44">
        <f t="shared" si="456"/>
        <v>-787.83681290551431</v>
      </c>
      <c r="H535" s="44">
        <f t="shared" si="456"/>
        <v>8917.9500785545606</v>
      </c>
      <c r="I535" s="44">
        <f t="shared" si="456"/>
        <v>570.40874423713103</v>
      </c>
      <c r="J535" s="44">
        <f t="shared" si="459"/>
        <v>230.02517997215909</v>
      </c>
      <c r="K535" s="44">
        <f t="shared" si="459"/>
        <v>923.77146357680977</v>
      </c>
      <c r="L535" s="44">
        <f t="shared" si="459"/>
        <v>-1802.680484628263</v>
      </c>
      <c r="M535" s="44">
        <f t="shared" si="459"/>
        <v>-46.067636353786156</v>
      </c>
      <c r="N535" s="44">
        <f t="shared" si="459"/>
        <v>-114.01796598600322</v>
      </c>
      <c r="O535" s="44">
        <f t="shared" si="459"/>
        <v>-32.482343929987678</v>
      </c>
    </row>
    <row r="536" spans="1:15" x14ac:dyDescent="0.2">
      <c r="A536" s="38" t="s">
        <v>29</v>
      </c>
      <c r="D536" s="44">
        <f t="shared" si="456"/>
        <v>1197.202673605334</v>
      </c>
      <c r="E536" s="44">
        <f t="shared" si="456"/>
        <v>-1139.3245890106809</v>
      </c>
      <c r="F536" s="44">
        <f t="shared" si="456"/>
        <v>-779.79266503649524</v>
      </c>
      <c r="G536" s="44">
        <f t="shared" si="456"/>
        <v>-26.085369549087773</v>
      </c>
      <c r="H536" s="44">
        <f t="shared" ref="E536:I541" si="460">H340-H438</f>
        <v>1377.0776508035101</v>
      </c>
      <c r="I536" s="44">
        <f t="shared" si="460"/>
        <v>-171.40398054177422</v>
      </c>
      <c r="J536" s="44">
        <f t="shared" ref="J536:O536" si="461">J340-J438</f>
        <v>3533.0301597819744</v>
      </c>
      <c r="K536" s="44">
        <f t="shared" si="461"/>
        <v>741.03785873507877</v>
      </c>
      <c r="L536" s="44">
        <f t="shared" si="461"/>
        <v>3344.5168681579162</v>
      </c>
      <c r="M536" s="44">
        <f t="shared" si="461"/>
        <v>1792.3962029376598</v>
      </c>
      <c r="N536" s="44">
        <f t="shared" si="461"/>
        <v>1133.2447821178057</v>
      </c>
      <c r="O536" s="44">
        <f t="shared" si="461"/>
        <v>1157.6434064033383</v>
      </c>
    </row>
    <row r="537" spans="1:15" x14ac:dyDescent="0.2">
      <c r="A537" s="38" t="s">
        <v>30</v>
      </c>
      <c r="D537" s="44">
        <f t="shared" si="456"/>
        <v>-364.4424371789537</v>
      </c>
      <c r="E537" s="44">
        <f t="shared" si="460"/>
        <v>1996.5031739637143</v>
      </c>
      <c r="F537" s="44">
        <f t="shared" si="460"/>
        <v>652.16441095692949</v>
      </c>
      <c r="G537" s="44">
        <f t="shared" si="460"/>
        <v>4778.0840441401451</v>
      </c>
      <c r="H537" s="44">
        <f t="shared" si="460"/>
        <v>-491.79212702975565</v>
      </c>
      <c r="I537" s="44">
        <f t="shared" si="460"/>
        <v>120.32125419349541</v>
      </c>
      <c r="J537" s="44">
        <f t="shared" ref="J537:O537" si="462">J341-J439</f>
        <v>587.15892579177034</v>
      </c>
      <c r="K537" s="44">
        <f t="shared" si="462"/>
        <v>-2745.7889564130528</v>
      </c>
      <c r="L537" s="44">
        <f t="shared" si="462"/>
        <v>-753.19996648563028</v>
      </c>
      <c r="M537" s="44">
        <f t="shared" si="462"/>
        <v>-1499.9401182300744</v>
      </c>
      <c r="N537" s="44">
        <f t="shared" si="462"/>
        <v>1680.3660203509598</v>
      </c>
      <c r="O537" s="44">
        <f t="shared" si="462"/>
        <v>-883.05334155321907</v>
      </c>
    </row>
    <row r="538" spans="1:15" x14ac:dyDescent="0.2">
      <c r="A538" s="38" t="s">
        <v>31</v>
      </c>
      <c r="D538" s="44">
        <f t="shared" si="456"/>
        <v>997.57734616321113</v>
      </c>
      <c r="E538" s="44">
        <f t="shared" si="460"/>
        <v>-422.83564395023677</v>
      </c>
      <c r="F538" s="44">
        <f t="shared" si="460"/>
        <v>2101.6477343053662</v>
      </c>
      <c r="G538" s="44">
        <f t="shared" si="460"/>
        <v>2718.0050182632103</v>
      </c>
      <c r="H538" s="44">
        <f t="shared" si="460"/>
        <v>-4093.1969923744546</v>
      </c>
      <c r="I538" s="44">
        <f t="shared" si="460"/>
        <v>540.82241263844935</v>
      </c>
      <c r="J538" s="44">
        <f t="shared" ref="J538:O538" si="463">J342-J440</f>
        <v>5247.3178207488272</v>
      </c>
      <c r="K538" s="44">
        <f t="shared" si="463"/>
        <v>1666.7502008659258</v>
      </c>
      <c r="L538" s="44">
        <f t="shared" si="463"/>
        <v>3020.5620670205899</v>
      </c>
      <c r="M538" s="44">
        <f t="shared" si="463"/>
        <v>3762.870545905349</v>
      </c>
      <c r="N538" s="44">
        <f t="shared" si="463"/>
        <v>254.82023237458634</v>
      </c>
      <c r="O538" s="44">
        <f t="shared" si="463"/>
        <v>-652.13134738939152</v>
      </c>
    </row>
    <row r="539" spans="1:15" x14ac:dyDescent="0.2">
      <c r="A539" s="38" t="s">
        <v>32</v>
      </c>
      <c r="D539" s="44">
        <f t="shared" si="456"/>
        <v>483.93891953609591</v>
      </c>
      <c r="E539" s="44">
        <f t="shared" si="460"/>
        <v>38.389599347854528</v>
      </c>
      <c r="F539" s="44">
        <f t="shared" si="460"/>
        <v>-113.66978245085329</v>
      </c>
      <c r="G539" s="44">
        <f t="shared" si="460"/>
        <v>-297.08285466307666</v>
      </c>
      <c r="H539" s="44">
        <f t="shared" si="460"/>
        <v>2778.5190836866204</v>
      </c>
      <c r="I539" s="44">
        <f t="shared" si="460"/>
        <v>1.2498099648667229</v>
      </c>
      <c r="J539" s="44">
        <f t="shared" ref="J539:O539" si="464">J343-J441</f>
        <v>-41.945304128148564</v>
      </c>
      <c r="K539" s="44">
        <f t="shared" si="464"/>
        <v>435.4676589736448</v>
      </c>
      <c r="L539" s="44">
        <f t="shared" si="464"/>
        <v>-691.72615098159713</v>
      </c>
      <c r="M539" s="44">
        <f t="shared" si="464"/>
        <v>-1807.1527946017086</v>
      </c>
      <c r="N539" s="44">
        <f t="shared" si="464"/>
        <v>643.62358335277622</v>
      </c>
      <c r="O539" s="44">
        <f t="shared" si="464"/>
        <v>3046.0905259718438</v>
      </c>
    </row>
    <row r="540" spans="1:15" x14ac:dyDescent="0.2">
      <c r="A540" s="38" t="s">
        <v>33</v>
      </c>
      <c r="D540" s="44">
        <f t="shared" si="456"/>
        <v>1053.4287379869279</v>
      </c>
      <c r="E540" s="44">
        <f t="shared" si="460"/>
        <v>2763.3543857752147</v>
      </c>
      <c r="F540" s="44">
        <f t="shared" si="460"/>
        <v>2439.6478659793693</v>
      </c>
      <c r="G540" s="44">
        <f t="shared" si="460"/>
        <v>2691.9675752958074</v>
      </c>
      <c r="H540" s="44">
        <f t="shared" si="460"/>
        <v>-414.22368916846244</v>
      </c>
      <c r="I540" s="44">
        <f t="shared" si="460"/>
        <v>336.54937539726416</v>
      </c>
      <c r="J540" s="44">
        <f t="shared" ref="J540:O540" si="465">J344-J442</f>
        <v>130.66356838373571</v>
      </c>
      <c r="K540" s="44">
        <f t="shared" si="465"/>
        <v>2138.2772758891479</v>
      </c>
      <c r="L540" s="44">
        <f t="shared" si="465"/>
        <v>-468.23238571813681</v>
      </c>
      <c r="M540" s="44">
        <f t="shared" si="465"/>
        <v>9136.299780935693</v>
      </c>
      <c r="N540" s="44">
        <f t="shared" si="465"/>
        <v>441.76291868268436</v>
      </c>
      <c r="O540" s="44">
        <f t="shared" si="465"/>
        <v>4140.3174490446218</v>
      </c>
    </row>
    <row r="541" spans="1:15" x14ac:dyDescent="0.2">
      <c r="A541" s="38" t="s">
        <v>34</v>
      </c>
      <c r="D541" s="44">
        <f t="shared" si="456"/>
        <v>720.2335932211472</v>
      </c>
      <c r="E541" s="44">
        <f t="shared" si="460"/>
        <v>-4215.9643674697672</v>
      </c>
      <c r="F541" s="44">
        <f t="shared" si="460"/>
        <v>-205.12484837747888</v>
      </c>
      <c r="G541" s="44">
        <f t="shared" si="460"/>
        <v>326.80282133721175</v>
      </c>
      <c r="H541" s="44">
        <f t="shared" si="460"/>
        <v>2710.5383685626657</v>
      </c>
      <c r="I541" s="44">
        <f t="shared" si="460"/>
        <v>-3191.972230717909</v>
      </c>
      <c r="J541" s="44">
        <f t="shared" ref="J541:O541" si="466">J345-J443</f>
        <v>229.33357703632601</v>
      </c>
      <c r="K541" s="44">
        <f t="shared" si="466"/>
        <v>1972.243091924538</v>
      </c>
      <c r="L541" s="44">
        <f t="shared" si="466"/>
        <v>-598.5667313236554</v>
      </c>
      <c r="M541" s="44">
        <f t="shared" si="466"/>
        <v>95.962341882111787</v>
      </c>
      <c r="N541" s="44">
        <f t="shared" si="466"/>
        <v>3976.0750696756404</v>
      </c>
      <c r="O541" s="44">
        <f t="shared" si="466"/>
        <v>10171.713438891751</v>
      </c>
    </row>
    <row r="542" spans="1:15" x14ac:dyDescent="0.2">
      <c r="A542" s="38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</row>
    <row r="543" spans="1:15" x14ac:dyDescent="0.2">
      <c r="A543" s="3" t="s">
        <v>37</v>
      </c>
      <c r="B543" s="3"/>
      <c r="C543" s="3"/>
      <c r="D543" s="43">
        <f t="shared" ref="D543:I589" si="467">D347-D445</f>
        <v>24212.960622534651</v>
      </c>
      <c r="E543" s="43">
        <f t="shared" si="467"/>
        <v>14264.087092345057</v>
      </c>
      <c r="F543" s="43">
        <f t="shared" si="467"/>
        <v>50429.37395313289</v>
      </c>
      <c r="G543" s="43">
        <f t="shared" si="467"/>
        <v>81557.689640206343</v>
      </c>
      <c r="H543" s="43">
        <f t="shared" si="467"/>
        <v>9180.8503503178945</v>
      </c>
      <c r="I543" s="43">
        <f t="shared" si="467"/>
        <v>20431.384602061182</v>
      </c>
      <c r="J543" s="43">
        <f t="shared" ref="J543:O558" si="468">J347-J445</f>
        <v>21048.917805783974</v>
      </c>
      <c r="K543" s="43">
        <f t="shared" si="468"/>
        <v>46796.947970662499</v>
      </c>
      <c r="L543" s="43">
        <f t="shared" si="468"/>
        <v>19428.921582162089</v>
      </c>
      <c r="M543" s="43">
        <f t="shared" si="468"/>
        <v>9763.5762171123642</v>
      </c>
      <c r="N543" s="43">
        <f t="shared" si="468"/>
        <v>16185.890389180568</v>
      </c>
      <c r="O543" s="43">
        <f t="shared" si="468"/>
        <v>8258.3084176380071</v>
      </c>
    </row>
    <row r="544" spans="1:15" x14ac:dyDescent="0.2">
      <c r="A544" s="4" t="s">
        <v>23</v>
      </c>
      <c r="B544" s="4"/>
      <c r="C544" s="4"/>
      <c r="D544" s="45">
        <f t="shared" si="467"/>
        <v>7312.7898461480218</v>
      </c>
      <c r="E544" s="45">
        <f t="shared" si="467"/>
        <v>12546.921227423489</v>
      </c>
      <c r="F544" s="45">
        <f t="shared" si="467"/>
        <v>7784.6753596737981</v>
      </c>
      <c r="G544" s="45">
        <f t="shared" si="467"/>
        <v>10561.167207868217</v>
      </c>
      <c r="H544" s="45">
        <f t="shared" si="467"/>
        <v>9640.9634202475281</v>
      </c>
      <c r="I544" s="45">
        <f t="shared" si="467"/>
        <v>17985.039037985756</v>
      </c>
      <c r="J544" s="45">
        <f t="shared" si="468"/>
        <v>1333.8256513598026</v>
      </c>
      <c r="K544" s="45">
        <f t="shared" si="468"/>
        <v>18652.627823015529</v>
      </c>
      <c r="L544" s="45">
        <f t="shared" si="468"/>
        <v>13597.060104955512</v>
      </c>
      <c r="M544" s="45">
        <f t="shared" si="468"/>
        <v>-5691.4497082092275</v>
      </c>
      <c r="N544" s="45">
        <f t="shared" si="468"/>
        <v>24787.515259263586</v>
      </c>
      <c r="O544" s="45">
        <f t="shared" si="468"/>
        <v>2853.0277891697187</v>
      </c>
    </row>
    <row r="545" spans="1:15" x14ac:dyDescent="0.2">
      <c r="A545" s="37" t="s">
        <v>24</v>
      </c>
      <c r="D545" s="46">
        <f t="shared" si="467"/>
        <v>2681.0581070733024</v>
      </c>
      <c r="E545" s="46">
        <f t="shared" si="467"/>
        <v>-1684.4395812372459</v>
      </c>
      <c r="F545" s="46">
        <f t="shared" si="467"/>
        <v>3139.9360967186949</v>
      </c>
      <c r="G545" s="46">
        <f t="shared" si="467"/>
        <v>4413.5789479651467</v>
      </c>
      <c r="H545" s="46">
        <f t="shared" si="467"/>
        <v>1096.7930151235341</v>
      </c>
      <c r="I545" s="46">
        <f t="shared" si="467"/>
        <v>-295.16347624756963</v>
      </c>
      <c r="J545" s="46">
        <f t="shared" si="468"/>
        <v>1401.2277308527628</v>
      </c>
      <c r="K545" s="46">
        <f t="shared" si="468"/>
        <v>3812.4911138230455</v>
      </c>
      <c r="L545" s="46">
        <f t="shared" si="468"/>
        <v>8990.0196825438725</v>
      </c>
      <c r="M545" s="46">
        <f t="shared" si="468"/>
        <v>-3380.7176610373645</v>
      </c>
      <c r="N545" s="46">
        <f t="shared" si="468"/>
        <v>6034.6449594115693</v>
      </c>
      <c r="O545" s="46">
        <f t="shared" si="468"/>
        <v>2745.0105861862467</v>
      </c>
    </row>
    <row r="546" spans="1:15" x14ac:dyDescent="0.2">
      <c r="A546" s="38" t="s">
        <v>25</v>
      </c>
      <c r="D546" s="44">
        <f t="shared" si="467"/>
        <v>-91.590897496625075</v>
      </c>
      <c r="E546" s="44">
        <f t="shared" si="467"/>
        <v>-8.8652689014253383E-2</v>
      </c>
      <c r="F546" s="44">
        <f t="shared" si="467"/>
        <v>638.30215696118466</v>
      </c>
      <c r="G546" s="44">
        <f t="shared" si="467"/>
        <v>-249.25463277903509</v>
      </c>
      <c r="H546" s="44">
        <f t="shared" si="467"/>
        <v>415.20948850378363</v>
      </c>
      <c r="I546" s="44">
        <f t="shared" si="467"/>
        <v>148.86842167231322</v>
      </c>
      <c r="J546" s="44">
        <f t="shared" si="468"/>
        <v>530.42321069885497</v>
      </c>
      <c r="K546" s="44">
        <f t="shared" si="468"/>
        <v>456.16377164688083</v>
      </c>
      <c r="L546" s="44">
        <f t="shared" si="468"/>
        <v>458.59429982933648</v>
      </c>
      <c r="M546" s="44">
        <f t="shared" si="468"/>
        <v>68.989603594952769</v>
      </c>
      <c r="N546" s="44">
        <f t="shared" si="468"/>
        <v>358.46565357585632</v>
      </c>
      <c r="O546" s="44">
        <f t="shared" si="468"/>
        <v>-571.48894031349028</v>
      </c>
    </row>
    <row r="547" spans="1:15" x14ac:dyDescent="0.2">
      <c r="A547" s="38" t="s">
        <v>26</v>
      </c>
      <c r="D547" s="44">
        <f t="shared" si="467"/>
        <v>-296.63655670487333</v>
      </c>
      <c r="E547" s="44">
        <f t="shared" si="467"/>
        <v>-640.73564063433059</v>
      </c>
      <c r="F547" s="44">
        <f t="shared" si="467"/>
        <v>756.3470666745543</v>
      </c>
      <c r="G547" s="44">
        <f t="shared" si="467"/>
        <v>832.49163841863469</v>
      </c>
      <c r="H547" s="44">
        <f t="shared" si="467"/>
        <v>746.58557818711324</v>
      </c>
      <c r="I547" s="44">
        <f t="shared" si="467"/>
        <v>32.227537795721275</v>
      </c>
      <c r="J547" s="44">
        <f t="shared" si="468"/>
        <v>-1449.7312969916638</v>
      </c>
      <c r="K547" s="44">
        <f t="shared" si="468"/>
        <v>6.1945877314703921</v>
      </c>
      <c r="L547" s="44">
        <f t="shared" si="468"/>
        <v>1374.3167780893377</v>
      </c>
      <c r="M547" s="44">
        <f t="shared" si="468"/>
        <v>289.07402381815018</v>
      </c>
      <c r="N547" s="44">
        <f t="shared" si="468"/>
        <v>239.0372588762757</v>
      </c>
      <c r="O547" s="44">
        <f t="shared" si="468"/>
        <v>-256.06669865254344</v>
      </c>
    </row>
    <row r="548" spans="1:15" x14ac:dyDescent="0.2">
      <c r="A548" s="38" t="s">
        <v>27</v>
      </c>
      <c r="D548" s="44">
        <f t="shared" si="467"/>
        <v>290.96900629897993</v>
      </c>
      <c r="E548" s="44">
        <f t="shared" si="467"/>
        <v>-591.71854825100127</v>
      </c>
      <c r="F548" s="44">
        <f t="shared" si="467"/>
        <v>1743.5935971638655</v>
      </c>
      <c r="G548" s="44">
        <f t="shared" si="467"/>
        <v>1912.8840589141946</v>
      </c>
      <c r="H548" s="44">
        <f t="shared" si="467"/>
        <v>39.839489165082341</v>
      </c>
      <c r="I548" s="44">
        <f t="shared" si="467"/>
        <v>864.84709775716055</v>
      </c>
      <c r="J548" s="44">
        <f t="shared" si="468"/>
        <v>-38.67190469611171</v>
      </c>
      <c r="K548" s="44">
        <f t="shared" si="468"/>
        <v>527.54058155612256</v>
      </c>
      <c r="L548" s="44">
        <f t="shared" si="468"/>
        <v>20.81022662311306</v>
      </c>
      <c r="M548" s="44">
        <f t="shared" si="468"/>
        <v>-688.54856808739987</v>
      </c>
      <c r="N548" s="44">
        <f t="shared" si="468"/>
        <v>3586.7935394003971</v>
      </c>
      <c r="O548" s="44">
        <f t="shared" si="468"/>
        <v>30.974248965404058</v>
      </c>
    </row>
    <row r="549" spans="1:15" x14ac:dyDescent="0.2">
      <c r="A549" s="38" t="s">
        <v>28</v>
      </c>
      <c r="D549" s="44">
        <f t="shared" si="467"/>
        <v>101.48479787822271</v>
      </c>
      <c r="E549" s="44">
        <f t="shared" si="467"/>
        <v>-113.75779872237121</v>
      </c>
      <c r="F549" s="44">
        <f t="shared" si="467"/>
        <v>-183.94963426105915</v>
      </c>
      <c r="G549" s="44">
        <f t="shared" si="467"/>
        <v>1534.7407554844749</v>
      </c>
      <c r="H549" s="44">
        <f t="shared" si="467"/>
        <v>384.78731772183301</v>
      </c>
      <c r="I549" s="44">
        <f t="shared" si="467"/>
        <v>-13.808757436820088</v>
      </c>
      <c r="J549" s="44">
        <f t="shared" si="468"/>
        <v>1146.6555182101447</v>
      </c>
      <c r="K549" s="44">
        <f t="shared" si="468"/>
        <v>3512.9403146460627</v>
      </c>
      <c r="L549" s="44">
        <f t="shared" si="468"/>
        <v>580.96847724983672</v>
      </c>
      <c r="M549" s="44">
        <f t="shared" si="468"/>
        <v>-2982.2283825877003</v>
      </c>
      <c r="N549" s="44">
        <f t="shared" si="468"/>
        <v>350.2636953893649</v>
      </c>
      <c r="O549" s="44">
        <f t="shared" si="468"/>
        <v>4.6281872877898422</v>
      </c>
    </row>
    <row r="550" spans="1:15" x14ac:dyDescent="0.2">
      <c r="A550" s="38" t="s">
        <v>29</v>
      </c>
      <c r="D550" s="44">
        <f t="shared" si="467"/>
        <v>-109.78230221569197</v>
      </c>
      <c r="E550" s="44">
        <f t="shared" si="467"/>
        <v>-2199.3948940254395</v>
      </c>
      <c r="F550" s="44">
        <f t="shared" si="467"/>
        <v>-287.19752557621541</v>
      </c>
      <c r="G550" s="44">
        <f t="shared" si="467"/>
        <v>-626.0811807048276</v>
      </c>
      <c r="H550" s="44">
        <f t="shared" si="467"/>
        <v>-127.83760090712849</v>
      </c>
      <c r="I550" s="44">
        <f t="shared" si="467"/>
        <v>69.157980455880477</v>
      </c>
      <c r="J550" s="44">
        <f t="shared" si="468"/>
        <v>11.874582157253826</v>
      </c>
      <c r="K550" s="44">
        <f t="shared" si="468"/>
        <v>1139.0721603018796</v>
      </c>
      <c r="L550" s="44">
        <f t="shared" si="468"/>
        <v>0.78300208788351711</v>
      </c>
      <c r="M550" s="44">
        <f t="shared" si="468"/>
        <v>-1474.3226468821194</v>
      </c>
      <c r="N550" s="44">
        <f t="shared" si="468"/>
        <v>226.25156567989779</v>
      </c>
      <c r="O550" s="44">
        <f t="shared" si="468"/>
        <v>-16.80626283825768</v>
      </c>
    </row>
    <row r="551" spans="1:15" x14ac:dyDescent="0.2">
      <c r="A551" s="38" t="s">
        <v>30</v>
      </c>
      <c r="D551" s="44">
        <f t="shared" si="467"/>
        <v>17.556591001623772</v>
      </c>
      <c r="E551" s="44">
        <f t="shared" si="467"/>
        <v>-163.47122977187894</v>
      </c>
      <c r="F551" s="44">
        <f t="shared" si="467"/>
        <v>-39.195625320630541</v>
      </c>
      <c r="G551" s="44">
        <f t="shared" si="467"/>
        <v>893.13353929300729</v>
      </c>
      <c r="H551" s="44">
        <f t="shared" si="467"/>
        <v>-72.312387981075517</v>
      </c>
      <c r="I551" s="44">
        <f t="shared" si="467"/>
        <v>-65.097047461669206</v>
      </c>
      <c r="J551" s="44">
        <f t="shared" si="468"/>
        <v>-288.45666306543262</v>
      </c>
      <c r="K551" s="44">
        <f t="shared" si="468"/>
        <v>-2138.2116242609354</v>
      </c>
      <c r="L551" s="44">
        <f t="shared" si="468"/>
        <v>1252.3057793161388</v>
      </c>
      <c r="M551" s="44">
        <f t="shared" si="468"/>
        <v>122.54453397736324</v>
      </c>
      <c r="N551" s="44">
        <f t="shared" si="468"/>
        <v>-20.087979130390579</v>
      </c>
      <c r="O551" s="44">
        <f t="shared" si="468"/>
        <v>5604.9353143365515</v>
      </c>
    </row>
    <row r="552" spans="1:15" x14ac:dyDescent="0.2">
      <c r="A552" s="38" t="s">
        <v>31</v>
      </c>
      <c r="D552" s="44">
        <f t="shared" si="467"/>
        <v>-251.33505132863047</v>
      </c>
      <c r="E552" s="44">
        <f t="shared" si="467"/>
        <v>120.71917321841681</v>
      </c>
      <c r="F552" s="44">
        <f t="shared" si="467"/>
        <v>-676.47103539000454</v>
      </c>
      <c r="G552" s="44">
        <f t="shared" si="467"/>
        <v>-132.70466354125392</v>
      </c>
      <c r="H552" s="44">
        <f t="shared" si="467"/>
        <v>1306.0001346853396</v>
      </c>
      <c r="I552" s="44">
        <f t="shared" si="467"/>
        <v>824.821807006565</v>
      </c>
      <c r="J552" s="44">
        <f t="shared" si="468"/>
        <v>909.45732225894744</v>
      </c>
      <c r="K552" s="44">
        <f t="shared" si="468"/>
        <v>59.453650937159864</v>
      </c>
      <c r="L552" s="44">
        <f t="shared" si="468"/>
        <v>1227.7227999156994</v>
      </c>
      <c r="M552" s="44">
        <f t="shared" si="468"/>
        <v>-487.0884645408978</v>
      </c>
      <c r="N552" s="44">
        <f t="shared" si="468"/>
        <v>278.66341284905184</v>
      </c>
      <c r="O552" s="44">
        <f t="shared" si="468"/>
        <v>-1438.1797586420198</v>
      </c>
    </row>
    <row r="553" spans="1:15" x14ac:dyDescent="0.2">
      <c r="A553" s="38" t="s">
        <v>32</v>
      </c>
      <c r="D553" s="44">
        <f t="shared" si="467"/>
        <v>2067.1365937896012</v>
      </c>
      <c r="E553" s="44">
        <f t="shared" si="467"/>
        <v>134.69840157810609</v>
      </c>
      <c r="F553" s="44">
        <f t="shared" si="467"/>
        <v>1132.5015145680395</v>
      </c>
      <c r="G553" s="44">
        <f t="shared" si="467"/>
        <v>-487.63740317736529</v>
      </c>
      <c r="H553" s="44">
        <f t="shared" si="467"/>
        <v>-180.8448783876662</v>
      </c>
      <c r="I553" s="44">
        <f t="shared" si="467"/>
        <v>-1962.3123034939517</v>
      </c>
      <c r="J553" s="44">
        <f t="shared" si="468"/>
        <v>-858.03395858930708</v>
      </c>
      <c r="K553" s="44">
        <f t="shared" si="468"/>
        <v>904.66112872658732</v>
      </c>
      <c r="L553" s="44">
        <f t="shared" si="468"/>
        <v>528.17036579540309</v>
      </c>
      <c r="M553" s="44">
        <f t="shared" si="468"/>
        <v>-814.69217767438067</v>
      </c>
      <c r="N553" s="44">
        <f t="shared" si="468"/>
        <v>1535.212282189445</v>
      </c>
      <c r="O553" s="44">
        <f t="shared" si="468"/>
        <v>56.936396620599453</v>
      </c>
    </row>
    <row r="554" spans="1:15" x14ac:dyDescent="0.2">
      <c r="A554" s="38" t="s">
        <v>33</v>
      </c>
      <c r="D554" s="44">
        <f t="shared" si="467"/>
        <v>909.39889520776705</v>
      </c>
      <c r="E554" s="44">
        <f t="shared" si="467"/>
        <v>1823.9155048607017</v>
      </c>
      <c r="F554" s="44">
        <f t="shared" si="467"/>
        <v>33.406742122282594</v>
      </c>
      <c r="G554" s="44">
        <f t="shared" si="467"/>
        <v>366.14107749351456</v>
      </c>
      <c r="H554" s="44">
        <f t="shared" si="467"/>
        <v>-523.10088145147438</v>
      </c>
      <c r="I554" s="44">
        <f t="shared" si="467"/>
        <v>318.79174156002455</v>
      </c>
      <c r="J554" s="44">
        <f t="shared" si="468"/>
        <v>2076.8097362599847</v>
      </c>
      <c r="K554" s="44">
        <f t="shared" si="468"/>
        <v>-503.87956681832975</v>
      </c>
      <c r="L554" s="44">
        <f t="shared" si="468"/>
        <v>723.65109216246196</v>
      </c>
      <c r="M554" s="44">
        <f t="shared" si="468"/>
        <v>2610.8745153488962</v>
      </c>
      <c r="N554" s="44">
        <f t="shared" si="468"/>
        <v>182.43821124881515</v>
      </c>
      <c r="O554" s="44">
        <f t="shared" si="468"/>
        <v>-480.85255365602552</v>
      </c>
    </row>
    <row r="555" spans="1:15" x14ac:dyDescent="0.2">
      <c r="A555" s="38" t="s">
        <v>34</v>
      </c>
      <c r="D555" s="44">
        <f t="shared" si="467"/>
        <v>43.857030642933267</v>
      </c>
      <c r="E555" s="44">
        <f t="shared" si="467"/>
        <v>-54.605896800434152</v>
      </c>
      <c r="F555" s="44">
        <f t="shared" si="467"/>
        <v>22.598839776668683</v>
      </c>
      <c r="G555" s="44">
        <f t="shared" si="467"/>
        <v>369.86575856380102</v>
      </c>
      <c r="H555" s="44">
        <f t="shared" si="467"/>
        <v>-891.5332444122796</v>
      </c>
      <c r="I555" s="44">
        <f t="shared" si="467"/>
        <v>-512.65995410279402</v>
      </c>
      <c r="J555" s="44">
        <f t="shared" si="468"/>
        <v>-639.09881538990157</v>
      </c>
      <c r="K555" s="44">
        <f t="shared" si="468"/>
        <v>-151.44389064385723</v>
      </c>
      <c r="L555" s="44">
        <f t="shared" si="468"/>
        <v>2822.6968614746656</v>
      </c>
      <c r="M555" s="44">
        <f t="shared" si="468"/>
        <v>-25.320098004221904</v>
      </c>
      <c r="N555" s="44">
        <f t="shared" si="468"/>
        <v>-702.39268066714021</v>
      </c>
      <c r="O555" s="44">
        <f t="shared" si="468"/>
        <v>-189.06934692176605</v>
      </c>
    </row>
    <row r="556" spans="1:15" x14ac:dyDescent="0.2">
      <c r="A556" s="37" t="s">
        <v>35</v>
      </c>
      <c r="D556" s="46">
        <f t="shared" si="467"/>
        <v>4631.7317390747194</v>
      </c>
      <c r="E556" s="46">
        <f t="shared" si="467"/>
        <v>14231.360808660727</v>
      </c>
      <c r="F556" s="46">
        <f t="shared" si="467"/>
        <v>4644.7392629551032</v>
      </c>
      <c r="G556" s="46">
        <f t="shared" si="467"/>
        <v>6147.5882599030592</v>
      </c>
      <c r="H556" s="46">
        <f t="shared" si="467"/>
        <v>8544.1704051239794</v>
      </c>
      <c r="I556" s="46">
        <f t="shared" si="467"/>
        <v>18280.20251423333</v>
      </c>
      <c r="J556" s="46">
        <f t="shared" si="468"/>
        <v>-67.402079492952907</v>
      </c>
      <c r="K556" s="46">
        <f t="shared" si="468"/>
        <v>14840.136709192506</v>
      </c>
      <c r="L556" s="46">
        <f t="shared" si="468"/>
        <v>4607.0404224116501</v>
      </c>
      <c r="M556" s="46">
        <f t="shared" si="468"/>
        <v>-2310.7320471718704</v>
      </c>
      <c r="N556" s="46">
        <f t="shared" si="468"/>
        <v>18752.870299852017</v>
      </c>
      <c r="O556" s="46">
        <f t="shared" si="468"/>
        <v>108.01720298346481</v>
      </c>
    </row>
    <row r="557" spans="1:15" x14ac:dyDescent="0.2">
      <c r="A557" s="38" t="s">
        <v>25</v>
      </c>
      <c r="D557" s="44">
        <f t="shared" si="467"/>
        <v>2235.2932363026766</v>
      </c>
      <c r="E557" s="44">
        <f t="shared" si="467"/>
        <v>5459.9760896592743</v>
      </c>
      <c r="F557" s="44">
        <f t="shared" si="467"/>
        <v>409.09664403984607</v>
      </c>
      <c r="G557" s="44">
        <f t="shared" si="467"/>
        <v>3637.0486510469309</v>
      </c>
      <c r="H557" s="44">
        <f t="shared" si="467"/>
        <v>-380.89884044285736</v>
      </c>
      <c r="I557" s="44">
        <f t="shared" si="467"/>
        <v>262.66027411301411</v>
      </c>
      <c r="J557" s="44">
        <f t="shared" si="468"/>
        <v>1542.3889037004114</v>
      </c>
      <c r="K557" s="44">
        <f t="shared" si="468"/>
        <v>-45.043121161970703</v>
      </c>
      <c r="L557" s="44">
        <f t="shared" si="468"/>
        <v>1959.5678246073885</v>
      </c>
      <c r="M557" s="44">
        <f t="shared" si="468"/>
        <v>2010.4724987047375</v>
      </c>
      <c r="N557" s="44">
        <f t="shared" si="468"/>
        <v>1661.5409230130817</v>
      </c>
      <c r="O557" s="44">
        <f t="shared" si="468"/>
        <v>-1312.3513403980451</v>
      </c>
    </row>
    <row r="558" spans="1:15" x14ac:dyDescent="0.2">
      <c r="A558" s="38" t="s">
        <v>26</v>
      </c>
      <c r="D558" s="44">
        <f t="shared" si="467"/>
        <v>857.37985963478059</v>
      </c>
      <c r="E558" s="44">
        <f t="shared" si="467"/>
        <v>-1929.6858233524272</v>
      </c>
      <c r="F558" s="44">
        <f t="shared" si="467"/>
        <v>2700.6581224785641</v>
      </c>
      <c r="G558" s="44">
        <f t="shared" si="467"/>
        <v>1176.3092474009918</v>
      </c>
      <c r="H558" s="44">
        <f t="shared" si="467"/>
        <v>-4.8760775705075048</v>
      </c>
      <c r="I558" s="44">
        <f t="shared" si="467"/>
        <v>7529.4025510261963</v>
      </c>
      <c r="J558" s="44">
        <f t="shared" si="468"/>
        <v>-59.918772982722999</v>
      </c>
      <c r="K558" s="44">
        <f t="shared" si="468"/>
        <v>-908.56433722509064</v>
      </c>
      <c r="L558" s="44">
        <f t="shared" si="468"/>
        <v>-1114.0709488274661</v>
      </c>
      <c r="M558" s="44">
        <f t="shared" si="468"/>
        <v>-2175.9674803381604</v>
      </c>
      <c r="N558" s="44">
        <f t="shared" si="468"/>
        <v>-1529.3579617096484</v>
      </c>
      <c r="O558" s="44">
        <f t="shared" si="468"/>
        <v>-2548.7759200661003</v>
      </c>
    </row>
    <row r="559" spans="1:15" x14ac:dyDescent="0.2">
      <c r="A559" s="38" t="s">
        <v>27</v>
      </c>
      <c r="D559" s="44">
        <f t="shared" si="467"/>
        <v>6120.4972378706861</v>
      </c>
      <c r="E559" s="44">
        <f t="shared" si="467"/>
        <v>-950.29659435014037</v>
      </c>
      <c r="F559" s="44">
        <f t="shared" si="467"/>
        <v>-84.839595586852852</v>
      </c>
      <c r="G559" s="44">
        <f t="shared" si="467"/>
        <v>1982.6639346952884</v>
      </c>
      <c r="H559" s="44">
        <f t="shared" si="467"/>
        <v>-1946.5638987228631</v>
      </c>
      <c r="I559" s="44">
        <f t="shared" si="467"/>
        <v>5918.3984736822094</v>
      </c>
      <c r="J559" s="44">
        <f t="shared" ref="J559:O574" si="469">J363-J461</f>
        <v>668.64799927089666</v>
      </c>
      <c r="K559" s="44">
        <f t="shared" si="469"/>
        <v>1588.6064666402535</v>
      </c>
      <c r="L559" s="44">
        <f t="shared" si="469"/>
        <v>712.03194886373558</v>
      </c>
      <c r="M559" s="44">
        <f t="shared" si="469"/>
        <v>410.35366785049155</v>
      </c>
      <c r="N559" s="44">
        <f t="shared" si="469"/>
        <v>1973.0947568529555</v>
      </c>
      <c r="O559" s="44">
        <f t="shared" si="469"/>
        <v>-379.36908477550605</v>
      </c>
    </row>
    <row r="560" spans="1:15" x14ac:dyDescent="0.2">
      <c r="A560" s="38" t="s">
        <v>28</v>
      </c>
      <c r="D560" s="44">
        <f t="shared" si="467"/>
        <v>-568.48760437375313</v>
      </c>
      <c r="E560" s="44">
        <f t="shared" si="467"/>
        <v>1333.2903355787239</v>
      </c>
      <c r="F560" s="44">
        <f t="shared" si="467"/>
        <v>-2608.8053727373772</v>
      </c>
      <c r="G560" s="44">
        <f t="shared" si="467"/>
        <v>-2091.1550403239598</v>
      </c>
      <c r="H560" s="44">
        <f t="shared" si="467"/>
        <v>-72.387861746338558</v>
      </c>
      <c r="I560" s="44">
        <f t="shared" si="467"/>
        <v>946.12279904761635</v>
      </c>
      <c r="J560" s="44">
        <f t="shared" si="469"/>
        <v>-2614.4945551482524</v>
      </c>
      <c r="K560" s="44">
        <f t="shared" si="469"/>
        <v>-2317.5689904722713</v>
      </c>
      <c r="L560" s="44">
        <f t="shared" si="469"/>
        <v>783.71305568871139</v>
      </c>
      <c r="M560" s="44">
        <f t="shared" si="469"/>
        <v>-4409.8186257831912</v>
      </c>
      <c r="N560" s="44">
        <f t="shared" si="469"/>
        <v>1810.2712351311893</v>
      </c>
      <c r="O560" s="44">
        <f t="shared" si="469"/>
        <v>2031.5208875956778</v>
      </c>
    </row>
    <row r="561" spans="1:15" x14ac:dyDescent="0.2">
      <c r="A561" s="38" t="s">
        <v>29</v>
      </c>
      <c r="D561" s="44">
        <f t="shared" si="467"/>
        <v>11.228841787883084</v>
      </c>
      <c r="E561" s="44">
        <f t="shared" si="467"/>
        <v>-180.31006441746331</v>
      </c>
      <c r="F561" s="44">
        <f t="shared" si="467"/>
        <v>-244.64192003845938</v>
      </c>
      <c r="G561" s="44">
        <f t="shared" si="467"/>
        <v>4745.4978304878332</v>
      </c>
      <c r="H561" s="44">
        <f t="shared" si="467"/>
        <v>3498.5030066607615</v>
      </c>
      <c r="I561" s="44">
        <f t="shared" si="467"/>
        <v>188.29882867701781</v>
      </c>
      <c r="J561" s="44">
        <f t="shared" si="469"/>
        <v>5938.9854367930566</v>
      </c>
      <c r="K561" s="44">
        <f t="shared" si="469"/>
        <v>1263.2476260416879</v>
      </c>
      <c r="L561" s="44">
        <f t="shared" si="469"/>
        <v>-46.046771409464213</v>
      </c>
      <c r="M561" s="44">
        <f t="shared" si="469"/>
        <v>2106.7634149901669</v>
      </c>
      <c r="N561" s="44">
        <f t="shared" si="469"/>
        <v>10048.233073356259</v>
      </c>
      <c r="O561" s="44">
        <f t="shared" si="469"/>
        <v>1.8463056741429682</v>
      </c>
    </row>
    <row r="562" spans="1:15" x14ac:dyDescent="0.2">
      <c r="A562" s="38" t="s">
        <v>30</v>
      </c>
      <c r="D562" s="44">
        <f t="shared" si="467"/>
        <v>-2324.9262889757865</v>
      </c>
      <c r="E562" s="44">
        <f t="shared" si="467"/>
        <v>-416.29460378484691</v>
      </c>
      <c r="F562" s="44">
        <f t="shared" si="467"/>
        <v>2731.5783666803773</v>
      </c>
      <c r="G562" s="44">
        <f t="shared" si="467"/>
        <v>-9.8346200781941846</v>
      </c>
      <c r="H562" s="44">
        <f t="shared" si="467"/>
        <v>211.16436239356881</v>
      </c>
      <c r="I562" s="44">
        <f t="shared" si="467"/>
        <v>-287.14590408494678</v>
      </c>
      <c r="J562" s="44">
        <f t="shared" si="469"/>
        <v>594.87000015706485</v>
      </c>
      <c r="K562" s="44">
        <f t="shared" si="469"/>
        <v>-633.25436886099487</v>
      </c>
      <c r="L562" s="44">
        <f t="shared" si="469"/>
        <v>393.49322583908304</v>
      </c>
      <c r="M562" s="44">
        <f t="shared" si="469"/>
        <v>-3643.692508473292</v>
      </c>
      <c r="N562" s="44">
        <f t="shared" si="469"/>
        <v>4063.2779862536063</v>
      </c>
      <c r="O562" s="44">
        <f t="shared" si="469"/>
        <v>1268.5874346918386</v>
      </c>
    </row>
    <row r="563" spans="1:15" x14ac:dyDescent="0.2">
      <c r="A563" s="38" t="s">
        <v>31</v>
      </c>
      <c r="D563" s="44">
        <f t="shared" si="467"/>
        <v>39.726373406133973</v>
      </c>
      <c r="E563" s="44">
        <f t="shared" si="467"/>
        <v>4619.2893768292488</v>
      </c>
      <c r="F563" s="44">
        <f t="shared" si="467"/>
        <v>674.64434688659094</v>
      </c>
      <c r="G563" s="44">
        <f t="shared" si="467"/>
        <v>1486.3785520770707</v>
      </c>
      <c r="H563" s="44">
        <f t="shared" si="467"/>
        <v>1572.3375900764649</v>
      </c>
      <c r="I563" s="44">
        <f t="shared" si="467"/>
        <v>1179.6623777530981</v>
      </c>
      <c r="J563" s="44">
        <f t="shared" si="469"/>
        <v>-4020.7493812896646</v>
      </c>
      <c r="K563" s="44">
        <f t="shared" si="469"/>
        <v>-396.6648164590697</v>
      </c>
      <c r="L563" s="44">
        <f t="shared" si="469"/>
        <v>91.293036344594583</v>
      </c>
      <c r="M563" s="44">
        <f t="shared" si="469"/>
        <v>1335.77788103066</v>
      </c>
      <c r="N563" s="44">
        <f t="shared" si="469"/>
        <v>618.96609093106963</v>
      </c>
      <c r="O563" s="44">
        <f t="shared" si="469"/>
        <v>896.8141170901074</v>
      </c>
    </row>
    <row r="564" spans="1:15" x14ac:dyDescent="0.2">
      <c r="A564" s="38" t="s">
        <v>32</v>
      </c>
      <c r="D564" s="44">
        <f t="shared" si="467"/>
        <v>-145.73030543724917</v>
      </c>
      <c r="E564" s="44">
        <f t="shared" si="467"/>
        <v>2482.0549745119106</v>
      </c>
      <c r="F564" s="44">
        <f t="shared" si="467"/>
        <v>-1291.4385554418041</v>
      </c>
      <c r="G564" s="44">
        <f t="shared" si="467"/>
        <v>218.88322003784742</v>
      </c>
      <c r="H564" s="44">
        <f t="shared" si="467"/>
        <v>3595.1277809397543</v>
      </c>
      <c r="I564" s="44">
        <f t="shared" si="467"/>
        <v>361.29610766544647</v>
      </c>
      <c r="J564" s="44">
        <f t="shared" si="469"/>
        <v>-472.26605057582219</v>
      </c>
      <c r="K564" s="44">
        <f t="shared" si="469"/>
        <v>10565.182987837743</v>
      </c>
      <c r="L564" s="44">
        <f t="shared" si="469"/>
        <v>1229.587991482249</v>
      </c>
      <c r="M564" s="44">
        <f t="shared" si="469"/>
        <v>2656.4351926763093</v>
      </c>
      <c r="N564" s="44">
        <f t="shared" si="469"/>
        <v>-358.64185499992618</v>
      </c>
      <c r="O564" s="44">
        <f t="shared" si="469"/>
        <v>-922.58201529368489</v>
      </c>
    </row>
    <row r="565" spans="1:15" x14ac:dyDescent="0.2">
      <c r="A565" s="38" t="s">
        <v>33</v>
      </c>
      <c r="D565" s="44">
        <f t="shared" si="467"/>
        <v>-1259.392232698654</v>
      </c>
      <c r="E565" s="44">
        <f t="shared" si="467"/>
        <v>-301.99110652033414</v>
      </c>
      <c r="F565" s="44">
        <f t="shared" si="467"/>
        <v>172.07478633342862</v>
      </c>
      <c r="G565" s="44">
        <f t="shared" si="467"/>
        <v>-4463.0750324138207</v>
      </c>
      <c r="H565" s="44">
        <f t="shared" si="467"/>
        <v>553.68347731604899</v>
      </c>
      <c r="I565" s="44">
        <f t="shared" si="467"/>
        <v>-553.1867281808527</v>
      </c>
      <c r="J565" s="44">
        <f t="shared" si="469"/>
        <v>-1386.7313260079845</v>
      </c>
      <c r="K565" s="44">
        <f t="shared" si="469"/>
        <v>4147.7795258972037</v>
      </c>
      <c r="L565" s="44">
        <f t="shared" si="469"/>
        <v>6265.8952406571734</v>
      </c>
      <c r="M565" s="44">
        <f t="shared" si="469"/>
        <v>-2018.4737956594563</v>
      </c>
      <c r="N565" s="44">
        <f t="shared" si="469"/>
        <v>445.98465680183472</v>
      </c>
      <c r="O565" s="44">
        <f t="shared" si="469"/>
        <v>721.98669727880292</v>
      </c>
    </row>
    <row r="566" spans="1:15" x14ac:dyDescent="0.2">
      <c r="A566" s="38" t="s">
        <v>34</v>
      </c>
      <c r="D566" s="44">
        <f t="shared" si="467"/>
        <v>-333.85737844200867</v>
      </c>
      <c r="E566" s="44">
        <f t="shared" si="467"/>
        <v>4115.3282245067858</v>
      </c>
      <c r="F566" s="44">
        <f t="shared" si="467"/>
        <v>2186.4124403407841</v>
      </c>
      <c r="G566" s="44">
        <f t="shared" si="467"/>
        <v>-535.12848302690645</v>
      </c>
      <c r="H566" s="44">
        <f t="shared" si="467"/>
        <v>1518.0808662199397</v>
      </c>
      <c r="I566" s="44">
        <f t="shared" si="467"/>
        <v>2734.6937345345486</v>
      </c>
      <c r="J566" s="44">
        <f t="shared" si="469"/>
        <v>-258.13433340993834</v>
      </c>
      <c r="K566" s="44">
        <f t="shared" si="469"/>
        <v>1576.4157369550353</v>
      </c>
      <c r="L566" s="44">
        <f t="shared" si="469"/>
        <v>-5668.424180834354</v>
      </c>
      <c r="M566" s="44">
        <f t="shared" si="469"/>
        <v>1417.417707829869</v>
      </c>
      <c r="N566" s="44">
        <f t="shared" si="469"/>
        <v>19.501394221585883</v>
      </c>
      <c r="O566" s="44">
        <f t="shared" si="469"/>
        <v>350.3401211862265</v>
      </c>
    </row>
    <row r="567" spans="1:15" x14ac:dyDescent="0.2">
      <c r="A567" s="4" t="s">
        <v>36</v>
      </c>
      <c r="B567" s="4"/>
      <c r="C567" s="4"/>
      <c r="D567" s="45">
        <f t="shared" si="467"/>
        <v>16900.170776386658</v>
      </c>
      <c r="E567" s="45">
        <f t="shared" si="467"/>
        <v>1717.1658649215824</v>
      </c>
      <c r="F567" s="45">
        <f t="shared" si="467"/>
        <v>42644.698593459092</v>
      </c>
      <c r="G567" s="45">
        <f t="shared" si="467"/>
        <v>70996.522432338155</v>
      </c>
      <c r="H567" s="45">
        <f t="shared" si="467"/>
        <v>-460.11306992961909</v>
      </c>
      <c r="I567" s="45">
        <f t="shared" si="467"/>
        <v>2446.3455640753964</v>
      </c>
      <c r="J567" s="45">
        <f t="shared" si="469"/>
        <v>19715.092154424172</v>
      </c>
      <c r="K567" s="45">
        <f t="shared" si="469"/>
        <v>28144.320147646999</v>
      </c>
      <c r="L567" s="45">
        <f t="shared" si="469"/>
        <v>5831.8614772066067</v>
      </c>
      <c r="M567" s="45">
        <f t="shared" si="469"/>
        <v>15455.025925321563</v>
      </c>
      <c r="N567" s="45">
        <f t="shared" si="469"/>
        <v>-8601.624870083062</v>
      </c>
      <c r="O567" s="45">
        <f t="shared" si="469"/>
        <v>5405.2806284682883</v>
      </c>
    </row>
    <row r="568" spans="1:15" x14ac:dyDescent="0.2">
      <c r="A568" s="37" t="s">
        <v>24</v>
      </c>
      <c r="D568" s="46">
        <f t="shared" si="467"/>
        <v>-3068.0906833346817</v>
      </c>
      <c r="E568" s="46">
        <f t="shared" si="467"/>
        <v>333.72938264554978</v>
      </c>
      <c r="F568" s="46">
        <f t="shared" si="467"/>
        <v>14639.29589313989</v>
      </c>
      <c r="G568" s="46">
        <f t="shared" si="467"/>
        <v>9311.3279770390873</v>
      </c>
      <c r="H568" s="46">
        <f t="shared" si="467"/>
        <v>-1266.4585629640933</v>
      </c>
      <c r="I568" s="46">
        <f t="shared" si="467"/>
        <v>2243.4205934902348</v>
      </c>
      <c r="J568" s="46">
        <f t="shared" si="469"/>
        <v>530.45141139531916</v>
      </c>
      <c r="K568" s="46">
        <f t="shared" si="469"/>
        <v>6531.0277683417662</v>
      </c>
      <c r="L568" s="46">
        <f t="shared" si="469"/>
        <v>1088.044764375365</v>
      </c>
      <c r="M568" s="46">
        <f t="shared" si="469"/>
        <v>4135.1381483947625</v>
      </c>
      <c r="N568" s="46">
        <f t="shared" si="469"/>
        <v>3705.2047058125754</v>
      </c>
      <c r="O568" s="46">
        <f t="shared" si="469"/>
        <v>-1563.94417828515</v>
      </c>
    </row>
    <row r="569" spans="1:15" x14ac:dyDescent="0.2">
      <c r="A569" s="38" t="s">
        <v>25</v>
      </c>
      <c r="D569" s="44">
        <f t="shared" si="467"/>
        <v>762.94190757046817</v>
      </c>
      <c r="E569" s="44">
        <f t="shared" si="467"/>
        <v>6.553395828773942</v>
      </c>
      <c r="F569" s="44">
        <f t="shared" si="467"/>
        <v>-29.184752203802418</v>
      </c>
      <c r="G569" s="44">
        <f t="shared" si="467"/>
        <v>602.71386167467108</v>
      </c>
      <c r="H569" s="44">
        <f t="shared" si="467"/>
        <v>333.92509349656939</v>
      </c>
      <c r="I569" s="44">
        <f t="shared" si="467"/>
        <v>214.5624928332175</v>
      </c>
      <c r="J569" s="44">
        <f t="shared" si="469"/>
        <v>137.14584301945911</v>
      </c>
      <c r="K569" s="44">
        <f t="shared" si="469"/>
        <v>2021.737161471754</v>
      </c>
      <c r="L569" s="44">
        <f t="shared" si="469"/>
        <v>220.61603583917667</v>
      </c>
      <c r="M569" s="44">
        <f t="shared" si="469"/>
        <v>353.15082114900099</v>
      </c>
      <c r="N569" s="44">
        <f t="shared" si="469"/>
        <v>946.49565548612622</v>
      </c>
      <c r="O569" s="44">
        <f t="shared" si="469"/>
        <v>1395.7520757547654</v>
      </c>
    </row>
    <row r="570" spans="1:15" x14ac:dyDescent="0.2">
      <c r="A570" s="38" t="s">
        <v>26</v>
      </c>
      <c r="D570" s="44">
        <f t="shared" si="467"/>
        <v>-813.383839455013</v>
      </c>
      <c r="E570" s="44">
        <f t="shared" si="467"/>
        <v>-542.10815628696037</v>
      </c>
      <c r="F570" s="44">
        <f t="shared" si="467"/>
        <v>3039.0634180603965</v>
      </c>
      <c r="G570" s="44">
        <f t="shared" si="467"/>
        <v>-297.76543906997131</v>
      </c>
      <c r="H570" s="44">
        <f t="shared" si="467"/>
        <v>25.469635009689227</v>
      </c>
      <c r="I570" s="44">
        <f t="shared" si="467"/>
        <v>-147.20109622588018</v>
      </c>
      <c r="J570" s="44">
        <f t="shared" si="469"/>
        <v>-101.85806077773759</v>
      </c>
      <c r="K570" s="44">
        <f t="shared" si="469"/>
        <v>-389.33243518983272</v>
      </c>
      <c r="L570" s="44">
        <f t="shared" si="469"/>
        <v>-228.09908628476342</v>
      </c>
      <c r="M570" s="44">
        <f t="shared" si="469"/>
        <v>-5.5494950438128399</v>
      </c>
      <c r="N570" s="44">
        <f t="shared" si="469"/>
        <v>580.01604974333895</v>
      </c>
      <c r="O570" s="44">
        <f t="shared" si="469"/>
        <v>462.9699556524838</v>
      </c>
    </row>
    <row r="571" spans="1:15" x14ac:dyDescent="0.2">
      <c r="A571" s="38" t="s">
        <v>27</v>
      </c>
      <c r="D571" s="44">
        <f t="shared" si="467"/>
        <v>264.42334116940901</v>
      </c>
      <c r="E571" s="44">
        <f t="shared" si="467"/>
        <v>-2380.301455140685</v>
      </c>
      <c r="F571" s="44">
        <f t="shared" si="467"/>
        <v>42.763690891167244</v>
      </c>
      <c r="G571" s="44">
        <f t="shared" si="467"/>
        <v>3295.0717200350573</v>
      </c>
      <c r="H571" s="44">
        <f t="shared" si="467"/>
        <v>-345.07640544450396</v>
      </c>
      <c r="I571" s="44">
        <f t="shared" si="467"/>
        <v>-908.89531208071912</v>
      </c>
      <c r="J571" s="44">
        <f t="shared" si="469"/>
        <v>123.27292729113759</v>
      </c>
      <c r="K571" s="44">
        <f t="shared" si="469"/>
        <v>603.14424169745143</v>
      </c>
      <c r="L571" s="44">
        <f t="shared" si="469"/>
        <v>-15.422124331184932</v>
      </c>
      <c r="M571" s="44">
        <f t="shared" si="469"/>
        <v>-1130.008268933675</v>
      </c>
      <c r="N571" s="44">
        <f t="shared" si="469"/>
        <v>-3590.1118280835744</v>
      </c>
      <c r="O571" s="44">
        <f t="shared" si="469"/>
        <v>411.80664902472881</v>
      </c>
    </row>
    <row r="572" spans="1:15" x14ac:dyDescent="0.2">
      <c r="A572" s="38" t="s">
        <v>28</v>
      </c>
      <c r="D572" s="44">
        <f t="shared" si="467"/>
        <v>-216.77065450241798</v>
      </c>
      <c r="E572" s="44">
        <f t="shared" si="467"/>
        <v>381.50342221058827</v>
      </c>
      <c r="F572" s="44">
        <f t="shared" si="467"/>
        <v>2142.6630133877406</v>
      </c>
      <c r="G572" s="44">
        <f t="shared" si="467"/>
        <v>3730.7409158932423</v>
      </c>
      <c r="H572" s="44">
        <f t="shared" si="467"/>
        <v>-252.12544342289584</v>
      </c>
      <c r="I572" s="44">
        <f t="shared" si="467"/>
        <v>615.24382994445932</v>
      </c>
      <c r="J572" s="44">
        <f t="shared" si="469"/>
        <v>1527.8154328198107</v>
      </c>
      <c r="K572" s="44">
        <f t="shared" si="469"/>
        <v>3481.0445360622798</v>
      </c>
      <c r="L572" s="44">
        <f t="shared" si="469"/>
        <v>544.36406201507862</v>
      </c>
      <c r="M572" s="44">
        <f t="shared" si="469"/>
        <v>8264.6749971745012</v>
      </c>
      <c r="N572" s="44">
        <f t="shared" si="469"/>
        <v>168.28258521171642</v>
      </c>
      <c r="O572" s="44">
        <f t="shared" si="469"/>
        <v>343.26972615449495</v>
      </c>
    </row>
    <row r="573" spans="1:15" x14ac:dyDescent="0.2">
      <c r="A573" s="38" t="s">
        <v>29</v>
      </c>
      <c r="D573" s="44">
        <f t="shared" si="467"/>
        <v>313.47119629288682</v>
      </c>
      <c r="E573" s="44">
        <f t="shared" si="467"/>
        <v>-1119.766670709816</v>
      </c>
      <c r="F573" s="44">
        <f t="shared" si="467"/>
        <v>-201.42104015423229</v>
      </c>
      <c r="G573" s="44">
        <f t="shared" si="467"/>
        <v>1744.3758417064364</v>
      </c>
      <c r="H573" s="44">
        <f t="shared" si="467"/>
        <v>76.240467799340422</v>
      </c>
      <c r="I573" s="44">
        <f t="shared" si="467"/>
        <v>-16.704302135520493</v>
      </c>
      <c r="J573" s="44">
        <f t="shared" si="469"/>
        <v>1652.3665541639107</v>
      </c>
      <c r="K573" s="44">
        <f t="shared" si="469"/>
        <v>1089.0517826125797</v>
      </c>
      <c r="L573" s="44">
        <f t="shared" si="469"/>
        <v>2.4239663805605289</v>
      </c>
      <c r="M573" s="44">
        <f t="shared" si="469"/>
        <v>912.67504962007479</v>
      </c>
      <c r="N573" s="44">
        <f t="shared" si="469"/>
        <v>66.935184155705429</v>
      </c>
      <c r="O573" s="44">
        <f t="shared" si="469"/>
        <v>1826.1163136050191</v>
      </c>
    </row>
    <row r="574" spans="1:15" x14ac:dyDescent="0.2">
      <c r="A574" s="38" t="s">
        <v>30</v>
      </c>
      <c r="D574" s="44">
        <f t="shared" si="467"/>
        <v>48.480168154335217</v>
      </c>
      <c r="E574" s="44">
        <f t="shared" si="467"/>
        <v>49.208833754281727</v>
      </c>
      <c r="F574" s="44">
        <f t="shared" si="467"/>
        <v>59.098202901632533</v>
      </c>
      <c r="G574" s="44">
        <f t="shared" si="467"/>
        <v>-2522.7774394428397</v>
      </c>
      <c r="H574" s="44">
        <f t="shared" si="467"/>
        <v>-2212.4391268284417</v>
      </c>
      <c r="I574" s="44">
        <f t="shared" si="467"/>
        <v>-19.394261385639197</v>
      </c>
      <c r="J574" s="44">
        <f t="shared" si="469"/>
        <v>-1841.4311261844505</v>
      </c>
      <c r="K574" s="44">
        <f t="shared" si="469"/>
        <v>-1920.105088005821</v>
      </c>
      <c r="L574" s="44">
        <f t="shared" si="469"/>
        <v>371.74911577461535</v>
      </c>
      <c r="M574" s="44">
        <f t="shared" si="469"/>
        <v>-1750.6762283463213</v>
      </c>
      <c r="N574" s="44">
        <f t="shared" si="469"/>
        <v>29.875697012303135</v>
      </c>
      <c r="O574" s="44">
        <f t="shared" si="469"/>
        <v>-4862.8296079543506</v>
      </c>
    </row>
    <row r="575" spans="1:15" x14ac:dyDescent="0.2">
      <c r="A575" s="38" t="s">
        <v>31</v>
      </c>
      <c r="D575" s="44">
        <f t="shared" si="467"/>
        <v>-282.35646446225883</v>
      </c>
      <c r="E575" s="44">
        <f t="shared" si="467"/>
        <v>384.06835379053121</v>
      </c>
      <c r="F575" s="44">
        <f t="shared" si="467"/>
        <v>8650.2194657299224</v>
      </c>
      <c r="G575" s="44">
        <f t="shared" si="467"/>
        <v>1676.701043730227</v>
      </c>
      <c r="H575" s="44">
        <f t="shared" si="467"/>
        <v>-2092.2447649692385</v>
      </c>
      <c r="I575" s="44">
        <f t="shared" si="467"/>
        <v>3991.4205920895047</v>
      </c>
      <c r="J575" s="44">
        <f t="shared" ref="J575:O583" si="470">J379-J477</f>
        <v>-711.59275452808106</v>
      </c>
      <c r="K575" s="44">
        <f t="shared" si="470"/>
        <v>-368.86318218177348</v>
      </c>
      <c r="L575" s="44">
        <f t="shared" si="470"/>
        <v>-810.12248978590105</v>
      </c>
      <c r="M575" s="44">
        <f t="shared" si="470"/>
        <v>-477.34032557093633</v>
      </c>
      <c r="N575" s="44">
        <f t="shared" si="470"/>
        <v>606.58527036011492</v>
      </c>
      <c r="O575" s="44">
        <f t="shared" si="470"/>
        <v>70.683171961117296</v>
      </c>
    </row>
    <row r="576" spans="1:15" x14ac:dyDescent="0.2">
      <c r="A576" s="38" t="s">
        <v>32</v>
      </c>
      <c r="D576" s="44">
        <f t="shared" si="467"/>
        <v>-370.96107686008418</v>
      </c>
      <c r="E576" s="44">
        <f t="shared" si="467"/>
        <v>455.98964521901689</v>
      </c>
      <c r="F576" s="44">
        <f t="shared" si="467"/>
        <v>-498.73847903220303</v>
      </c>
      <c r="G576" s="44">
        <f t="shared" si="467"/>
        <v>1537.6231085846857</v>
      </c>
      <c r="H576" s="44">
        <f t="shared" si="467"/>
        <v>807.95585643174059</v>
      </c>
      <c r="I576" s="44">
        <f t="shared" si="467"/>
        <v>-312.53217151170975</v>
      </c>
      <c r="J576" s="44">
        <f t="shared" si="470"/>
        <v>1678.1070612755284</v>
      </c>
      <c r="K576" s="44">
        <f t="shared" si="470"/>
        <v>440.50539023715692</v>
      </c>
      <c r="L576" s="44">
        <f t="shared" si="470"/>
        <v>1711.2024759405867</v>
      </c>
      <c r="M576" s="44">
        <f t="shared" si="470"/>
        <v>-1792.8367991449195</v>
      </c>
      <c r="N576" s="44">
        <f t="shared" si="470"/>
        <v>3020.1202142518378</v>
      </c>
      <c r="O576" s="44">
        <f t="shared" si="470"/>
        <v>-109.33899127790005</v>
      </c>
    </row>
    <row r="577" spans="1:15" x14ac:dyDescent="0.2">
      <c r="A577" s="38" t="s">
        <v>33</v>
      </c>
      <c r="D577" s="44">
        <f t="shared" si="467"/>
        <v>-2792.0383251222938</v>
      </c>
      <c r="E577" s="44">
        <f t="shared" si="467"/>
        <v>2711.6907296416821</v>
      </c>
      <c r="F577" s="44">
        <f t="shared" si="467"/>
        <v>221.05390706400067</v>
      </c>
      <c r="G577" s="44">
        <f t="shared" si="467"/>
        <v>-766.61443575696785</v>
      </c>
      <c r="H577" s="44">
        <f t="shared" si="467"/>
        <v>2387.9254898146883</v>
      </c>
      <c r="I577" s="44">
        <f t="shared" si="467"/>
        <v>-652.73802905663069</v>
      </c>
      <c r="J577" s="44">
        <f t="shared" si="470"/>
        <v>-2402.6649125732438</v>
      </c>
      <c r="K577" s="44">
        <f t="shared" si="470"/>
        <v>1217.1425945518449</v>
      </c>
      <c r="L577" s="44">
        <f t="shared" si="470"/>
        <v>467.91614560913786</v>
      </c>
      <c r="M577" s="44">
        <f t="shared" si="470"/>
        <v>-426.9782938333974</v>
      </c>
      <c r="N577" s="44">
        <f t="shared" si="470"/>
        <v>882.61120064765942</v>
      </c>
      <c r="O577" s="44">
        <f t="shared" si="470"/>
        <v>-1328.008532968257</v>
      </c>
    </row>
    <row r="578" spans="1:15" x14ac:dyDescent="0.2">
      <c r="A578" s="38" t="s">
        <v>34</v>
      </c>
      <c r="D578" s="44">
        <f t="shared" si="467"/>
        <v>18.103063880285958</v>
      </c>
      <c r="E578" s="44">
        <f t="shared" si="467"/>
        <v>386.89128433813482</v>
      </c>
      <c r="F578" s="44">
        <f t="shared" si="467"/>
        <v>1213.7784664952633</v>
      </c>
      <c r="G578" s="44">
        <f t="shared" si="467"/>
        <v>311.25879968455763</v>
      </c>
      <c r="H578" s="44">
        <f t="shared" si="467"/>
        <v>3.9106351489517692</v>
      </c>
      <c r="I578" s="44">
        <f t="shared" si="467"/>
        <v>-520.34114898084772</v>
      </c>
      <c r="J578" s="44">
        <f t="shared" si="470"/>
        <v>469.29044688898739</v>
      </c>
      <c r="K578" s="44">
        <f t="shared" si="470"/>
        <v>356.70276708613164</v>
      </c>
      <c r="L578" s="44">
        <f t="shared" si="470"/>
        <v>-1176.5833367819532</v>
      </c>
      <c r="M578" s="44">
        <f t="shared" si="470"/>
        <v>188.02669132423023</v>
      </c>
      <c r="N578" s="44">
        <f t="shared" si="470"/>
        <v>994.39467702734601</v>
      </c>
      <c r="O578" s="44">
        <f t="shared" si="470"/>
        <v>225.63506176274586</v>
      </c>
    </row>
    <row r="579" spans="1:15" x14ac:dyDescent="0.2">
      <c r="A579" s="37" t="s">
        <v>35</v>
      </c>
      <c r="D579" s="46">
        <f t="shared" si="467"/>
        <v>19968.26145972134</v>
      </c>
      <c r="E579" s="46">
        <f t="shared" si="467"/>
        <v>1383.4364822760253</v>
      </c>
      <c r="F579" s="46">
        <f t="shared" si="467"/>
        <v>28005.402700319188</v>
      </c>
      <c r="G579" s="46">
        <f t="shared" si="467"/>
        <v>61685.194455299032</v>
      </c>
      <c r="H579" s="46">
        <f t="shared" si="467"/>
        <v>806.34549303448875</v>
      </c>
      <c r="I579" s="46">
        <f t="shared" si="467"/>
        <v>202.92497058516892</v>
      </c>
      <c r="J579" s="46">
        <f t="shared" si="470"/>
        <v>19184.640743028838</v>
      </c>
      <c r="K579" s="46">
        <f t="shared" si="470"/>
        <v>21613.292379305232</v>
      </c>
      <c r="L579" s="46">
        <f t="shared" si="470"/>
        <v>4743.8167128312343</v>
      </c>
      <c r="M579" s="46">
        <f t="shared" si="470"/>
        <v>11319.8877769268</v>
      </c>
      <c r="N579" s="46">
        <f t="shared" si="470"/>
        <v>-12306.829575895652</v>
      </c>
      <c r="O579" s="46">
        <f t="shared" si="470"/>
        <v>6969.2248067534238</v>
      </c>
    </row>
    <row r="580" spans="1:15" x14ac:dyDescent="0.2">
      <c r="A580" s="38" t="s">
        <v>25</v>
      </c>
      <c r="D580" s="44">
        <f t="shared" si="467"/>
        <v>4135.7179188145765</v>
      </c>
      <c r="E580" s="44">
        <f t="shared" si="467"/>
        <v>1776.3262146528505</v>
      </c>
      <c r="F580" s="44">
        <f t="shared" si="467"/>
        <v>6441.8542791339387</v>
      </c>
      <c r="G580" s="44">
        <f t="shared" si="467"/>
        <v>1630.5566240797625</v>
      </c>
      <c r="H580" s="44">
        <f t="shared" si="467"/>
        <v>919.07579278085859</v>
      </c>
      <c r="I580" s="44">
        <f t="shared" si="467"/>
        <v>2208.1476217628469</v>
      </c>
      <c r="J580" s="44">
        <f t="shared" si="470"/>
        <v>1580.8710942399484</v>
      </c>
      <c r="K580" s="44">
        <f t="shared" si="470"/>
        <v>18.148458708537476</v>
      </c>
      <c r="L580" s="44">
        <f t="shared" si="470"/>
        <v>-1371.3858065030754</v>
      </c>
      <c r="M580" s="44">
        <f t="shared" si="470"/>
        <v>-413.67691714609828</v>
      </c>
      <c r="N580" s="44">
        <f t="shared" si="470"/>
        <v>2506.2628136097928</v>
      </c>
      <c r="O580" s="44">
        <f t="shared" si="470"/>
        <v>67.957200320413904</v>
      </c>
    </row>
    <row r="581" spans="1:15" x14ac:dyDescent="0.2">
      <c r="A581" s="38" t="s">
        <v>26</v>
      </c>
      <c r="D581" s="44">
        <f t="shared" si="467"/>
        <v>5676.487811128678</v>
      </c>
      <c r="E581" s="44">
        <f t="shared" si="467"/>
        <v>-614.91664777229744</v>
      </c>
      <c r="F581" s="44">
        <f t="shared" si="467"/>
        <v>1931.2637673941317</v>
      </c>
      <c r="G581" s="44">
        <f t="shared" si="467"/>
        <v>7236.3640644926745</v>
      </c>
      <c r="H581" s="44">
        <f t="shared" si="467"/>
        <v>-139.9632478511453</v>
      </c>
      <c r="I581" s="44">
        <f t="shared" si="467"/>
        <v>-6633.096612708694</v>
      </c>
      <c r="J581" s="44">
        <f t="shared" si="470"/>
        <v>456.03651290206312</v>
      </c>
      <c r="K581" s="44">
        <f t="shared" si="470"/>
        <v>925.43946759053688</v>
      </c>
      <c r="L581" s="44">
        <f t="shared" si="470"/>
        <v>3329.5744033302035</v>
      </c>
      <c r="M581" s="44">
        <f t="shared" si="470"/>
        <v>-1760.4316924138366</v>
      </c>
      <c r="N581" s="44">
        <f t="shared" si="470"/>
        <v>755.96846213697245</v>
      </c>
      <c r="O581" s="44">
        <f t="shared" si="470"/>
        <v>3406.583740432925</v>
      </c>
    </row>
    <row r="582" spans="1:15" x14ac:dyDescent="0.2">
      <c r="A582" s="38" t="s">
        <v>27</v>
      </c>
      <c r="D582" s="44">
        <f t="shared" si="467"/>
        <v>371.78516213078547</v>
      </c>
      <c r="E582" s="44">
        <f t="shared" si="467"/>
        <v>-1325.0376434844147</v>
      </c>
      <c r="F582" s="44">
        <f t="shared" si="467"/>
        <v>324.35019052472126</v>
      </c>
      <c r="G582" s="44">
        <f t="shared" si="467"/>
        <v>-509.3995899712454</v>
      </c>
      <c r="H582" s="44">
        <f t="shared" si="467"/>
        <v>2893.7184177928575</v>
      </c>
      <c r="I582" s="44">
        <f t="shared" si="467"/>
        <v>2233.7876781600007</v>
      </c>
      <c r="J582" s="44">
        <f t="shared" si="470"/>
        <v>418.04156381666598</v>
      </c>
      <c r="K582" s="44">
        <f t="shared" si="470"/>
        <v>-578.82426659075372</v>
      </c>
      <c r="L582" s="44">
        <f t="shared" si="470"/>
        <v>-135.00539074518019</v>
      </c>
      <c r="M582" s="44">
        <f t="shared" si="470"/>
        <v>-3264.0368278287133</v>
      </c>
      <c r="N582" s="44">
        <f t="shared" si="470"/>
        <v>-146.85930718417876</v>
      </c>
      <c r="O582" s="44">
        <f t="shared" si="470"/>
        <v>6651.7330831911986</v>
      </c>
    </row>
    <row r="583" spans="1:15" x14ac:dyDescent="0.2">
      <c r="A583" s="38" t="s">
        <v>28</v>
      </c>
      <c r="D583" s="44">
        <f t="shared" si="467"/>
        <v>929.95174086494262</v>
      </c>
      <c r="E583" s="44">
        <f t="shared" si="467"/>
        <v>1234.6512695484544</v>
      </c>
      <c r="F583" s="44">
        <f t="shared" si="467"/>
        <v>1735.0327787612223</v>
      </c>
      <c r="G583" s="44">
        <f t="shared" si="467"/>
        <v>14947.824342051128</v>
      </c>
      <c r="H583" s="44">
        <f t="shared" si="467"/>
        <v>417.19481216595818</v>
      </c>
      <c r="I583" s="44">
        <f t="shared" si="467"/>
        <v>50.41792465387789</v>
      </c>
      <c r="J583" s="44">
        <f t="shared" si="470"/>
        <v>-5063.6196172759992</v>
      </c>
      <c r="K583" s="44">
        <f t="shared" si="470"/>
        <v>-4013.1319915997738</v>
      </c>
      <c r="L583" s="44">
        <f t="shared" si="470"/>
        <v>-3306.2930378544879</v>
      </c>
      <c r="M583" s="44">
        <f t="shared" si="470"/>
        <v>7993.6993328361823</v>
      </c>
      <c r="N583" s="44">
        <f t="shared" si="470"/>
        <v>-3265.3829831009898</v>
      </c>
      <c r="O583" s="44">
        <f t="shared" si="470"/>
        <v>-1841.1952923853114</v>
      </c>
    </row>
    <row r="584" spans="1:15" x14ac:dyDescent="0.2">
      <c r="A584" s="38" t="s">
        <v>29</v>
      </c>
      <c r="D584" s="44">
        <f t="shared" si="467"/>
        <v>-21.793189307688863</v>
      </c>
      <c r="E584" s="44">
        <f t="shared" si="467"/>
        <v>378.76051507529337</v>
      </c>
      <c r="F584" s="44">
        <f t="shared" si="467"/>
        <v>1176.8043867510971</v>
      </c>
      <c r="G584" s="44">
        <f t="shared" si="467"/>
        <v>9757.9126141178276</v>
      </c>
      <c r="H584" s="44">
        <f t="shared" ref="E584:I589" si="471">H388-H486</f>
        <v>466.46261690496613</v>
      </c>
      <c r="I584" s="44">
        <f t="shared" si="471"/>
        <v>-4181.6421960166626</v>
      </c>
      <c r="J584" s="44">
        <f t="shared" ref="J584:O584" si="472">J388-J486</f>
        <v>4728.4194961551657</v>
      </c>
      <c r="K584" s="44">
        <f t="shared" si="472"/>
        <v>8317.6971358476185</v>
      </c>
      <c r="L584" s="44">
        <f t="shared" si="472"/>
        <v>279.85978911088432</v>
      </c>
      <c r="M584" s="44">
        <f t="shared" si="472"/>
        <v>-2115.9770854010967</v>
      </c>
      <c r="N584" s="44">
        <f t="shared" si="472"/>
        <v>-8619.9175336322805</v>
      </c>
      <c r="O584" s="44">
        <f t="shared" si="472"/>
        <v>11.294425906318793</v>
      </c>
    </row>
    <row r="585" spans="1:15" x14ac:dyDescent="0.2">
      <c r="A585" s="38" t="s">
        <v>30</v>
      </c>
      <c r="D585" s="44">
        <f t="shared" si="467"/>
        <v>1590.5020237343269</v>
      </c>
      <c r="E585" s="44">
        <f t="shared" si="471"/>
        <v>-2288.7313791192901</v>
      </c>
      <c r="F585" s="44">
        <f t="shared" si="471"/>
        <v>-2513.2713558389114</v>
      </c>
      <c r="G585" s="44">
        <f t="shared" si="471"/>
        <v>13.886611125351365</v>
      </c>
      <c r="H585" s="44">
        <f t="shared" si="471"/>
        <v>2612.6030821199947</v>
      </c>
      <c r="I585" s="44">
        <f t="shared" si="471"/>
        <v>-1209.1839047392414</v>
      </c>
      <c r="J585" s="44">
        <f t="shared" ref="J585:O585" si="473">J389-J487</f>
        <v>1187.1831428714831</v>
      </c>
      <c r="K585" s="44">
        <f t="shared" si="473"/>
        <v>-863.2655151402073</v>
      </c>
      <c r="L585" s="44">
        <f t="shared" si="473"/>
        <v>564.33124416421356</v>
      </c>
      <c r="M585" s="44">
        <f t="shared" si="473"/>
        <v>11739.394673893963</v>
      </c>
      <c r="N585" s="44">
        <f t="shared" si="473"/>
        <v>-1123.2388254265061</v>
      </c>
      <c r="O585" s="44">
        <f t="shared" si="473"/>
        <v>202.47462427411301</v>
      </c>
    </row>
    <row r="586" spans="1:15" x14ac:dyDescent="0.2">
      <c r="A586" s="38" t="s">
        <v>31</v>
      </c>
      <c r="D586" s="44">
        <f t="shared" si="467"/>
        <v>40.517458753436188</v>
      </c>
      <c r="E586" s="44">
        <f t="shared" si="471"/>
        <v>260.69700583731719</v>
      </c>
      <c r="F586" s="44">
        <f t="shared" si="471"/>
        <v>2059.8333135169814</v>
      </c>
      <c r="G586" s="44">
        <f t="shared" si="471"/>
        <v>9411.8738250107126</v>
      </c>
      <c r="H586" s="44">
        <f t="shared" si="471"/>
        <v>-155.74959600771399</v>
      </c>
      <c r="I586" s="44">
        <f t="shared" si="471"/>
        <v>928.05525517841306</v>
      </c>
      <c r="J586" s="44">
        <f t="shared" ref="J586:O586" si="474">J390-J488</f>
        <v>2755.5604384815742</v>
      </c>
      <c r="K586" s="44">
        <f t="shared" si="474"/>
        <v>1968.5102742505624</v>
      </c>
      <c r="L586" s="44">
        <f t="shared" si="474"/>
        <v>-150.86920320137574</v>
      </c>
      <c r="M586" s="44">
        <f t="shared" si="474"/>
        <v>-40.461245233855152</v>
      </c>
      <c r="N586" s="44">
        <f t="shared" si="474"/>
        <v>-5255.672027610759</v>
      </c>
      <c r="O586" s="44">
        <f t="shared" si="474"/>
        <v>343.62791872759453</v>
      </c>
    </row>
    <row r="587" spans="1:15" x14ac:dyDescent="0.2">
      <c r="A587" s="38" t="s">
        <v>32</v>
      </c>
      <c r="D587" s="44">
        <f t="shared" si="467"/>
        <v>475.06986744450569</v>
      </c>
      <c r="E587" s="44">
        <f t="shared" si="471"/>
        <v>-154.41708444284995</v>
      </c>
      <c r="F587" s="44">
        <f t="shared" si="471"/>
        <v>4414.6721534170792</v>
      </c>
      <c r="G587" s="44">
        <f t="shared" si="471"/>
        <v>-104.46363073549674</v>
      </c>
      <c r="H587" s="44">
        <f t="shared" si="471"/>
        <v>-6921.5636551855059</v>
      </c>
      <c r="I587" s="44">
        <f t="shared" si="471"/>
        <v>1207.6392562870469</v>
      </c>
      <c r="J587" s="44">
        <f t="shared" ref="J587:O587" si="475">J391-J489</f>
        <v>1118.3205407337223</v>
      </c>
      <c r="K587" s="44">
        <f t="shared" si="475"/>
        <v>17912.873945874766</v>
      </c>
      <c r="L587" s="44">
        <f t="shared" si="475"/>
        <v>-2501.4426326280318</v>
      </c>
      <c r="M587" s="44">
        <f t="shared" si="475"/>
        <v>1097.7149266648394</v>
      </c>
      <c r="N587" s="44">
        <f t="shared" si="475"/>
        <v>-1353.9035824961829</v>
      </c>
      <c r="O587" s="44">
        <f t="shared" si="475"/>
        <v>-1005.2200758848148</v>
      </c>
    </row>
    <row r="588" spans="1:15" x14ac:dyDescent="0.2">
      <c r="A588" s="38" t="s">
        <v>33</v>
      </c>
      <c r="D588" s="44">
        <f t="shared" si="467"/>
        <v>5080.5418480665976</v>
      </c>
      <c r="E588" s="44">
        <f t="shared" si="471"/>
        <v>-492.49194047929814</v>
      </c>
      <c r="F588" s="44">
        <f t="shared" si="471"/>
        <v>703.45950039688432</v>
      </c>
      <c r="G588" s="44">
        <f t="shared" si="471"/>
        <v>16770.357702964815</v>
      </c>
      <c r="H588" s="44">
        <f t="shared" si="471"/>
        <v>2298.0249258118656</v>
      </c>
      <c r="I588" s="44">
        <f t="shared" si="471"/>
        <v>3063.8032789096942</v>
      </c>
      <c r="J588" s="44">
        <f t="shared" ref="J588:O588" si="476">J392-J490</f>
        <v>7619.4698262733909</v>
      </c>
      <c r="K588" s="44">
        <f t="shared" si="476"/>
        <v>-4240.5768868063678</v>
      </c>
      <c r="L588" s="44">
        <f t="shared" si="476"/>
        <v>-3272.623856579703</v>
      </c>
      <c r="M588" s="44">
        <f t="shared" si="476"/>
        <v>-2702.2248858441671</v>
      </c>
      <c r="N588" s="44">
        <f t="shared" si="476"/>
        <v>4307.11615594043</v>
      </c>
      <c r="O588" s="44">
        <f t="shared" si="476"/>
        <v>-442.63463840963277</v>
      </c>
    </row>
    <row r="589" spans="1:15" x14ac:dyDescent="0.2">
      <c r="A589" s="38" t="s">
        <v>34</v>
      </c>
      <c r="D589" s="44">
        <f t="shared" si="467"/>
        <v>1689.4808180911969</v>
      </c>
      <c r="E589" s="44">
        <f t="shared" si="471"/>
        <v>2608.596172460273</v>
      </c>
      <c r="F589" s="44">
        <f t="shared" si="471"/>
        <v>11731.403686262056</v>
      </c>
      <c r="G589" s="44">
        <f t="shared" si="471"/>
        <v>2530.2818921635026</v>
      </c>
      <c r="H589" s="44">
        <f t="shared" si="471"/>
        <v>-1583.4576554976593</v>
      </c>
      <c r="I589" s="44">
        <f t="shared" si="471"/>
        <v>2534.9966690978908</v>
      </c>
      <c r="J589" s="44">
        <f t="shared" ref="J589:O589" si="477">J393-J491</f>
        <v>4384.357744830817</v>
      </c>
      <c r="K589" s="44">
        <f t="shared" si="477"/>
        <v>2166.4217571703266</v>
      </c>
      <c r="L589" s="44">
        <f t="shared" si="477"/>
        <v>11307.671203737795</v>
      </c>
      <c r="M589" s="44">
        <f t="shared" si="477"/>
        <v>785.88749739954756</v>
      </c>
      <c r="N589" s="44">
        <f t="shared" si="477"/>
        <v>-111.20274813196738</v>
      </c>
      <c r="O589" s="44">
        <f t="shared" si="477"/>
        <v>-425.3961794193865</v>
      </c>
    </row>
    <row r="591" spans="1:15" x14ac:dyDescent="0.2">
      <c r="A591" s="3" t="s">
        <v>55</v>
      </c>
      <c r="B591" s="3"/>
      <c r="C591" s="3"/>
      <c r="D591" s="41">
        <f>1-D395/D297</f>
        <v>0.10303023498254527</v>
      </c>
      <c r="E591" s="41">
        <f t="shared" ref="E591:I591" si="478">1-E395/E297</f>
        <v>4.6146184617227193E-2</v>
      </c>
      <c r="F591" s="41">
        <f t="shared" si="478"/>
        <v>0.10030904196700452</v>
      </c>
      <c r="G591" s="41">
        <f t="shared" si="478"/>
        <v>0.15489945309064657</v>
      </c>
      <c r="H591" s="41">
        <f t="shared" si="478"/>
        <v>2.4832995893724674E-2</v>
      </c>
      <c r="I591" s="41">
        <f t="shared" si="478"/>
        <v>4.6553133991769191E-2</v>
      </c>
      <c r="J591" s="41">
        <f t="shared" ref="J591:O591" si="479">1-J395/J297</f>
        <v>7.9292926953429932E-2</v>
      </c>
      <c r="K591" s="41">
        <f t="shared" si="479"/>
        <v>0.12502263812456627</v>
      </c>
      <c r="L591" s="41">
        <f t="shared" si="479"/>
        <v>7.2188913536640587E-2</v>
      </c>
      <c r="M591" s="41">
        <f t="shared" si="479"/>
        <v>3.2236220696715945E-2</v>
      </c>
      <c r="N591" s="41">
        <f t="shared" si="479"/>
        <v>7.3539455136013232E-2</v>
      </c>
      <c r="O591" s="41">
        <f t="shared" si="479"/>
        <v>4.9801318078966705E-2</v>
      </c>
    </row>
    <row r="592" spans="1:15" x14ac:dyDescent="0.2">
      <c r="A592" s="37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</row>
    <row r="593" spans="1:15" x14ac:dyDescent="0.2">
      <c r="A593" s="3" t="s">
        <v>22</v>
      </c>
      <c r="B593" s="3"/>
      <c r="C593" s="3"/>
      <c r="D593" s="41">
        <f t="shared" ref="D593:I639" si="480">1-D397/D299</f>
        <v>0.12467201525105709</v>
      </c>
      <c r="E593" s="41">
        <f t="shared" si="480"/>
        <v>4.4096662910538265E-2</v>
      </c>
      <c r="F593" s="41">
        <f t="shared" si="480"/>
        <v>8.0132013939566371E-2</v>
      </c>
      <c r="G593" s="41">
        <f t="shared" si="480"/>
        <v>9.5585761562228089E-2</v>
      </c>
      <c r="H593" s="41">
        <f t="shared" si="480"/>
        <v>2.4401779644289467E-2</v>
      </c>
      <c r="I593" s="41">
        <f t="shared" si="480"/>
        <v>2.180876897999684E-2</v>
      </c>
      <c r="J593" s="41">
        <f t="shared" ref="J593:O608" si="481">1-J397/J299</f>
        <v>9.4983491321153912E-2</v>
      </c>
      <c r="K593" s="41">
        <f t="shared" si="481"/>
        <v>0.1382743073908107</v>
      </c>
      <c r="L593" s="41">
        <f t="shared" si="481"/>
        <v>0.10275857540817801</v>
      </c>
      <c r="M593" s="41">
        <f t="shared" si="481"/>
        <v>4.7582920197801082E-2</v>
      </c>
      <c r="N593" s="41">
        <f t="shared" si="481"/>
        <v>0.11030562312345937</v>
      </c>
      <c r="O593" s="41">
        <f t="shared" si="481"/>
        <v>6.5267677217446307E-2</v>
      </c>
    </row>
    <row r="594" spans="1:15" x14ac:dyDescent="0.2">
      <c r="A594" s="4" t="s">
        <v>23</v>
      </c>
      <c r="B594" s="4"/>
      <c r="C594" s="4"/>
      <c r="D594" s="42">
        <f t="shared" si="480"/>
        <v>0.11619309246381448</v>
      </c>
      <c r="E594" s="42">
        <f t="shared" si="480"/>
        <v>0.10297205820421729</v>
      </c>
      <c r="F594" s="42">
        <f t="shared" si="480"/>
        <v>6.1287493714780594E-2</v>
      </c>
      <c r="G594" s="42">
        <f t="shared" si="480"/>
        <v>7.9129914620250319E-2</v>
      </c>
      <c r="H594" s="42">
        <f t="shared" si="480"/>
        <v>-2.109463090272401E-2</v>
      </c>
      <c r="I594" s="42">
        <f t="shared" si="480"/>
        <v>1.9090729474435686E-2</v>
      </c>
      <c r="J594" s="42">
        <f t="shared" si="481"/>
        <v>8.1232540018862931E-2</v>
      </c>
      <c r="K594" s="42">
        <f t="shared" si="481"/>
        <v>0.17737008193954584</v>
      </c>
      <c r="L594" s="42">
        <f t="shared" si="481"/>
        <v>0.1203177075691777</v>
      </c>
      <c r="M594" s="42">
        <f t="shared" si="481"/>
        <v>3.9907399886759953E-2</v>
      </c>
      <c r="N594" s="42">
        <f t="shared" si="481"/>
        <v>5.4532089727986621E-2</v>
      </c>
      <c r="O594" s="42">
        <f t="shared" si="481"/>
        <v>-9.3490899612784784E-3</v>
      </c>
    </row>
    <row r="595" spans="1:15" x14ac:dyDescent="0.2">
      <c r="A595" s="37" t="s">
        <v>24</v>
      </c>
      <c r="D595" s="40">
        <f t="shared" si="480"/>
        <v>9.938896552333043E-2</v>
      </c>
      <c r="E595" s="40">
        <f t="shared" si="480"/>
        <v>0.13683015846345348</v>
      </c>
      <c r="F595" s="40">
        <f t="shared" si="480"/>
        <v>7.4675425323188493E-3</v>
      </c>
      <c r="G595" s="40">
        <f t="shared" si="480"/>
        <v>0.13775481437793602</v>
      </c>
      <c r="H595" s="40">
        <f t="shared" si="480"/>
        <v>4.5656956810231297E-2</v>
      </c>
      <c r="I595" s="40">
        <f t="shared" si="480"/>
        <v>0.11662992366448643</v>
      </c>
      <c r="J595" s="40">
        <f t="shared" si="481"/>
        <v>-2.5907298298319725E-2</v>
      </c>
      <c r="K595" s="40">
        <f t="shared" si="481"/>
        <v>0.12090887305696885</v>
      </c>
      <c r="L595" s="40">
        <f t="shared" si="481"/>
        <v>0.101263950679918</v>
      </c>
      <c r="M595" s="40">
        <f t="shared" si="481"/>
        <v>-1.6071414866834388E-2</v>
      </c>
      <c r="N595" s="40">
        <f t="shared" si="481"/>
        <v>0.1572751621906735</v>
      </c>
      <c r="O595" s="40">
        <f t="shared" si="481"/>
        <v>9.4817677091576402E-2</v>
      </c>
    </row>
    <row r="596" spans="1:15" x14ac:dyDescent="0.2">
      <c r="A596" s="38" t="s">
        <v>25</v>
      </c>
      <c r="D596" s="39">
        <f t="shared" si="480"/>
        <v>0.34789867081081571</v>
      </c>
      <c r="E596" s="39">
        <f t="shared" si="480"/>
        <v>0.12291645969816645</v>
      </c>
      <c r="F596" s="39">
        <f t="shared" si="480"/>
        <v>0.34564410369495879</v>
      </c>
      <c r="G596" s="39">
        <f t="shared" si="480"/>
        <v>0.368576161375467</v>
      </c>
      <c r="H596" s="39">
        <f t="shared" si="480"/>
        <v>0.12004132484946084</v>
      </c>
      <c r="I596" s="39">
        <f t="shared" si="480"/>
        <v>0.23536628594997955</v>
      </c>
      <c r="J596" s="39">
        <f t="shared" si="481"/>
        <v>0.15962242562058782</v>
      </c>
      <c r="K596" s="39">
        <f t="shared" si="481"/>
        <v>-2.1052509732031766E-2</v>
      </c>
      <c r="L596" s="39">
        <f t="shared" si="481"/>
        <v>-0.13413878191408068</v>
      </c>
      <c r="M596" s="39">
        <f t="shared" si="481"/>
        <v>0.14608061013251572</v>
      </c>
      <c r="N596" s="39">
        <f t="shared" si="481"/>
        <v>0.23552785457784609</v>
      </c>
      <c r="O596" s="39">
        <f t="shared" si="481"/>
        <v>0.11869330223835683</v>
      </c>
    </row>
    <row r="597" spans="1:15" x14ac:dyDescent="0.2">
      <c r="A597" s="38" t="s">
        <v>26</v>
      </c>
      <c r="D597" s="39">
        <f t="shared" si="480"/>
        <v>2.0722859755463174E-3</v>
      </c>
      <c r="E597" s="39">
        <f t="shared" si="480"/>
        <v>-0.14668487389320273</v>
      </c>
      <c r="F597" s="39">
        <f t="shared" si="480"/>
        <v>-0.15691193040957585</v>
      </c>
      <c r="G597" s="39">
        <f t="shared" si="480"/>
        <v>0.36929922957965533</v>
      </c>
      <c r="H597" s="39">
        <f t="shared" si="480"/>
        <v>0.30873586878854564</v>
      </c>
      <c r="I597" s="39">
        <f t="shared" si="480"/>
        <v>-1.4496944040148563E-2</v>
      </c>
      <c r="J597" s="39">
        <f t="shared" si="481"/>
        <v>0.43326763002325563</v>
      </c>
      <c r="K597" s="39">
        <f t="shared" si="481"/>
        <v>-9.8891266622550544E-2</v>
      </c>
      <c r="L597" s="39">
        <f t="shared" si="481"/>
        <v>0.2496704773753623</v>
      </c>
      <c r="M597" s="39">
        <f t="shared" si="481"/>
        <v>-0.12990910696957392</v>
      </c>
      <c r="N597" s="39">
        <f t="shared" si="481"/>
        <v>-0.12747428822928719</v>
      </c>
      <c r="O597" s="39">
        <f t="shared" si="481"/>
        <v>7.2728266914034334E-2</v>
      </c>
    </row>
    <row r="598" spans="1:15" x14ac:dyDescent="0.2">
      <c r="A598" s="38" t="s">
        <v>27</v>
      </c>
      <c r="D598" s="39">
        <f t="shared" si="480"/>
        <v>-1.2595232876325912E-2</v>
      </c>
      <c r="E598" s="39">
        <f t="shared" si="480"/>
        <v>-5.4605618990884119E-2</v>
      </c>
      <c r="F598" s="39">
        <f t="shared" si="480"/>
        <v>0.19718759030181809</v>
      </c>
      <c r="G598" s="39">
        <f t="shared" si="480"/>
        <v>-0.14210564636820511</v>
      </c>
      <c r="H598" s="39">
        <f t="shared" si="480"/>
        <v>0.11041901391744791</v>
      </c>
      <c r="I598" s="39">
        <f t="shared" si="480"/>
        <v>6.1248295068121683E-2</v>
      </c>
      <c r="J598" s="39">
        <f t="shared" si="481"/>
        <v>-0.119669672107932</v>
      </c>
      <c r="K598" s="39">
        <f t="shared" si="481"/>
        <v>-0.15837593519999427</v>
      </c>
      <c r="L598" s="39">
        <f t="shared" si="481"/>
        <v>-5.9433940330012591E-2</v>
      </c>
      <c r="M598" s="39">
        <f t="shared" si="481"/>
        <v>0.19319088735947487</v>
      </c>
      <c r="N598" s="39">
        <f t="shared" si="481"/>
        <v>0.25551660480468485</v>
      </c>
      <c r="O598" s="39">
        <f t="shared" si="481"/>
        <v>0.10574958048762162</v>
      </c>
    </row>
    <row r="599" spans="1:15" x14ac:dyDescent="0.2">
      <c r="A599" s="38" t="s">
        <v>28</v>
      </c>
      <c r="D599" s="39">
        <f t="shared" si="480"/>
        <v>-1.7913186438372586E-2</v>
      </c>
      <c r="E599" s="39">
        <f t="shared" si="480"/>
        <v>6.1312582352964662E-2</v>
      </c>
      <c r="F599" s="39">
        <f t="shared" si="480"/>
        <v>0.11464989483705579</v>
      </c>
      <c r="G599" s="39">
        <f t="shared" si="480"/>
        <v>-0.10263594584359303</v>
      </c>
      <c r="H599" s="39">
        <f t="shared" si="480"/>
        <v>-0.13422607405814424</v>
      </c>
      <c r="I599" s="39">
        <f t="shared" si="480"/>
        <v>0.15441358935169636</v>
      </c>
      <c r="J599" s="39">
        <f t="shared" si="481"/>
        <v>-0.23989983407810889</v>
      </c>
      <c r="K599" s="39">
        <f t="shared" si="481"/>
        <v>0.38432233514380931</v>
      </c>
      <c r="L599" s="39">
        <f t="shared" si="481"/>
        <v>-2.5615989401109651E-2</v>
      </c>
      <c r="M599" s="39">
        <f t="shared" si="481"/>
        <v>0.15372311883080869</v>
      </c>
      <c r="N599" s="39">
        <f t="shared" si="481"/>
        <v>0.25319144540136962</v>
      </c>
      <c r="O599" s="39">
        <f t="shared" si="481"/>
        <v>-5.2233298499283487E-2</v>
      </c>
    </row>
    <row r="600" spans="1:15" x14ac:dyDescent="0.2">
      <c r="A600" s="38" t="s">
        <v>29</v>
      </c>
      <c r="D600" s="39">
        <f t="shared" si="480"/>
        <v>0.12002425506785697</v>
      </c>
      <c r="E600" s="39">
        <f t="shared" si="480"/>
        <v>6.2311236425553918E-2</v>
      </c>
      <c r="F600" s="39">
        <f t="shared" si="480"/>
        <v>-0.19765126305000891</v>
      </c>
      <c r="G600" s="39">
        <f t="shared" si="480"/>
        <v>-7.9410356716587804E-2</v>
      </c>
      <c r="H600" s="39">
        <f t="shared" si="480"/>
        <v>-0.13506912038168806</v>
      </c>
      <c r="I600" s="39">
        <f t="shared" si="480"/>
        <v>0.2286848221814457</v>
      </c>
      <c r="J600" s="39">
        <f t="shared" si="481"/>
        <v>-0.11502542840253316</v>
      </c>
      <c r="K600" s="39">
        <f t="shared" si="481"/>
        <v>-0.23549040474601868</v>
      </c>
      <c r="L600" s="39">
        <f t="shared" si="481"/>
        <v>0.20646088660223672</v>
      </c>
      <c r="M600" s="39">
        <f t="shared" si="481"/>
        <v>0.28511874151800176</v>
      </c>
      <c r="N600" s="39">
        <f t="shared" si="481"/>
        <v>-0.21987149898439684</v>
      </c>
      <c r="O600" s="39">
        <f t="shared" si="481"/>
        <v>0.30566808013305247</v>
      </c>
    </row>
    <row r="601" spans="1:15" x14ac:dyDescent="0.2">
      <c r="A601" s="38" t="s">
        <v>30</v>
      </c>
      <c r="D601" s="39">
        <f t="shared" si="480"/>
        <v>0.1361005564212785</v>
      </c>
      <c r="E601" s="39">
        <f t="shared" si="480"/>
        <v>0.26360879418307781</v>
      </c>
      <c r="F601" s="39">
        <f t="shared" si="480"/>
        <v>-0.12319063791487439</v>
      </c>
      <c r="G601" s="39">
        <f t="shared" si="480"/>
        <v>0.27584444732538049</v>
      </c>
      <c r="H601" s="39">
        <f t="shared" si="480"/>
        <v>0.3790612252826473</v>
      </c>
      <c r="I601" s="39">
        <f t="shared" si="480"/>
        <v>5.6533005361171451E-2</v>
      </c>
      <c r="J601" s="39">
        <f t="shared" si="481"/>
        <v>9.3603207455294934E-2</v>
      </c>
      <c r="K601" s="39">
        <f t="shared" si="481"/>
        <v>0.36354010819626492</v>
      </c>
      <c r="L601" s="39">
        <f t="shared" si="481"/>
        <v>0.35043998138014043</v>
      </c>
      <c r="M601" s="39">
        <f t="shared" si="481"/>
        <v>0.35961597288841884</v>
      </c>
      <c r="N601" s="39">
        <f t="shared" si="481"/>
        <v>6.926367384555443E-2</v>
      </c>
      <c r="O601" s="39">
        <f t="shared" si="481"/>
        <v>-0.1199550192449399</v>
      </c>
    </row>
    <row r="602" spans="1:15" x14ac:dyDescent="0.2">
      <c r="A602" s="38" t="s">
        <v>31</v>
      </c>
      <c r="D602" s="39">
        <f t="shared" si="480"/>
        <v>0.16010442874693487</v>
      </c>
      <c r="E602" s="39">
        <f t="shared" si="480"/>
        <v>0.38687359230940477</v>
      </c>
      <c r="F602" s="39">
        <f t="shared" si="480"/>
        <v>-1.1312072577885024E-2</v>
      </c>
      <c r="G602" s="39">
        <f t="shared" si="480"/>
        <v>-0.25646363447549936</v>
      </c>
      <c r="H602" s="39">
        <f t="shared" si="480"/>
        <v>8.7365060111838311E-2</v>
      </c>
      <c r="I602" s="39">
        <f t="shared" si="480"/>
        <v>-5.140905832917797E-2</v>
      </c>
      <c r="J602" s="39">
        <f t="shared" si="481"/>
        <v>-9.7200768709010621E-2</v>
      </c>
      <c r="K602" s="39">
        <f t="shared" si="481"/>
        <v>0.31469475479313058</v>
      </c>
      <c r="L602" s="39">
        <f t="shared" si="481"/>
        <v>0.16563210811929308</v>
      </c>
      <c r="M602" s="39">
        <f t="shared" si="481"/>
        <v>-8.6338256031642802E-2</v>
      </c>
      <c r="N602" s="39">
        <f t="shared" si="481"/>
        <v>0.29681427086198497</v>
      </c>
      <c r="O602" s="39">
        <f t="shared" si="481"/>
        <v>-7.0585138435556027E-2</v>
      </c>
    </row>
    <row r="603" spans="1:15" x14ac:dyDescent="0.2">
      <c r="A603" s="38" t="s">
        <v>32</v>
      </c>
      <c r="D603" s="39">
        <f t="shared" si="480"/>
        <v>-8.5168157439412084E-2</v>
      </c>
      <c r="E603" s="39">
        <f t="shared" si="480"/>
        <v>7.4486412907479593E-2</v>
      </c>
      <c r="F603" s="39">
        <f t="shared" si="480"/>
        <v>0.20161288228617402</v>
      </c>
      <c r="G603" s="39">
        <f t="shared" si="480"/>
        <v>0.30558824616321922</v>
      </c>
      <c r="H603" s="39">
        <f t="shared" si="480"/>
        <v>-0.11449592755913574</v>
      </c>
      <c r="I603" s="39">
        <f t="shared" si="480"/>
        <v>-0.23893927834501505</v>
      </c>
      <c r="J603" s="39">
        <f t="shared" si="481"/>
        <v>0.20868468472537971</v>
      </c>
      <c r="K603" s="39">
        <f t="shared" si="481"/>
        <v>0.27058300042482852</v>
      </c>
      <c r="L603" s="39">
        <f t="shared" si="481"/>
        <v>0.28658684676193891</v>
      </c>
      <c r="M603" s="39">
        <f t="shared" si="481"/>
        <v>-8.9136316211545497E-2</v>
      </c>
      <c r="N603" s="39">
        <f t="shared" si="481"/>
        <v>0.41162494761532931</v>
      </c>
      <c r="O603" s="39">
        <f t="shared" si="481"/>
        <v>-0.21317385502479858</v>
      </c>
    </row>
    <row r="604" spans="1:15" x14ac:dyDescent="0.2">
      <c r="A604" s="38" t="s">
        <v>33</v>
      </c>
      <c r="D604" s="39">
        <f t="shared" si="480"/>
        <v>0.3281115032962173</v>
      </c>
      <c r="E604" s="39">
        <f t="shared" si="480"/>
        <v>0.16854400789873591</v>
      </c>
      <c r="F604" s="39">
        <f t="shared" si="480"/>
        <v>0.27681777387653106</v>
      </c>
      <c r="G604" s="39">
        <f t="shared" si="480"/>
        <v>-8.9816390131347568E-3</v>
      </c>
      <c r="H604" s="39">
        <f t="shared" si="480"/>
        <v>-3.5859610335175374E-2</v>
      </c>
      <c r="I604" s="39">
        <f t="shared" si="480"/>
        <v>0.20254874036086445</v>
      </c>
      <c r="J604" s="39">
        <f t="shared" si="481"/>
        <v>0.32433191319403587</v>
      </c>
      <c r="K604" s="39">
        <f t="shared" si="481"/>
        <v>0.18270682945331707</v>
      </c>
      <c r="L604" s="39">
        <f t="shared" si="481"/>
        <v>0.18859670645602855</v>
      </c>
      <c r="M604" s="39">
        <f t="shared" si="481"/>
        <v>-0.23980528212425378</v>
      </c>
      <c r="N604" s="39">
        <f t="shared" si="481"/>
        <v>-0.23362861717863659</v>
      </c>
      <c r="O604" s="39">
        <f t="shared" si="481"/>
        <v>-8.400597785863706E-2</v>
      </c>
    </row>
    <row r="605" spans="1:15" x14ac:dyDescent="0.2">
      <c r="A605" s="38" t="s">
        <v>34</v>
      </c>
      <c r="D605" s="39">
        <f t="shared" si="480"/>
        <v>7.9644662481820561E-2</v>
      </c>
      <c r="E605" s="39">
        <f t="shared" si="480"/>
        <v>-0.18684706266286577</v>
      </c>
      <c r="F605" s="39">
        <f t="shared" si="480"/>
        <v>0.33296002110750711</v>
      </c>
      <c r="G605" s="39">
        <f t="shared" si="480"/>
        <v>7.8371731861106353E-2</v>
      </c>
      <c r="H605" s="39">
        <f t="shared" si="480"/>
        <v>3.1278702590392782E-2</v>
      </c>
      <c r="I605" s="39">
        <f t="shared" si="480"/>
        <v>0.39817892799271293</v>
      </c>
      <c r="J605" s="39">
        <f t="shared" si="481"/>
        <v>-0.23099438879830858</v>
      </c>
      <c r="K605" s="39">
        <f t="shared" si="481"/>
        <v>0.11227704957287565</v>
      </c>
      <c r="L605" s="39">
        <f t="shared" si="481"/>
        <v>-0.17158002572123787</v>
      </c>
      <c r="M605" s="39">
        <f t="shared" si="481"/>
        <v>-6.5143829827585265E-2</v>
      </c>
      <c r="N605" s="39">
        <f t="shared" si="481"/>
        <v>0.34518417812856339</v>
      </c>
      <c r="O605" s="39">
        <f t="shared" si="481"/>
        <v>-0.1945853251073999</v>
      </c>
    </row>
    <row r="606" spans="1:15" x14ac:dyDescent="0.2">
      <c r="A606" s="37" t="s">
        <v>35</v>
      </c>
      <c r="D606" s="40">
        <f t="shared" si="480"/>
        <v>0.12145236483709088</v>
      </c>
      <c r="E606" s="40">
        <f t="shared" si="480"/>
        <v>8.8504693171171267E-2</v>
      </c>
      <c r="F606" s="40">
        <f t="shared" si="480"/>
        <v>7.8526879267562522E-2</v>
      </c>
      <c r="G606" s="40">
        <f t="shared" si="480"/>
        <v>4.3649921966006699E-2</v>
      </c>
      <c r="H606" s="40">
        <f t="shared" si="480"/>
        <v>-4.0455160419925473E-2</v>
      </c>
      <c r="I606" s="40">
        <f t="shared" si="480"/>
        <v>-4.0854128744198581E-2</v>
      </c>
      <c r="J606" s="40">
        <f t="shared" si="481"/>
        <v>0.15789592451171974</v>
      </c>
      <c r="K606" s="40">
        <f t="shared" si="481"/>
        <v>0.20392301856802431</v>
      </c>
      <c r="L606" s="40">
        <f t="shared" si="481"/>
        <v>0.13403779896445422</v>
      </c>
      <c r="M606" s="40">
        <f t="shared" si="481"/>
        <v>7.122528447690335E-2</v>
      </c>
      <c r="N606" s="40">
        <f t="shared" si="481"/>
        <v>1.9957369008747672E-2</v>
      </c>
      <c r="O606" s="40">
        <f t="shared" si="481"/>
        <v>-5.6699239627712394E-2</v>
      </c>
    </row>
    <row r="607" spans="1:15" x14ac:dyDescent="0.2">
      <c r="A607" s="38" t="s">
        <v>25</v>
      </c>
      <c r="D607" s="39">
        <f t="shared" si="480"/>
        <v>0.1803032043921805</v>
      </c>
      <c r="E607" s="39">
        <f t="shared" si="480"/>
        <v>0.3890523877117289</v>
      </c>
      <c r="F607" s="39">
        <f t="shared" si="480"/>
        <v>0.15278910635693788</v>
      </c>
      <c r="G607" s="39">
        <f t="shared" si="480"/>
        <v>-8.8112827440249619E-2</v>
      </c>
      <c r="H607" s="39">
        <f t="shared" si="480"/>
        <v>0.19574686645369654</v>
      </c>
      <c r="I607" s="39">
        <f t="shared" si="480"/>
        <v>0.10233862201787003</v>
      </c>
      <c r="J607" s="39">
        <f t="shared" si="481"/>
        <v>2.8458176028005711E-2</v>
      </c>
      <c r="K607" s="39">
        <f t="shared" si="481"/>
        <v>0.24574681983741464</v>
      </c>
      <c r="L607" s="39">
        <f t="shared" si="481"/>
        <v>0.37765447471967184</v>
      </c>
      <c r="M607" s="39">
        <f t="shared" si="481"/>
        <v>-0.14529371428791849</v>
      </c>
      <c r="N607" s="39">
        <f t="shared" si="481"/>
        <v>-5.5679329801977318E-2</v>
      </c>
      <c r="O607" s="39">
        <f t="shared" si="481"/>
        <v>5.6786717443344625E-2</v>
      </c>
    </row>
    <row r="608" spans="1:15" x14ac:dyDescent="0.2">
      <c r="A608" s="38" t="s">
        <v>26</v>
      </c>
      <c r="D608" s="39">
        <f t="shared" si="480"/>
        <v>-8.0853875196036817E-2</v>
      </c>
      <c r="E608" s="39">
        <f t="shared" si="480"/>
        <v>-0.16035865708965402</v>
      </c>
      <c r="F608" s="39">
        <f t="shared" si="480"/>
        <v>0.21467067589884503</v>
      </c>
      <c r="G608" s="39">
        <f t="shared" si="480"/>
        <v>-0.11178776718555983</v>
      </c>
      <c r="H608" s="39">
        <f t="shared" si="480"/>
        <v>0.36572460018119091</v>
      </c>
      <c r="I608" s="39">
        <f t="shared" si="480"/>
        <v>0.14706617955655621</v>
      </c>
      <c r="J608" s="39">
        <f t="shared" si="481"/>
        <v>0.1538293801258952</v>
      </c>
      <c r="K608" s="39">
        <f t="shared" si="481"/>
        <v>0.31175671219164169</v>
      </c>
      <c r="L608" s="39">
        <f t="shared" si="481"/>
        <v>6.943808236665272E-2</v>
      </c>
      <c r="M608" s="39">
        <f t="shared" si="481"/>
        <v>-3.1337951258085361E-2</v>
      </c>
      <c r="N608" s="39">
        <f t="shared" si="481"/>
        <v>-0.2157242028476174</v>
      </c>
      <c r="O608" s="39">
        <f t="shared" si="481"/>
        <v>-5.3679557123045951E-2</v>
      </c>
    </row>
    <row r="609" spans="1:15" x14ac:dyDescent="0.2">
      <c r="A609" s="38" t="s">
        <v>27</v>
      </c>
      <c r="D609" s="39">
        <f t="shared" si="480"/>
        <v>-3.5640085470876492E-2</v>
      </c>
      <c r="E609" s="39">
        <f t="shared" si="480"/>
        <v>3.5169998154492399E-2</v>
      </c>
      <c r="F609" s="39">
        <f t="shared" si="480"/>
        <v>0.21101735792154386</v>
      </c>
      <c r="G609" s="39">
        <f t="shared" si="480"/>
        <v>6.8465950940750364E-2</v>
      </c>
      <c r="H609" s="39">
        <f t="shared" si="480"/>
        <v>-4.4307761308089999E-2</v>
      </c>
      <c r="I609" s="39">
        <f t="shared" si="480"/>
        <v>-0.27235364692474051</v>
      </c>
      <c r="J609" s="39">
        <f t="shared" ref="J609:O624" si="482">1-J413/J315</f>
        <v>0.3074953168548471</v>
      </c>
      <c r="K609" s="39">
        <f t="shared" si="482"/>
        <v>0.27313376182709126</v>
      </c>
      <c r="L609" s="39">
        <f t="shared" si="482"/>
        <v>-0.1469930962536059</v>
      </c>
      <c r="M609" s="39">
        <f t="shared" si="482"/>
        <v>0.19410518819064726</v>
      </c>
      <c r="N609" s="39">
        <f t="shared" si="482"/>
        <v>-7.146486885275749E-3</v>
      </c>
      <c r="O609" s="39">
        <f t="shared" si="482"/>
        <v>-5.5465957018484779E-2</v>
      </c>
    </row>
    <row r="610" spans="1:15" x14ac:dyDescent="0.2">
      <c r="A610" s="38" t="s">
        <v>28</v>
      </c>
      <c r="D610" s="39">
        <f t="shared" si="480"/>
        <v>-0.24411114463052352</v>
      </c>
      <c r="E610" s="39">
        <f t="shared" si="480"/>
        <v>0.16123219111242726</v>
      </c>
      <c r="F610" s="39">
        <f t="shared" si="480"/>
        <v>-0.15116066384588889</v>
      </c>
      <c r="G610" s="39">
        <f t="shared" si="480"/>
        <v>-0.18179848683116528</v>
      </c>
      <c r="H610" s="39">
        <f t="shared" si="480"/>
        <v>-0.27437180204451117</v>
      </c>
      <c r="I610" s="39">
        <f t="shared" si="480"/>
        <v>0.33680803497398026</v>
      </c>
      <c r="J610" s="39">
        <f t="shared" si="482"/>
        <v>0.23504369813629122</v>
      </c>
      <c r="K610" s="39">
        <f t="shared" si="482"/>
        <v>0.19608977375088932</v>
      </c>
      <c r="L610" s="39">
        <f t="shared" si="482"/>
        <v>0.27360690182692848</v>
      </c>
      <c r="M610" s="39">
        <f t="shared" si="482"/>
        <v>-0.10992040208062681</v>
      </c>
      <c r="N610" s="39">
        <f t="shared" si="482"/>
        <v>-1.8188252990403164E-2</v>
      </c>
      <c r="O610" s="39">
        <f t="shared" si="482"/>
        <v>0.33551741638749211</v>
      </c>
    </row>
    <row r="611" spans="1:15" x14ac:dyDescent="0.2">
      <c r="A611" s="38" t="s">
        <v>29</v>
      </c>
      <c r="D611" s="39">
        <f t="shared" si="480"/>
        <v>0.38013255739328577</v>
      </c>
      <c r="E611" s="39">
        <f t="shared" si="480"/>
        <v>-0.20914445280130933</v>
      </c>
      <c r="F611" s="39">
        <f t="shared" si="480"/>
        <v>-0.24400547647973947</v>
      </c>
      <c r="G611" s="39">
        <f t="shared" si="480"/>
        <v>0.37774759680499337</v>
      </c>
      <c r="H611" s="39">
        <f t="shared" si="480"/>
        <v>-0.21636034565415807</v>
      </c>
      <c r="I611" s="39">
        <f t="shared" si="480"/>
        <v>0.1943804169667912</v>
      </c>
      <c r="J611" s="39">
        <f t="shared" si="482"/>
        <v>-0.19211789096351772</v>
      </c>
      <c r="K611" s="39">
        <f t="shared" si="482"/>
        <v>0.38860436912753971</v>
      </c>
      <c r="L611" s="39">
        <f t="shared" si="482"/>
        <v>6.8599370103921142E-2</v>
      </c>
      <c r="M611" s="39">
        <f t="shared" si="482"/>
        <v>0.11087791620499476</v>
      </c>
      <c r="N611" s="39">
        <f t="shared" si="482"/>
        <v>0.37533083041018445</v>
      </c>
      <c r="O611" s="39">
        <f t="shared" si="482"/>
        <v>-0.11440472088609521</v>
      </c>
    </row>
    <row r="612" spans="1:15" x14ac:dyDescent="0.2">
      <c r="A612" s="38" t="s">
        <v>30</v>
      </c>
      <c r="D612" s="39">
        <f t="shared" si="480"/>
        <v>0.37295287909863473</v>
      </c>
      <c r="E612" s="39">
        <f t="shared" si="480"/>
        <v>-5.4691767126431978E-2</v>
      </c>
      <c r="F612" s="39">
        <f t="shared" si="480"/>
        <v>1.2611056158458811E-2</v>
      </c>
      <c r="G612" s="39">
        <f t="shared" si="480"/>
        <v>0.14799862684798493</v>
      </c>
      <c r="H612" s="39">
        <f t="shared" si="480"/>
        <v>-1.7542575375328884E-2</v>
      </c>
      <c r="I612" s="39">
        <f t="shared" si="480"/>
        <v>0.12376349688923349</v>
      </c>
      <c r="J612" s="39">
        <f t="shared" si="482"/>
        <v>0.2720976476662671</v>
      </c>
      <c r="K612" s="39">
        <f t="shared" si="482"/>
        <v>-0.141162108898639</v>
      </c>
      <c r="L612" s="39">
        <f t="shared" si="482"/>
        <v>-0.18137645896217425</v>
      </c>
      <c r="M612" s="39">
        <f t="shared" si="482"/>
        <v>0.22939529386916657</v>
      </c>
      <c r="N612" s="39">
        <f t="shared" si="482"/>
        <v>1.1101511703105027E-2</v>
      </c>
      <c r="O612" s="39">
        <f t="shared" si="482"/>
        <v>-0.17010874192813219</v>
      </c>
    </row>
    <row r="613" spans="1:15" x14ac:dyDescent="0.2">
      <c r="A613" s="38" t="s">
        <v>31</v>
      </c>
      <c r="D613" s="39">
        <f t="shared" si="480"/>
        <v>0.18428505873212786</v>
      </c>
      <c r="E613" s="39">
        <f t="shared" si="480"/>
        <v>-3.7341407245595981E-2</v>
      </c>
      <c r="F613" s="39">
        <f t="shared" si="480"/>
        <v>0.24696389556137333</v>
      </c>
      <c r="G613" s="39">
        <f t="shared" si="480"/>
        <v>0.28231117631549463</v>
      </c>
      <c r="H613" s="39">
        <f t="shared" si="480"/>
        <v>-2.2218198864728089E-2</v>
      </c>
      <c r="I613" s="39">
        <f t="shared" si="480"/>
        <v>-5.0280645335933682E-2</v>
      </c>
      <c r="J613" s="39">
        <f t="shared" si="482"/>
        <v>-1.7068649904445232E-2</v>
      </c>
      <c r="K613" s="39">
        <f t="shared" si="482"/>
        <v>0.3850882800113099</v>
      </c>
      <c r="L613" s="39">
        <f t="shared" si="482"/>
        <v>-9.7388196901919688E-3</v>
      </c>
      <c r="M613" s="39">
        <f t="shared" si="482"/>
        <v>-0.23707736222663467</v>
      </c>
      <c r="N613" s="39">
        <f t="shared" si="482"/>
        <v>0.24346537216115249</v>
      </c>
      <c r="O613" s="39">
        <f t="shared" si="482"/>
        <v>-0.22009490318755409</v>
      </c>
    </row>
    <row r="614" spans="1:15" x14ac:dyDescent="0.2">
      <c r="A614" s="38" t="s">
        <v>32</v>
      </c>
      <c r="D614" s="39">
        <f t="shared" si="480"/>
        <v>-0.23038201694703897</v>
      </c>
      <c r="E614" s="39">
        <f t="shared" si="480"/>
        <v>0.19883154279125714</v>
      </c>
      <c r="F614" s="39">
        <f t="shared" si="480"/>
        <v>-0.13005807452949814</v>
      </c>
      <c r="G614" s="39">
        <f t="shared" si="480"/>
        <v>7.6247331157891174E-2</v>
      </c>
      <c r="H614" s="39">
        <f t="shared" si="480"/>
        <v>-0.14938210984518174</v>
      </c>
      <c r="I614" s="39">
        <f t="shared" si="480"/>
        <v>-0.2571632795480947</v>
      </c>
      <c r="J614" s="39">
        <f t="shared" si="482"/>
        <v>0.15387257101268592</v>
      </c>
      <c r="K614" s="39">
        <f t="shared" si="482"/>
        <v>-0.10263817551091914</v>
      </c>
      <c r="L614" s="39">
        <f t="shared" si="482"/>
        <v>8.4905035540060569E-2</v>
      </c>
      <c r="M614" s="39">
        <f t="shared" si="482"/>
        <v>-0.1129945373093908</v>
      </c>
      <c r="N614" s="39">
        <f t="shared" si="482"/>
        <v>0.26796627792168115</v>
      </c>
      <c r="O614" s="39">
        <f t="shared" si="482"/>
        <v>0.30920915040274455</v>
      </c>
    </row>
    <row r="615" spans="1:15" x14ac:dyDescent="0.2">
      <c r="A615" s="38" t="s">
        <v>33</v>
      </c>
      <c r="D615" s="39">
        <f t="shared" si="480"/>
        <v>-0.27113831904891472</v>
      </c>
      <c r="E615" s="39">
        <f t="shared" si="480"/>
        <v>0.13795779394753271</v>
      </c>
      <c r="F615" s="39">
        <f t="shared" si="480"/>
        <v>0.21554506039099108</v>
      </c>
      <c r="G615" s="39">
        <f t="shared" si="480"/>
        <v>-0.1841479873345182</v>
      </c>
      <c r="H615" s="39">
        <f t="shared" si="480"/>
        <v>-7.046005133588551E-3</v>
      </c>
      <c r="I615" s="39">
        <f t="shared" si="480"/>
        <v>-0.19698518824146727</v>
      </c>
      <c r="J615" s="39">
        <f t="shared" si="482"/>
        <v>0.39434829793359982</v>
      </c>
      <c r="K615" s="39">
        <f t="shared" si="482"/>
        <v>0.32490968863949621</v>
      </c>
      <c r="L615" s="39">
        <f t="shared" si="482"/>
        <v>0.37304530781823575</v>
      </c>
      <c r="M615" s="39">
        <f t="shared" si="482"/>
        <v>0.29988827877741187</v>
      </c>
      <c r="N615" s="39">
        <f t="shared" si="482"/>
        <v>-0.19674796047860821</v>
      </c>
      <c r="O615" s="39">
        <f t="shared" si="482"/>
        <v>-0.19667453461081141</v>
      </c>
    </row>
    <row r="616" spans="1:15" x14ac:dyDescent="0.2">
      <c r="A616" s="38" t="s">
        <v>34</v>
      </c>
      <c r="D616" s="39">
        <f t="shared" si="480"/>
        <v>0.13257520360511277</v>
      </c>
      <c r="E616" s="39">
        <f t="shared" si="480"/>
        <v>-9.5446400091579786E-2</v>
      </c>
      <c r="F616" s="39">
        <f t="shared" si="480"/>
        <v>0.19543778214662733</v>
      </c>
      <c r="G616" s="39">
        <f t="shared" si="480"/>
        <v>4.7468543673651831E-2</v>
      </c>
      <c r="H616" s="39">
        <f t="shared" si="480"/>
        <v>-0.17052764026203193</v>
      </c>
      <c r="I616" s="39">
        <f t="shared" si="480"/>
        <v>-0.27489121398210115</v>
      </c>
      <c r="J616" s="39">
        <f t="shared" si="482"/>
        <v>2.0369839861975048E-2</v>
      </c>
      <c r="K616" s="39">
        <f t="shared" si="482"/>
        <v>0.12212040671128066</v>
      </c>
      <c r="L616" s="39">
        <f t="shared" si="482"/>
        <v>-0.18912312590848734</v>
      </c>
      <c r="M616" s="39">
        <f t="shared" si="482"/>
        <v>-0.16284145748640455</v>
      </c>
      <c r="N616" s="39">
        <f t="shared" si="482"/>
        <v>-0.17862339609825528</v>
      </c>
      <c r="O616" s="39">
        <f t="shared" si="482"/>
        <v>-0.10762707064251509</v>
      </c>
    </row>
    <row r="617" spans="1:15" x14ac:dyDescent="0.2">
      <c r="A617" s="4" t="s">
        <v>36</v>
      </c>
      <c r="B617" s="4"/>
      <c r="C617" s="4"/>
      <c r="D617" s="42">
        <f t="shared" si="480"/>
        <v>0.1378304538675923</v>
      </c>
      <c r="E617" s="42">
        <f t="shared" si="480"/>
        <v>-8.9879554106022663E-3</v>
      </c>
      <c r="F617" s="42">
        <f t="shared" si="480"/>
        <v>0.10576357609823894</v>
      </c>
      <c r="G617" s="42">
        <f t="shared" si="480"/>
        <v>0.11288090374615778</v>
      </c>
      <c r="H617" s="42">
        <f t="shared" si="480"/>
        <v>5.8699376349782395E-2</v>
      </c>
      <c r="I617" s="42">
        <f t="shared" si="480"/>
        <v>2.4230879813163075E-2</v>
      </c>
      <c r="J617" s="42">
        <f t="shared" si="482"/>
        <v>0.11368438398006442</v>
      </c>
      <c r="K617" s="42">
        <f t="shared" si="482"/>
        <v>0.10017356600769456</v>
      </c>
      <c r="L617" s="42">
        <f t="shared" si="482"/>
        <v>8.4586016746398873E-2</v>
      </c>
      <c r="M617" s="42">
        <f t="shared" si="482"/>
        <v>5.859961948985648E-2</v>
      </c>
      <c r="N617" s="42">
        <f t="shared" si="482"/>
        <v>0.15582348751962805</v>
      </c>
      <c r="O617" s="42">
        <f t="shared" si="482"/>
        <v>0.13661217333958642</v>
      </c>
    </row>
    <row r="618" spans="1:15" x14ac:dyDescent="0.2">
      <c r="A618" s="37" t="s">
        <v>24</v>
      </c>
      <c r="D618" s="40">
        <f t="shared" si="480"/>
        <v>0.17705004593047757</v>
      </c>
      <c r="E618" s="40">
        <f t="shared" si="480"/>
        <v>6.3739349256522693E-2</v>
      </c>
      <c r="F618" s="40">
        <f t="shared" si="480"/>
        <v>9.3259501000056866E-2</v>
      </c>
      <c r="G618" s="40">
        <f t="shared" si="480"/>
        <v>5.369823644556182E-2</v>
      </c>
      <c r="H618" s="40">
        <f t="shared" si="480"/>
        <v>2.6259396901430865E-2</v>
      </c>
      <c r="I618" s="40">
        <f t="shared" si="480"/>
        <v>1.2447913337104821E-2</v>
      </c>
      <c r="J618" s="40">
        <f t="shared" si="482"/>
        <v>0.10271122031824009</v>
      </c>
      <c r="K618" s="40">
        <f t="shared" si="482"/>
        <v>0.1400536774404233</v>
      </c>
      <c r="L618" s="40">
        <f t="shared" si="482"/>
        <v>0.10195704047478671</v>
      </c>
      <c r="M618" s="40">
        <f t="shared" si="482"/>
        <v>-6.9979098209685509E-2</v>
      </c>
      <c r="N618" s="40">
        <f t="shared" si="482"/>
        <v>0.22187867244758219</v>
      </c>
      <c r="O618" s="40">
        <f t="shared" si="482"/>
        <v>0.17378197416197227</v>
      </c>
    </row>
    <row r="619" spans="1:15" x14ac:dyDescent="0.2">
      <c r="A619" s="38" t="s">
        <v>25</v>
      </c>
      <c r="D619" s="39">
        <f t="shared" si="480"/>
        <v>7.454209945916257E-2</v>
      </c>
      <c r="E619" s="39">
        <f t="shared" si="480"/>
        <v>-0.14047066225754135</v>
      </c>
      <c r="F619" s="39">
        <f t="shared" si="480"/>
        <v>0.26328266443158965</v>
      </c>
      <c r="G619" s="39">
        <f t="shared" si="480"/>
        <v>-7.7933820987845737E-2</v>
      </c>
      <c r="H619" s="39">
        <f t="shared" si="480"/>
        <v>-4.8349509970763815E-2</v>
      </c>
      <c r="I619" s="39">
        <f t="shared" si="480"/>
        <v>-0.1504619974175625</v>
      </c>
      <c r="J619" s="39">
        <f t="shared" si="482"/>
        <v>-0.15053047230521988</v>
      </c>
      <c r="K619" s="39">
        <f t="shared" si="482"/>
        <v>0.26561942792100213</v>
      </c>
      <c r="L619" s="39">
        <f t="shared" si="482"/>
        <v>-0.14336559341566546</v>
      </c>
      <c r="M619" s="39">
        <f t="shared" si="482"/>
        <v>0.23753498154372132</v>
      </c>
      <c r="N619" s="39">
        <f t="shared" si="482"/>
        <v>0.37043443712259649</v>
      </c>
      <c r="O619" s="39">
        <f t="shared" si="482"/>
        <v>0.38637492673747054</v>
      </c>
    </row>
    <row r="620" spans="1:15" x14ac:dyDescent="0.2">
      <c r="A620" s="38" t="s">
        <v>26</v>
      </c>
      <c r="D620" s="39">
        <f t="shared" si="480"/>
        <v>-2.0538812322932198E-3</v>
      </c>
      <c r="E620" s="39">
        <f t="shared" si="480"/>
        <v>-1.0378665769590345E-2</v>
      </c>
      <c r="F620" s="39">
        <f t="shared" si="480"/>
        <v>-0.12808041546250148</v>
      </c>
      <c r="G620" s="39">
        <f t="shared" si="480"/>
        <v>0.2614783531155207</v>
      </c>
      <c r="H620" s="39">
        <f t="shared" si="480"/>
        <v>-0.20803953223850735</v>
      </c>
      <c r="I620" s="39">
        <f t="shared" si="480"/>
        <v>-0.23658928784482791</v>
      </c>
      <c r="J620" s="39">
        <f t="shared" si="482"/>
        <v>0.12511676190022702</v>
      </c>
      <c r="K620" s="39">
        <f t="shared" si="482"/>
        <v>6.5505495595433838E-2</v>
      </c>
      <c r="L620" s="39">
        <f t="shared" si="482"/>
        <v>-0.22920549905393695</v>
      </c>
      <c r="M620" s="39">
        <f t="shared" si="482"/>
        <v>-5.0284184722362069E-2</v>
      </c>
      <c r="N620" s="39">
        <f t="shared" si="482"/>
        <v>0.37893543714642508</v>
      </c>
      <c r="O620" s="39">
        <f t="shared" si="482"/>
        <v>6.1892322041064318E-2</v>
      </c>
    </row>
    <row r="621" spans="1:15" x14ac:dyDescent="0.2">
      <c r="A621" s="38" t="s">
        <v>27</v>
      </c>
      <c r="D621" s="39">
        <f t="shared" si="480"/>
        <v>0.33658740660118647</v>
      </c>
      <c r="E621" s="39">
        <f t="shared" si="480"/>
        <v>0.14075279663925644</v>
      </c>
      <c r="F621" s="39">
        <f t="shared" si="480"/>
        <v>0.29351869569389288</v>
      </c>
      <c r="G621" s="39">
        <f t="shared" si="480"/>
        <v>0.17190470443506989</v>
      </c>
      <c r="H621" s="39">
        <f t="shared" si="480"/>
        <v>0.1169449109356866</v>
      </c>
      <c r="I621" s="39">
        <f t="shared" si="480"/>
        <v>-0.21786765936210606</v>
      </c>
      <c r="J621" s="39">
        <f t="shared" si="482"/>
        <v>0.31317500137563392</v>
      </c>
      <c r="K621" s="39">
        <f t="shared" si="482"/>
        <v>-0.16594770391402136</v>
      </c>
      <c r="L621" s="39">
        <f t="shared" si="482"/>
        <v>-0.12226973712543954</v>
      </c>
      <c r="M621" s="39">
        <f t="shared" si="482"/>
        <v>-3.3059996541317416E-2</v>
      </c>
      <c r="N621" s="39">
        <f t="shared" si="482"/>
        <v>0.29407746029981818</v>
      </c>
      <c r="O621" s="39">
        <f t="shared" si="482"/>
        <v>0.19526769213946171</v>
      </c>
    </row>
    <row r="622" spans="1:15" x14ac:dyDescent="0.2">
      <c r="A622" s="38" t="s">
        <v>28</v>
      </c>
      <c r="D622" s="39">
        <f t="shared" si="480"/>
        <v>0.16293404315941029</v>
      </c>
      <c r="E622" s="39">
        <f t="shared" si="480"/>
        <v>0.15789274682458054</v>
      </c>
      <c r="F622" s="39">
        <f t="shared" si="480"/>
        <v>0.13539417302622048</v>
      </c>
      <c r="G622" s="39">
        <f t="shared" si="480"/>
        <v>-1.4470429591868061E-2</v>
      </c>
      <c r="H622" s="39">
        <f t="shared" si="480"/>
        <v>8.2227660550496351E-2</v>
      </c>
      <c r="I622" s="39">
        <f t="shared" si="480"/>
        <v>7.2406130853388651E-2</v>
      </c>
      <c r="J622" s="39">
        <f t="shared" si="482"/>
        <v>0.16002569142364798</v>
      </c>
      <c r="K622" s="39">
        <f t="shared" si="482"/>
        <v>0.22444902007344514</v>
      </c>
      <c r="L622" s="39">
        <f t="shared" si="482"/>
        <v>7.9894779527059923E-3</v>
      </c>
      <c r="M622" s="39">
        <f t="shared" si="482"/>
        <v>-4.1097415740451115E-2</v>
      </c>
      <c r="N622" s="39">
        <f t="shared" si="482"/>
        <v>0.32541971094799249</v>
      </c>
      <c r="O622" s="39">
        <f t="shared" si="482"/>
        <v>3.7103809868241355E-2</v>
      </c>
    </row>
    <row r="623" spans="1:15" x14ac:dyDescent="0.2">
      <c r="A623" s="38" t="s">
        <v>29</v>
      </c>
      <c r="D623" s="39">
        <f t="shared" si="480"/>
        <v>0.23522639941668866</v>
      </c>
      <c r="E623" s="39">
        <f t="shared" si="480"/>
        <v>5.0234473485980091E-2</v>
      </c>
      <c r="F623" s="39">
        <f t="shared" si="480"/>
        <v>0.11268963466711257</v>
      </c>
      <c r="G623" s="39">
        <f t="shared" si="480"/>
        <v>0.31711421364203618</v>
      </c>
      <c r="H623" s="39">
        <f t="shared" si="480"/>
        <v>3.2429732848601289E-2</v>
      </c>
      <c r="I623" s="39">
        <f t="shared" si="480"/>
        <v>0.24235376505230555</v>
      </c>
      <c r="J623" s="39">
        <f t="shared" si="482"/>
        <v>0.33481323218158698</v>
      </c>
      <c r="K623" s="39">
        <f t="shared" si="482"/>
        <v>0.18126686632591205</v>
      </c>
      <c r="L623" s="39">
        <f t="shared" si="482"/>
        <v>0.35489070821372781</v>
      </c>
      <c r="M623" s="39">
        <f t="shared" si="482"/>
        <v>-9.5688850790659252E-2</v>
      </c>
      <c r="N623" s="39">
        <f t="shared" si="482"/>
        <v>-0.21554887820582125</v>
      </c>
      <c r="O623" s="39">
        <f t="shared" si="482"/>
        <v>0.43158075031981347</v>
      </c>
    </row>
    <row r="624" spans="1:15" x14ac:dyDescent="0.2">
      <c r="A624" s="38" t="s">
        <v>30</v>
      </c>
      <c r="D624" s="39">
        <f t="shared" si="480"/>
        <v>0.19244879864333198</v>
      </c>
      <c r="E624" s="39">
        <f t="shared" si="480"/>
        <v>-0.12234741081758616</v>
      </c>
      <c r="F624" s="39">
        <f t="shared" si="480"/>
        <v>0.23125634911638948</v>
      </c>
      <c r="G624" s="39">
        <f t="shared" si="480"/>
        <v>0.33357806219439889</v>
      </c>
      <c r="H624" s="39">
        <f t="shared" si="480"/>
        <v>9.8370522111142278E-2</v>
      </c>
      <c r="I624" s="39">
        <f t="shared" si="480"/>
        <v>-1.3238613228619966E-2</v>
      </c>
      <c r="J624" s="39">
        <f t="shared" si="482"/>
        <v>0.37256765952281068</v>
      </c>
      <c r="K624" s="39">
        <f t="shared" si="482"/>
        <v>0.33054476792640863</v>
      </c>
      <c r="L624" s="39">
        <f t="shared" si="482"/>
        <v>-1.7243883067015187E-3</v>
      </c>
      <c r="M624" s="39">
        <f t="shared" si="482"/>
        <v>-0.20899121195195391</v>
      </c>
      <c r="N624" s="39">
        <f t="shared" si="482"/>
        <v>0.19187296574421697</v>
      </c>
      <c r="O624" s="39">
        <f t="shared" si="482"/>
        <v>7.3613386515817392E-2</v>
      </c>
    </row>
    <row r="625" spans="1:15" x14ac:dyDescent="0.2">
      <c r="A625" s="38" t="s">
        <v>31</v>
      </c>
      <c r="D625" s="39">
        <f t="shared" si="480"/>
        <v>0.33448115865304917</v>
      </c>
      <c r="E625" s="39">
        <f t="shared" si="480"/>
        <v>0.13276589654013971</v>
      </c>
      <c r="F625" s="39">
        <f t="shared" si="480"/>
        <v>0.20061935153825738</v>
      </c>
      <c r="G625" s="39">
        <f t="shared" si="480"/>
        <v>4.9407319667086003E-2</v>
      </c>
      <c r="H625" s="39">
        <f t="shared" si="480"/>
        <v>3.985326505353104E-3</v>
      </c>
      <c r="I625" s="39">
        <f t="shared" si="480"/>
        <v>-0.21369343649654438</v>
      </c>
      <c r="J625" s="39">
        <f t="shared" ref="J625:O633" si="483">1-J429/J331</f>
        <v>-4.5703376960385844E-2</v>
      </c>
      <c r="K625" s="39">
        <f t="shared" si="483"/>
        <v>0.15663747281436091</v>
      </c>
      <c r="L625" s="39">
        <f t="shared" si="483"/>
        <v>0.16789006341742285</v>
      </c>
      <c r="M625" s="39">
        <f t="shared" si="483"/>
        <v>0.24112612666831856</v>
      </c>
      <c r="N625" s="39">
        <f t="shared" si="483"/>
        <v>0.1202721973920905</v>
      </c>
      <c r="O625" s="39">
        <f t="shared" si="483"/>
        <v>2.92514962057282E-2</v>
      </c>
    </row>
    <row r="626" spans="1:15" x14ac:dyDescent="0.2">
      <c r="A626" s="38" t="s">
        <v>32</v>
      </c>
      <c r="D626" s="39">
        <f t="shared" si="480"/>
        <v>0.11054417476430711</v>
      </c>
      <c r="E626" s="39">
        <f t="shared" si="480"/>
        <v>0.15188316013012559</v>
      </c>
      <c r="F626" s="39">
        <f t="shared" si="480"/>
        <v>-0.18238764406556607</v>
      </c>
      <c r="G626" s="39">
        <f t="shared" si="480"/>
        <v>6.1576589659880665E-2</v>
      </c>
      <c r="H626" s="39">
        <f t="shared" si="480"/>
        <v>-0.20148247057315793</v>
      </c>
      <c r="I626" s="39">
        <f t="shared" si="480"/>
        <v>-0.10485122056782537</v>
      </c>
      <c r="J626" s="39">
        <f t="shared" si="483"/>
        <v>-0.14530962898233324</v>
      </c>
      <c r="K626" s="39">
        <f t="shared" si="483"/>
        <v>-0.21805048472116773</v>
      </c>
      <c r="L626" s="39">
        <f t="shared" si="483"/>
        <v>0.38386768586123732</v>
      </c>
      <c r="M626" s="39">
        <f t="shared" si="483"/>
        <v>-0.24213467466971106</v>
      </c>
      <c r="N626" s="39">
        <f t="shared" si="483"/>
        <v>0.26661552033112357</v>
      </c>
      <c r="O626" s="39">
        <f t="shared" si="483"/>
        <v>0.25446276511539123</v>
      </c>
    </row>
    <row r="627" spans="1:15" x14ac:dyDescent="0.2">
      <c r="A627" s="38" t="s">
        <v>33</v>
      </c>
      <c r="D627" s="39">
        <f t="shared" si="480"/>
        <v>3.195436467616819E-2</v>
      </c>
      <c r="E627" s="39">
        <f t="shared" si="480"/>
        <v>-7.082894485144986E-2</v>
      </c>
      <c r="F627" s="39">
        <f t="shared" si="480"/>
        <v>0.12874490126507465</v>
      </c>
      <c r="G627" s="39">
        <f t="shared" si="480"/>
        <v>0.30578740511943026</v>
      </c>
      <c r="H627" s="39">
        <f t="shared" si="480"/>
        <v>-0.18637805520869621</v>
      </c>
      <c r="I627" s="39">
        <f t="shared" si="480"/>
        <v>0.33240801406627252</v>
      </c>
      <c r="J627" s="39">
        <f t="shared" si="483"/>
        <v>0.31012118005846523</v>
      </c>
      <c r="K627" s="39">
        <f t="shared" si="483"/>
        <v>-0.13472977888404425</v>
      </c>
      <c r="L627" s="39">
        <f t="shared" si="483"/>
        <v>0.31415876573782353</v>
      </c>
      <c r="M627" s="39">
        <f t="shared" si="483"/>
        <v>-8.2069042433607908E-2</v>
      </c>
      <c r="N627" s="39">
        <f t="shared" si="483"/>
        <v>-3.0843167515650194E-2</v>
      </c>
      <c r="O627" s="39">
        <f t="shared" si="483"/>
        <v>0.2158109046448704</v>
      </c>
    </row>
    <row r="628" spans="1:15" x14ac:dyDescent="0.2">
      <c r="A628" s="38" t="s">
        <v>34</v>
      </c>
      <c r="D628" s="39">
        <f t="shared" si="480"/>
        <v>0.33015294459883149</v>
      </c>
      <c r="E628" s="39">
        <f t="shared" si="480"/>
        <v>0.25304994455284302</v>
      </c>
      <c r="F628" s="39">
        <f t="shared" si="480"/>
        <v>0.20549688017858758</v>
      </c>
      <c r="G628" s="39">
        <f t="shared" si="480"/>
        <v>0.18864252576242557</v>
      </c>
      <c r="H628" s="39">
        <f t="shared" si="480"/>
        <v>0.28958767961972065</v>
      </c>
      <c r="I628" s="39">
        <f t="shared" si="480"/>
        <v>0.18942133373605374</v>
      </c>
      <c r="J628" s="39">
        <f t="shared" si="483"/>
        <v>0.29460639962738566</v>
      </c>
      <c r="K628" s="39">
        <f t="shared" si="483"/>
        <v>0.15270153480978277</v>
      </c>
      <c r="L628" s="39">
        <f t="shared" si="483"/>
        <v>-2.2931084135991542E-2</v>
      </c>
      <c r="M628" s="39">
        <f t="shared" si="483"/>
        <v>-6.9660264399263871E-2</v>
      </c>
      <c r="N628" s="39">
        <f t="shared" si="483"/>
        <v>0.20420414208954374</v>
      </c>
      <c r="O628" s="39">
        <f t="shared" si="483"/>
        <v>-9.6270176062833501E-2</v>
      </c>
    </row>
    <row r="629" spans="1:15" x14ac:dyDescent="0.2">
      <c r="A629" s="37" t="s">
        <v>35</v>
      </c>
      <c r="D629" s="40">
        <f t="shared" si="480"/>
        <v>0.1199209810880606</v>
      </c>
      <c r="E629" s="40">
        <f t="shared" si="480"/>
        <v>-4.0035255749677257E-2</v>
      </c>
      <c r="F629" s="40">
        <f t="shared" si="480"/>
        <v>0.11273878401682624</v>
      </c>
      <c r="G629" s="40">
        <f t="shared" si="480"/>
        <v>0.14039244852019617</v>
      </c>
      <c r="H629" s="40">
        <f t="shared" si="480"/>
        <v>7.2912957834140091E-2</v>
      </c>
      <c r="I629" s="40">
        <f t="shared" si="480"/>
        <v>3.0792112469683164E-2</v>
      </c>
      <c r="J629" s="40">
        <f t="shared" si="483"/>
        <v>0.12057316913138727</v>
      </c>
      <c r="K629" s="40">
        <f t="shared" si="483"/>
        <v>8.4979919557983119E-2</v>
      </c>
      <c r="L629" s="40">
        <f t="shared" si="483"/>
        <v>8.0392753403781048E-2</v>
      </c>
      <c r="M629" s="40">
        <f t="shared" si="483"/>
        <v>0.10424013565569068</v>
      </c>
      <c r="N629" s="40">
        <f t="shared" si="483"/>
        <v>0.12010242023040441</v>
      </c>
      <c r="O629" s="40">
        <f t="shared" si="483"/>
        <v>0.12219041122238972</v>
      </c>
    </row>
    <row r="630" spans="1:15" x14ac:dyDescent="0.2">
      <c r="A630" s="38" t="s">
        <v>25</v>
      </c>
      <c r="D630" s="39">
        <f t="shared" si="480"/>
        <v>0.20771618099803246</v>
      </c>
      <c r="E630" s="39">
        <f t="shared" si="480"/>
        <v>-0.10068479009986087</v>
      </c>
      <c r="F630" s="39">
        <f t="shared" si="480"/>
        <v>-8.9464732141918635E-2</v>
      </c>
      <c r="G630" s="39">
        <f t="shared" si="480"/>
        <v>0.37611126838764863</v>
      </c>
      <c r="H630" s="39">
        <f t="shared" si="480"/>
        <v>-0.15975713868194541</v>
      </c>
      <c r="I630" s="39">
        <f t="shared" si="480"/>
        <v>-3.1901390718436895E-2</v>
      </c>
      <c r="J630" s="39">
        <f t="shared" si="483"/>
        <v>-0.16245222080096178</v>
      </c>
      <c r="K630" s="39">
        <f t="shared" si="483"/>
        <v>0.23401848131730396</v>
      </c>
      <c r="L630" s="39">
        <f t="shared" si="483"/>
        <v>0.26732730602701726</v>
      </c>
      <c r="M630" s="39">
        <f t="shared" si="483"/>
        <v>-3.5443505817493559E-2</v>
      </c>
      <c r="N630" s="39">
        <f t="shared" si="483"/>
        <v>0.25352878420145397</v>
      </c>
      <c r="O630" s="39">
        <f t="shared" si="483"/>
        <v>-0.20084704737572179</v>
      </c>
    </row>
    <row r="631" spans="1:15" x14ac:dyDescent="0.2">
      <c r="A631" s="38" t="s">
        <v>26</v>
      </c>
      <c r="D631" s="39">
        <f t="shared" si="480"/>
        <v>-0.24296842077525538</v>
      </c>
      <c r="E631" s="39">
        <f t="shared" si="480"/>
        <v>-0.15782233427280756</v>
      </c>
      <c r="F631" s="39">
        <f t="shared" si="480"/>
        <v>0.29105615945074803</v>
      </c>
      <c r="G631" s="39">
        <f t="shared" si="480"/>
        <v>0.15461969745346549</v>
      </c>
      <c r="H631" s="39">
        <f t="shared" si="480"/>
        <v>0.10851857439922752</v>
      </c>
      <c r="I631" s="39">
        <f t="shared" si="480"/>
        <v>0.11957815142617967</v>
      </c>
      <c r="J631" s="39">
        <f t="shared" si="483"/>
        <v>0.16174363415510362</v>
      </c>
      <c r="K631" s="39">
        <f t="shared" si="483"/>
        <v>0.35967196467747742</v>
      </c>
      <c r="L631" s="39">
        <f t="shared" si="483"/>
        <v>-0.20700650311912305</v>
      </c>
      <c r="M631" s="39">
        <f t="shared" si="483"/>
        <v>-0.22421537902754052</v>
      </c>
      <c r="N631" s="39">
        <f t="shared" si="483"/>
        <v>-0.11164601205426172</v>
      </c>
      <c r="O631" s="39">
        <f t="shared" si="483"/>
        <v>-0.23855232880351362</v>
      </c>
    </row>
    <row r="632" spans="1:15" x14ac:dyDescent="0.2">
      <c r="A632" s="38" t="s">
        <v>27</v>
      </c>
      <c r="D632" s="39">
        <f t="shared" si="480"/>
        <v>-0.13057056446576087</v>
      </c>
      <c r="E632" s="39">
        <f t="shared" si="480"/>
        <v>0.30363427145574029</v>
      </c>
      <c r="F632" s="39">
        <f t="shared" si="480"/>
        <v>1.4640539489871762E-2</v>
      </c>
      <c r="G632" s="39">
        <f t="shared" si="480"/>
        <v>1.1114652152866999E-2</v>
      </c>
      <c r="H632" s="39">
        <f t="shared" si="480"/>
        <v>9.7949911158778935E-4</v>
      </c>
      <c r="I632" s="39">
        <f t="shared" si="480"/>
        <v>0.19324854252339729</v>
      </c>
      <c r="J632" s="39">
        <f t="shared" si="483"/>
        <v>-6.6780481279663517E-2</v>
      </c>
      <c r="K632" s="39">
        <f t="shared" si="483"/>
        <v>6.6995775472136976E-2</v>
      </c>
      <c r="L632" s="39">
        <f t="shared" si="483"/>
        <v>-2.0157379130895103E-2</v>
      </c>
      <c r="M632" s="39">
        <f t="shared" si="483"/>
        <v>-0.12296014226406604</v>
      </c>
      <c r="N632" s="39">
        <f t="shared" si="483"/>
        <v>0.19468200114862966</v>
      </c>
      <c r="O632" s="39">
        <f t="shared" si="483"/>
        <v>9.5703597904540638E-2</v>
      </c>
    </row>
    <row r="633" spans="1:15" x14ac:dyDescent="0.2">
      <c r="A633" s="38" t="s">
        <v>28</v>
      </c>
      <c r="D633" s="39">
        <f t="shared" si="480"/>
        <v>0.24789110281685722</v>
      </c>
      <c r="E633" s="39">
        <f t="shared" si="480"/>
        <v>-0.14646420732046939</v>
      </c>
      <c r="F633" s="39">
        <f t="shared" si="480"/>
        <v>8.9541072451821302E-2</v>
      </c>
      <c r="G633" s="39">
        <f t="shared" si="480"/>
        <v>-5.9826540552452512E-2</v>
      </c>
      <c r="H633" s="39">
        <f t="shared" si="480"/>
        <v>0.30772773037380396</v>
      </c>
      <c r="I633" s="39">
        <f t="shared" si="480"/>
        <v>0.24265304360431772</v>
      </c>
      <c r="J633" s="39">
        <f t="shared" si="483"/>
        <v>1.6229832164085245E-2</v>
      </c>
      <c r="K633" s="39">
        <f t="shared" si="483"/>
        <v>0.23700216424038212</v>
      </c>
      <c r="L633" s="39">
        <f t="shared" si="483"/>
        <v>-0.19611075209759776</v>
      </c>
      <c r="M633" s="39">
        <f t="shared" si="483"/>
        <v>-4.0540585906474025E-2</v>
      </c>
      <c r="N633" s="39">
        <f t="shared" si="483"/>
        <v>-1.4607336004085036E-2</v>
      </c>
      <c r="O633" s="39">
        <f t="shared" si="483"/>
        <v>-4.4536365027284974E-2</v>
      </c>
    </row>
    <row r="634" spans="1:15" x14ac:dyDescent="0.2">
      <c r="A634" s="38" t="s">
        <v>29</v>
      </c>
      <c r="D634" s="39">
        <f t="shared" si="480"/>
        <v>0.2170240762874075</v>
      </c>
      <c r="E634" s="39">
        <f t="shared" si="480"/>
        <v>-9.7293184253568032E-2</v>
      </c>
      <c r="F634" s="39">
        <f t="shared" si="480"/>
        <v>-0.10699432587954671</v>
      </c>
      <c r="G634" s="39">
        <f t="shared" si="480"/>
        <v>-5.1762993792958678E-3</v>
      </c>
      <c r="H634" s="39">
        <f t="shared" ref="E634:I639" si="484">1-H438/H340</f>
        <v>0.32177218627503268</v>
      </c>
      <c r="I634" s="39">
        <f t="shared" si="484"/>
        <v>-5.4174215798556524E-2</v>
      </c>
      <c r="J634" s="39">
        <f t="shared" ref="J634:O634" si="485">1-J438/J340</f>
        <v>0.22597356816797098</v>
      </c>
      <c r="K634" s="39">
        <f t="shared" si="485"/>
        <v>4.4419106995837621E-2</v>
      </c>
      <c r="L634" s="39">
        <f t="shared" si="485"/>
        <v>0.19132401373915953</v>
      </c>
      <c r="M634" s="39">
        <f t="shared" si="485"/>
        <v>0.39010560524746085</v>
      </c>
      <c r="N634" s="39">
        <f t="shared" si="485"/>
        <v>0.32385991509688949</v>
      </c>
      <c r="O634" s="39">
        <f t="shared" si="485"/>
        <v>0.12119777649662444</v>
      </c>
    </row>
    <row r="635" spans="1:15" x14ac:dyDescent="0.2">
      <c r="A635" s="38" t="s">
        <v>30</v>
      </c>
      <c r="D635" s="39">
        <f t="shared" si="480"/>
        <v>-6.4225012128600101E-2</v>
      </c>
      <c r="E635" s="39">
        <f t="shared" si="484"/>
        <v>0.31237048013502355</v>
      </c>
      <c r="F635" s="39">
        <f t="shared" si="484"/>
        <v>0.25251030721364376</v>
      </c>
      <c r="G635" s="39">
        <f t="shared" si="484"/>
        <v>0.1950714463558143</v>
      </c>
      <c r="H635" s="39">
        <f t="shared" si="484"/>
        <v>-1.7572507229463685E-2</v>
      </c>
      <c r="I635" s="39">
        <f t="shared" si="484"/>
        <v>1.7815013288059456E-2</v>
      </c>
      <c r="J635" s="39">
        <f t="shared" ref="J635:O635" si="486">1-J439/J341</f>
        <v>0.10232002334454637</v>
      </c>
      <c r="K635" s="39">
        <f t="shared" si="486"/>
        <v>-0.19924872184544618</v>
      </c>
      <c r="L635" s="39">
        <f t="shared" si="486"/>
        <v>-0.13320967301926379</v>
      </c>
      <c r="M635" s="39">
        <f t="shared" si="486"/>
        <v>-0.23293778330699233</v>
      </c>
      <c r="N635" s="39">
        <f t="shared" si="486"/>
        <v>0.34329427676774826</v>
      </c>
      <c r="O635" s="39">
        <f t="shared" si="486"/>
        <v>-0.24033577505011205</v>
      </c>
    </row>
    <row r="636" spans="1:15" x14ac:dyDescent="0.2">
      <c r="A636" s="38" t="s">
        <v>31</v>
      </c>
      <c r="D636" s="39">
        <f t="shared" si="480"/>
        <v>0.31885931397324008</v>
      </c>
      <c r="E636" s="39">
        <f t="shared" si="484"/>
        <v>-0.10478289421775644</v>
      </c>
      <c r="F636" s="39">
        <f t="shared" si="484"/>
        <v>0.37862932436910368</v>
      </c>
      <c r="G636" s="39">
        <f t="shared" si="484"/>
        <v>0.30320618893113627</v>
      </c>
      <c r="H636" s="39">
        <f t="shared" si="484"/>
        <v>-0.23921183245930022</v>
      </c>
      <c r="I636" s="39">
        <f t="shared" si="484"/>
        <v>8.086619067572931E-2</v>
      </c>
      <c r="J636" s="39">
        <f t="shared" ref="J636:O636" si="487">1-J440/J342</f>
        <v>0.22327067184912353</v>
      </c>
      <c r="K636" s="39">
        <f t="shared" si="487"/>
        <v>0.20944261017522958</v>
      </c>
      <c r="L636" s="39">
        <f t="shared" si="487"/>
        <v>0.18736114225988787</v>
      </c>
      <c r="M636" s="39">
        <f t="shared" si="487"/>
        <v>0.23976786669161698</v>
      </c>
      <c r="N636" s="39">
        <f t="shared" si="487"/>
        <v>2.2923993945504928E-2</v>
      </c>
      <c r="O636" s="39">
        <f t="shared" si="487"/>
        <v>-7.3014525330924673E-2</v>
      </c>
    </row>
    <row r="637" spans="1:15" x14ac:dyDescent="0.2">
      <c r="A637" s="38" t="s">
        <v>32</v>
      </c>
      <c r="D637" s="39">
        <f t="shared" si="480"/>
        <v>0.12434115588884953</v>
      </c>
      <c r="E637" s="39">
        <f t="shared" si="484"/>
        <v>3.3698885587896132E-3</v>
      </c>
      <c r="F637" s="39">
        <f t="shared" si="484"/>
        <v>-9.7254587208122301E-2</v>
      </c>
      <c r="G637" s="39">
        <f t="shared" si="484"/>
        <v>-0.14619569266093402</v>
      </c>
      <c r="H637" s="39">
        <f t="shared" si="484"/>
        <v>0.23002256974443935</v>
      </c>
      <c r="I637" s="39">
        <f t="shared" si="484"/>
        <v>0.26250848282515515</v>
      </c>
      <c r="J637" s="39">
        <f t="shared" ref="J637:O637" si="488">1-J441/J343</f>
        <v>-7.5261093684988456E-3</v>
      </c>
      <c r="K637" s="39">
        <f t="shared" si="488"/>
        <v>0.29317820944251149</v>
      </c>
      <c r="L637" s="39">
        <f t="shared" si="488"/>
        <v>-0.11868279307130436</v>
      </c>
      <c r="M637" s="39">
        <f t="shared" si="488"/>
        <v>-0.25566267407602816</v>
      </c>
      <c r="N637" s="39">
        <f t="shared" si="488"/>
        <v>9.5633121553432843E-2</v>
      </c>
      <c r="O637" s="39">
        <f t="shared" si="488"/>
        <v>0.21590840030347436</v>
      </c>
    </row>
    <row r="638" spans="1:15" x14ac:dyDescent="0.2">
      <c r="A638" s="38" t="s">
        <v>33</v>
      </c>
      <c r="D638" s="39">
        <f t="shared" si="480"/>
        <v>0.25081381221583465</v>
      </c>
      <c r="E638" s="39">
        <f t="shared" si="484"/>
        <v>0.31662713403344511</v>
      </c>
      <c r="F638" s="39">
        <f t="shared" si="484"/>
        <v>0.24123860375880668</v>
      </c>
      <c r="G638" s="39">
        <f t="shared" si="484"/>
        <v>0.28216982672449753</v>
      </c>
      <c r="H638" s="39">
        <f t="shared" si="484"/>
        <v>-0.19197357502839041</v>
      </c>
      <c r="I638" s="39">
        <f t="shared" si="484"/>
        <v>3.4767693114420295E-2</v>
      </c>
      <c r="J638" s="39">
        <f t="shared" ref="J638:O638" si="489">1-J442/J344</f>
        <v>0.22408714029985899</v>
      </c>
      <c r="K638" s="39">
        <f t="shared" si="489"/>
        <v>0.32023602028869502</v>
      </c>
      <c r="L638" s="39">
        <f t="shared" si="489"/>
        <v>-0.15588588429839478</v>
      </c>
      <c r="M638" s="39">
        <f t="shared" si="489"/>
        <v>0.38417127828099429</v>
      </c>
      <c r="N638" s="39">
        <f t="shared" si="489"/>
        <v>0.15595438427522823</v>
      </c>
      <c r="O638" s="39">
        <f t="shared" si="489"/>
        <v>0.36471725440455671</v>
      </c>
    </row>
    <row r="639" spans="1:15" x14ac:dyDescent="0.2">
      <c r="A639" s="38" t="s">
        <v>34</v>
      </c>
      <c r="D639" s="39">
        <f t="shared" si="480"/>
        <v>0.23961896378674807</v>
      </c>
      <c r="E639" s="39">
        <f t="shared" si="484"/>
        <v>-0.25931093057330701</v>
      </c>
      <c r="F639" s="39">
        <f t="shared" si="484"/>
        <v>-5.0824629930628529E-2</v>
      </c>
      <c r="G639" s="39">
        <f t="shared" si="484"/>
        <v>0.12602846045116689</v>
      </c>
      <c r="H639" s="39">
        <f t="shared" si="484"/>
        <v>0.10573862021578906</v>
      </c>
      <c r="I639" s="39">
        <f t="shared" si="484"/>
        <v>-0.24447334521151376</v>
      </c>
      <c r="J639" s="39">
        <f t="shared" ref="J639:O639" si="490">1-J443/J345</f>
        <v>9.6758544990342088E-2</v>
      </c>
      <c r="K639" s="39">
        <f t="shared" si="490"/>
        <v>9.3613023847950561E-2</v>
      </c>
      <c r="L639" s="39">
        <f t="shared" si="490"/>
        <v>-0.24264826204713263</v>
      </c>
      <c r="M639" s="39">
        <f t="shared" si="490"/>
        <v>9.0343322073583421E-2</v>
      </c>
      <c r="N639" s="39">
        <f t="shared" si="490"/>
        <v>0.16028333880401435</v>
      </c>
      <c r="O639" s="39">
        <f t="shared" si="490"/>
        <v>0.35727664887077859</v>
      </c>
    </row>
    <row r="640" spans="1:15" x14ac:dyDescent="0.2">
      <c r="A640" s="38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</row>
    <row r="641" spans="1:15" x14ac:dyDescent="0.2">
      <c r="A641" s="3" t="s">
        <v>37</v>
      </c>
      <c r="B641" s="3"/>
      <c r="C641" s="3"/>
      <c r="D641" s="41">
        <f t="shared" ref="D641:I687" si="491">1-D445/D347</f>
        <v>8.4828511611153123E-2</v>
      </c>
      <c r="E641" s="41">
        <f t="shared" si="491"/>
        <v>4.7777247635833131E-2</v>
      </c>
      <c r="F641" s="41">
        <f t="shared" si="491"/>
        <v>0.10886138351012564</v>
      </c>
      <c r="G641" s="41">
        <f t="shared" si="491"/>
        <v>0.1886437116649613</v>
      </c>
      <c r="H641" s="41">
        <f t="shared" si="491"/>
        <v>2.522454479533065E-2</v>
      </c>
      <c r="I641" s="41">
        <f t="shared" si="491"/>
        <v>6.9495397163232608E-2</v>
      </c>
      <c r="J641" s="41">
        <f t="shared" ref="J641:O656" si="492">1-J445/J347</f>
        <v>6.5342434579115483E-2</v>
      </c>
      <c r="K641" s="41">
        <f t="shared" si="492"/>
        <v>0.11646248186314112</v>
      </c>
      <c r="L641" s="41">
        <f t="shared" si="492"/>
        <v>5.3680628622273741E-2</v>
      </c>
      <c r="M641" s="41">
        <f t="shared" si="492"/>
        <v>2.2662807186549117E-2</v>
      </c>
      <c r="N641" s="41">
        <f t="shared" si="492"/>
        <v>4.3186074760107163E-2</v>
      </c>
      <c r="O641" s="41">
        <f t="shared" si="492"/>
        <v>3.207348027611101E-2</v>
      </c>
    </row>
    <row r="642" spans="1:15" x14ac:dyDescent="0.2">
      <c r="A642" s="4" t="s">
        <v>23</v>
      </c>
      <c r="B642" s="4"/>
      <c r="C642" s="4"/>
      <c r="D642" s="42">
        <f t="shared" si="491"/>
        <v>6.0504469251175474E-2</v>
      </c>
      <c r="E642" s="42">
        <f t="shared" si="491"/>
        <v>9.2129824376506408E-2</v>
      </c>
      <c r="F642" s="42">
        <f t="shared" si="491"/>
        <v>4.673052585064863E-2</v>
      </c>
      <c r="G642" s="42">
        <f t="shared" si="491"/>
        <v>7.3239580670053872E-2</v>
      </c>
      <c r="H642" s="42">
        <f t="shared" si="491"/>
        <v>7.108801597889336E-2</v>
      </c>
      <c r="I642" s="42">
        <f t="shared" si="491"/>
        <v>0.15886353335881775</v>
      </c>
      <c r="J642" s="42">
        <f t="shared" si="492"/>
        <v>9.6433445851371591E-3</v>
      </c>
      <c r="K642" s="42">
        <f t="shared" si="492"/>
        <v>0.12107362701551228</v>
      </c>
      <c r="L642" s="42">
        <f t="shared" si="492"/>
        <v>9.4914103479891487E-2</v>
      </c>
      <c r="M642" s="42">
        <f t="shared" si="492"/>
        <v>-3.3028017819402011E-2</v>
      </c>
      <c r="N642" s="42">
        <f t="shared" si="492"/>
        <v>0.17396614614545891</v>
      </c>
      <c r="O642" s="42">
        <f t="shared" si="492"/>
        <v>2.7088615943953509E-2</v>
      </c>
    </row>
    <row r="643" spans="1:15" x14ac:dyDescent="0.2">
      <c r="A643" s="37" t="s">
        <v>24</v>
      </c>
      <c r="D643" s="40">
        <f t="shared" si="491"/>
        <v>9.7522403958691273E-2</v>
      </c>
      <c r="E643" s="40">
        <f t="shared" si="491"/>
        <v>-4.1244792273373188E-2</v>
      </c>
      <c r="F643" s="40">
        <f t="shared" si="491"/>
        <v>5.5638592000103348E-2</v>
      </c>
      <c r="G643" s="40">
        <f t="shared" si="491"/>
        <v>0.15834416681814723</v>
      </c>
      <c r="H643" s="40">
        <f t="shared" si="491"/>
        <v>2.3086234584573373E-2</v>
      </c>
      <c r="I643" s="40">
        <f t="shared" si="491"/>
        <v>-9.6751484912087626E-3</v>
      </c>
      <c r="J643" s="40">
        <f t="shared" si="492"/>
        <v>3.1549397594546558E-2</v>
      </c>
      <c r="K643" s="40">
        <f t="shared" si="492"/>
        <v>8.1172987998923585E-2</v>
      </c>
      <c r="L643" s="40">
        <f t="shared" si="492"/>
        <v>0.21886527500872921</v>
      </c>
      <c r="M643" s="40">
        <f t="shared" si="492"/>
        <v>-6.4078603640982834E-2</v>
      </c>
      <c r="N643" s="40">
        <f t="shared" si="492"/>
        <v>0.15599148012483588</v>
      </c>
      <c r="O643" s="40">
        <f t="shared" si="492"/>
        <v>5.5794481660797035E-2</v>
      </c>
    </row>
    <row r="644" spans="1:15" x14ac:dyDescent="0.2">
      <c r="A644" s="38" t="s">
        <v>25</v>
      </c>
      <c r="D644" s="39">
        <f t="shared" si="491"/>
        <v>-4.3146503717692131E-2</v>
      </c>
      <c r="E644" s="39">
        <f t="shared" si="491"/>
        <v>-2.8055416209566975E-3</v>
      </c>
      <c r="F644" s="39">
        <f t="shared" si="491"/>
        <v>0.15045492088817636</v>
      </c>
      <c r="G644" s="39">
        <f t="shared" si="491"/>
        <v>-9.1169143641758321E-2</v>
      </c>
      <c r="H644" s="39">
        <f t="shared" si="491"/>
        <v>0.13132435194537706</v>
      </c>
      <c r="I644" s="39">
        <f t="shared" si="491"/>
        <v>0.22902152644060036</v>
      </c>
      <c r="J644" s="39">
        <f t="shared" si="492"/>
        <v>0.33252880642844795</v>
      </c>
      <c r="K644" s="39">
        <f t="shared" si="492"/>
        <v>0.14047813633308437</v>
      </c>
      <c r="L644" s="39">
        <f t="shared" si="492"/>
        <v>0.20547795589717244</v>
      </c>
      <c r="M644" s="39">
        <f t="shared" si="492"/>
        <v>5.7042987943904278E-2</v>
      </c>
      <c r="N644" s="39">
        <f t="shared" si="492"/>
        <v>0.12967741051408266</v>
      </c>
      <c r="O644" s="39">
        <f t="shared" si="492"/>
        <v>-9.6803735379179079E-2</v>
      </c>
    </row>
    <row r="645" spans="1:15" x14ac:dyDescent="0.2">
      <c r="A645" s="38" t="s">
        <v>26</v>
      </c>
      <c r="D645" s="39">
        <f t="shared" si="491"/>
        <v>-5.0018331435968788E-2</v>
      </c>
      <c r="E645" s="39">
        <f t="shared" si="491"/>
        <v>-0.17261734370425819</v>
      </c>
      <c r="F645" s="39">
        <f t="shared" si="491"/>
        <v>0.13889200854044692</v>
      </c>
      <c r="G645" s="39">
        <f t="shared" si="491"/>
        <v>0.38363472541976906</v>
      </c>
      <c r="H645" s="39">
        <f t="shared" si="491"/>
        <v>9.5399978811673281E-2</v>
      </c>
      <c r="I645" s="39">
        <f t="shared" si="491"/>
        <v>0.10336177587819073</v>
      </c>
      <c r="J645" s="39">
        <f t="shared" si="492"/>
        <v>-0.22759542152088685</v>
      </c>
      <c r="K645" s="39">
        <f t="shared" si="492"/>
        <v>3.5515364144720341E-3</v>
      </c>
      <c r="L645" s="39">
        <f t="shared" si="492"/>
        <v>0.43005690719750922</v>
      </c>
      <c r="M645" s="39">
        <f t="shared" si="492"/>
        <v>0.25644417769528671</v>
      </c>
      <c r="N645" s="39">
        <f t="shared" si="492"/>
        <v>4.5081633744390226E-2</v>
      </c>
      <c r="O645" s="39">
        <f t="shared" si="492"/>
        <v>-6.7383804795046132E-2</v>
      </c>
    </row>
    <row r="646" spans="1:15" x14ac:dyDescent="0.2">
      <c r="A646" s="38" t="s">
        <v>27</v>
      </c>
      <c r="D646" s="39">
        <f t="shared" si="491"/>
        <v>0.40183660369067697</v>
      </c>
      <c r="E646" s="39">
        <f t="shared" si="491"/>
        <v>-4.4657487999367085E-2</v>
      </c>
      <c r="F646" s="39">
        <f t="shared" si="491"/>
        <v>0.29844755476452267</v>
      </c>
      <c r="G646" s="39">
        <f t="shared" si="491"/>
        <v>0.41296217079281683</v>
      </c>
      <c r="H646" s="39">
        <f t="shared" si="491"/>
        <v>1.5210739563485176E-2</v>
      </c>
      <c r="I646" s="39">
        <f t="shared" si="491"/>
        <v>0.13114178998462067</v>
      </c>
      <c r="J646" s="39">
        <f t="shared" si="492"/>
        <v>-0.14557828040242438</v>
      </c>
      <c r="K646" s="39">
        <f t="shared" si="492"/>
        <v>0.31867455836424863</v>
      </c>
      <c r="L646" s="39">
        <f t="shared" si="492"/>
        <v>0.26615291333800106</v>
      </c>
      <c r="M646" s="39">
        <f t="shared" si="492"/>
        <v>-0.15701781269258341</v>
      </c>
      <c r="N646" s="39">
        <f t="shared" si="492"/>
        <v>0.39063399228018414</v>
      </c>
      <c r="O646" s="39">
        <f t="shared" si="492"/>
        <v>2.1841168550036372E-2</v>
      </c>
    </row>
    <row r="647" spans="1:15" x14ac:dyDescent="0.2">
      <c r="A647" s="38" t="s">
        <v>28</v>
      </c>
      <c r="D647" s="39">
        <f t="shared" si="491"/>
        <v>8.517253340226083E-2</v>
      </c>
      <c r="E647" s="39">
        <f t="shared" si="491"/>
        <v>-0.22430006526551316</v>
      </c>
      <c r="F647" s="39">
        <f t="shared" si="491"/>
        <v>-4.0626579722676359E-2</v>
      </c>
      <c r="G647" s="39">
        <f t="shared" si="491"/>
        <v>0.40062229784417058</v>
      </c>
      <c r="H647" s="39">
        <f t="shared" si="491"/>
        <v>0.11766067970500371</v>
      </c>
      <c r="I647" s="39">
        <f t="shared" si="491"/>
        <v>-1.0051626235328293E-2</v>
      </c>
      <c r="J647" s="39">
        <f t="shared" si="492"/>
        <v>0.21344157290847987</v>
      </c>
      <c r="K647" s="39">
        <f t="shared" si="492"/>
        <v>0.36148469099593605</v>
      </c>
      <c r="L647" s="39">
        <f t="shared" si="492"/>
        <v>0.3415222088799621</v>
      </c>
      <c r="M647" s="39">
        <f t="shared" si="492"/>
        <v>-0.23040396334539426</v>
      </c>
      <c r="N647" s="39">
        <f t="shared" si="492"/>
        <v>0.33163574088847136</v>
      </c>
      <c r="O647" s="39">
        <f t="shared" si="492"/>
        <v>5.797822216703663E-3</v>
      </c>
    </row>
    <row r="648" spans="1:15" x14ac:dyDescent="0.2">
      <c r="A648" s="38" t="s">
        <v>29</v>
      </c>
      <c r="D648" s="39">
        <f t="shared" si="491"/>
        <v>-7.5025412350268494E-2</v>
      </c>
      <c r="E648" s="39">
        <f t="shared" si="491"/>
        <v>-0.15523696050372293</v>
      </c>
      <c r="F648" s="39">
        <f t="shared" si="491"/>
        <v>-3.377836502514997E-2</v>
      </c>
      <c r="G648" s="39">
        <f t="shared" si="491"/>
        <v>-0.23800390025844731</v>
      </c>
      <c r="H648" s="39">
        <f t="shared" si="491"/>
        <v>-8.5966588524155396E-2</v>
      </c>
      <c r="I648" s="39">
        <f t="shared" si="491"/>
        <v>0.39591609799231597</v>
      </c>
      <c r="J648" s="39">
        <f t="shared" si="492"/>
        <v>4.4935993379364714E-3</v>
      </c>
      <c r="K648" s="39">
        <f t="shared" si="492"/>
        <v>0.33769080802977802</v>
      </c>
      <c r="L648" s="39">
        <f t="shared" si="492"/>
        <v>3.3822912891273704E-3</v>
      </c>
      <c r="M648" s="39">
        <f t="shared" si="492"/>
        <v>-0.22114523965733213</v>
      </c>
      <c r="N648" s="39">
        <f t="shared" si="492"/>
        <v>2.9308882453273566E-2</v>
      </c>
      <c r="O648" s="39">
        <f t="shared" si="492"/>
        <v>-1.3240534753804489E-3</v>
      </c>
    </row>
    <row r="649" spans="1:15" x14ac:dyDescent="0.2">
      <c r="A649" s="38" t="s">
        <v>30</v>
      </c>
      <c r="D649" s="39">
        <f t="shared" si="491"/>
        <v>0.12800731640899188</v>
      </c>
      <c r="E649" s="39">
        <f t="shared" si="491"/>
        <v>-0.21825903525182255</v>
      </c>
      <c r="F649" s="39">
        <f t="shared" si="491"/>
        <v>-0.13801873436713907</v>
      </c>
      <c r="G649" s="39">
        <f t="shared" si="491"/>
        <v>0.24485778842049799</v>
      </c>
      <c r="H649" s="39">
        <f t="shared" si="491"/>
        <v>-1.7633505696389662E-2</v>
      </c>
      <c r="I649" s="39">
        <f t="shared" si="491"/>
        <v>-0.15567659476954843</v>
      </c>
      <c r="J649" s="39">
        <f t="shared" si="492"/>
        <v>-0.1226716394161802</v>
      </c>
      <c r="K649" s="39">
        <f t="shared" si="492"/>
        <v>-0.21868112055939437</v>
      </c>
      <c r="L649" s="39">
        <f t="shared" si="492"/>
        <v>9.1289263846709989E-2</v>
      </c>
      <c r="M649" s="39">
        <f t="shared" si="492"/>
        <v>1.0871420094561435E-2</v>
      </c>
      <c r="N649" s="39">
        <f t="shared" si="492"/>
        <v>-4.591997037167328E-2</v>
      </c>
      <c r="O649" s="39">
        <f t="shared" si="492"/>
        <v>0.41473844328314247</v>
      </c>
    </row>
    <row r="650" spans="1:15" x14ac:dyDescent="0.2">
      <c r="A650" s="38" t="s">
        <v>31</v>
      </c>
      <c r="D650" s="39">
        <f t="shared" si="491"/>
        <v>-0.17905611279118627</v>
      </c>
      <c r="E650" s="39">
        <f t="shared" si="491"/>
        <v>0.16601439177049282</v>
      </c>
      <c r="F650" s="39">
        <f t="shared" si="491"/>
        <v>-4.4609462546464584E-2</v>
      </c>
      <c r="G650" s="39">
        <f t="shared" si="491"/>
        <v>-4.4486826726690243E-2</v>
      </c>
      <c r="H650" s="39">
        <f t="shared" si="491"/>
        <v>0.13922372398318128</v>
      </c>
      <c r="I650" s="39">
        <f t="shared" si="491"/>
        <v>0.10233275823574506</v>
      </c>
      <c r="J650" s="39">
        <f t="shared" si="492"/>
        <v>0.19009620084572243</v>
      </c>
      <c r="K650" s="39">
        <f t="shared" si="492"/>
        <v>8.3501676671262182E-2</v>
      </c>
      <c r="L650" s="39">
        <f t="shared" si="492"/>
        <v>0.34650708873206271</v>
      </c>
      <c r="M650" s="39">
        <f t="shared" si="492"/>
        <v>-0.10746095140910872</v>
      </c>
      <c r="N650" s="39">
        <f t="shared" si="492"/>
        <v>0.10869511427221845</v>
      </c>
      <c r="O650" s="39">
        <f t="shared" si="492"/>
        <v>-0.20356609522054825</v>
      </c>
    </row>
    <row r="651" spans="1:15" x14ac:dyDescent="0.2">
      <c r="A651" s="38" t="s">
        <v>32</v>
      </c>
      <c r="D651" s="39">
        <f t="shared" si="491"/>
        <v>0.34829388732053335</v>
      </c>
      <c r="E651" s="39">
        <f t="shared" si="491"/>
        <v>8.8767713364830025E-2</v>
      </c>
      <c r="F651" s="39">
        <f t="shared" si="491"/>
        <v>0.40286345941106916</v>
      </c>
      <c r="G651" s="39">
        <f t="shared" si="491"/>
        <v>-0.26196130480174951</v>
      </c>
      <c r="H651" s="39">
        <f t="shared" si="491"/>
        <v>-0.19055179660524701</v>
      </c>
      <c r="I651" s="39">
        <f t="shared" si="491"/>
        <v>-0.24217481614419745</v>
      </c>
      <c r="J651" s="39">
        <f t="shared" si="492"/>
        <v>-0.11525487168081483</v>
      </c>
      <c r="K651" s="39">
        <f t="shared" si="492"/>
        <v>0.28245623725674829</v>
      </c>
      <c r="L651" s="39">
        <f t="shared" si="492"/>
        <v>8.0415274421734573E-2</v>
      </c>
      <c r="M651" s="39">
        <f t="shared" si="492"/>
        <v>-0.2022796370885851</v>
      </c>
      <c r="N651" s="39">
        <f t="shared" si="492"/>
        <v>0.29855551873121677</v>
      </c>
      <c r="O651" s="39">
        <f t="shared" si="492"/>
        <v>9.3141101228689016E-2</v>
      </c>
    </row>
    <row r="652" spans="1:15" x14ac:dyDescent="0.2">
      <c r="A652" s="38" t="s">
        <v>33</v>
      </c>
      <c r="D652" s="39">
        <f t="shared" si="491"/>
        <v>0.10877002092688126</v>
      </c>
      <c r="E652" s="39">
        <f t="shared" si="491"/>
        <v>0.33342867358008854</v>
      </c>
      <c r="F652" s="39">
        <f t="shared" si="491"/>
        <v>6.1058445685774343E-3</v>
      </c>
      <c r="G652" s="39">
        <f t="shared" si="491"/>
        <v>0.16657143777265582</v>
      </c>
      <c r="H652" s="39">
        <f t="shared" si="491"/>
        <v>-0.12446304929429397</v>
      </c>
      <c r="I652" s="39">
        <f t="shared" si="491"/>
        <v>0.21470418301172733</v>
      </c>
      <c r="J652" s="39">
        <f t="shared" si="492"/>
        <v>0.20976935714012401</v>
      </c>
      <c r="K652" s="39">
        <f t="shared" si="492"/>
        <v>-0.18438273529301807</v>
      </c>
      <c r="L652" s="39">
        <f t="shared" si="492"/>
        <v>0.37186253760693311</v>
      </c>
      <c r="M652" s="39">
        <f t="shared" si="492"/>
        <v>0.41129738201301214</v>
      </c>
      <c r="N652" s="39">
        <f t="shared" si="492"/>
        <v>0.11541304337372482</v>
      </c>
      <c r="O652" s="39">
        <f t="shared" si="492"/>
        <v>-0.19795395905399338</v>
      </c>
    </row>
    <row r="653" spans="1:15" x14ac:dyDescent="0.2">
      <c r="A653" s="38" t="s">
        <v>34</v>
      </c>
      <c r="D653" s="39">
        <f t="shared" si="491"/>
        <v>0.19677527851218524</v>
      </c>
      <c r="E653" s="39">
        <f t="shared" si="491"/>
        <v>-7.717939691305431E-2</v>
      </c>
      <c r="F653" s="39">
        <f t="shared" si="491"/>
        <v>5.4542826784303999E-3</v>
      </c>
      <c r="G653" s="39">
        <f t="shared" si="491"/>
        <v>0.3119569756224061</v>
      </c>
      <c r="H653" s="39">
        <f t="shared" si="491"/>
        <v>-8.4818499846424533E-2</v>
      </c>
      <c r="I653" s="39">
        <f t="shared" si="491"/>
        <v>-0.15365927813603975</v>
      </c>
      <c r="J653" s="39">
        <f t="shared" si="492"/>
        <v>-0.17330552697341384</v>
      </c>
      <c r="K653" s="39">
        <f t="shared" si="492"/>
        <v>-1.4017341652108328E-2</v>
      </c>
      <c r="L653" s="39">
        <f t="shared" si="492"/>
        <v>0.35902626897467593</v>
      </c>
      <c r="M653" s="39">
        <f t="shared" si="492"/>
        <v>-0.10271245979419463</v>
      </c>
      <c r="N653" s="39">
        <f t="shared" si="492"/>
        <v>-0.23912274689156465</v>
      </c>
      <c r="O653" s="39">
        <f t="shared" si="492"/>
        <v>-0.19578113162738342</v>
      </c>
    </row>
    <row r="654" spans="1:15" x14ac:dyDescent="0.2">
      <c r="A654" s="37" t="s">
        <v>35</v>
      </c>
      <c r="D654" s="40">
        <f t="shared" si="491"/>
        <v>4.9605190964451928E-2</v>
      </c>
      <c r="E654" s="40">
        <f t="shared" si="491"/>
        <v>0.14925807134646984</v>
      </c>
      <c r="F654" s="40">
        <f t="shared" si="491"/>
        <v>4.2166630566406793E-2</v>
      </c>
      <c r="G654" s="40">
        <f t="shared" si="491"/>
        <v>5.2847502413747915E-2</v>
      </c>
      <c r="H654" s="40">
        <f t="shared" si="491"/>
        <v>9.6969906999623823E-2</v>
      </c>
      <c r="I654" s="40">
        <f t="shared" si="491"/>
        <v>0.22103370594284955</v>
      </c>
      <c r="J654" s="40">
        <f t="shared" si="492"/>
        <v>-7.1779252227899271E-4</v>
      </c>
      <c r="K654" s="40">
        <f t="shared" si="492"/>
        <v>0.13857278730700207</v>
      </c>
      <c r="L654" s="40">
        <f t="shared" si="492"/>
        <v>4.508710404978522E-2</v>
      </c>
      <c r="M654" s="40">
        <f t="shared" si="492"/>
        <v>-1.9326488830653243E-2</v>
      </c>
      <c r="N654" s="40">
        <f t="shared" si="492"/>
        <v>0.18066527948598599</v>
      </c>
      <c r="O654" s="40">
        <f t="shared" si="492"/>
        <v>1.9246369366134886E-3</v>
      </c>
    </row>
    <row r="655" spans="1:15" x14ac:dyDescent="0.2">
      <c r="A655" s="38" t="s">
        <v>25</v>
      </c>
      <c r="D655" s="39">
        <f t="shared" si="491"/>
        <v>0.3618367841234984</v>
      </c>
      <c r="E655" s="39">
        <f t="shared" si="491"/>
        <v>0.26256910501193231</v>
      </c>
      <c r="F655" s="39">
        <f t="shared" si="491"/>
        <v>4.8088074006146453E-2</v>
      </c>
      <c r="G655" s="39">
        <f t="shared" si="491"/>
        <v>0.38634979974518502</v>
      </c>
      <c r="H655" s="39">
        <f t="shared" si="491"/>
        <v>-0.19622869245725516</v>
      </c>
      <c r="I655" s="39">
        <f t="shared" si="491"/>
        <v>8.0895505018311442E-2</v>
      </c>
      <c r="J655" s="39">
        <f t="shared" si="492"/>
        <v>0.36636654610510688</v>
      </c>
      <c r="K655" s="39">
        <f t="shared" si="492"/>
        <v>-8.8112345237271628E-2</v>
      </c>
      <c r="L655" s="39">
        <f t="shared" si="492"/>
        <v>0.27175971494618612</v>
      </c>
      <c r="M655" s="39">
        <f t="shared" si="492"/>
        <v>0.19668368018596938</v>
      </c>
      <c r="N655" s="39">
        <f t="shared" si="492"/>
        <v>0.20297483431389873</v>
      </c>
      <c r="O655" s="39">
        <f t="shared" si="492"/>
        <v>-0.20281165577646787</v>
      </c>
    </row>
    <row r="656" spans="1:15" x14ac:dyDescent="0.2">
      <c r="A656" s="38" t="s">
        <v>26</v>
      </c>
      <c r="D656" s="39">
        <f t="shared" si="491"/>
        <v>4.3970159051432089E-2</v>
      </c>
      <c r="E656" s="39">
        <f t="shared" si="491"/>
        <v>-0.17617603794430337</v>
      </c>
      <c r="F656" s="39">
        <f t="shared" si="491"/>
        <v>0.22011776224954005</v>
      </c>
      <c r="G656" s="39">
        <f t="shared" si="491"/>
        <v>7.8050217298460844E-2</v>
      </c>
      <c r="H656" s="39">
        <f t="shared" si="491"/>
        <v>-2.4068459339896542E-3</v>
      </c>
      <c r="I656" s="39">
        <f t="shared" si="491"/>
        <v>0.39554683689645131</v>
      </c>
      <c r="J656" s="39">
        <f t="shared" si="492"/>
        <v>-6.2297021463752378E-2</v>
      </c>
      <c r="K656" s="39">
        <f t="shared" si="492"/>
        <v>-7.0707478956093084E-2</v>
      </c>
      <c r="L656" s="39">
        <f t="shared" si="492"/>
        <v>-8.4035028093698116E-2</v>
      </c>
      <c r="M656" s="39">
        <f t="shared" si="492"/>
        <v>-0.17077274721900615</v>
      </c>
      <c r="N656" s="39">
        <f t="shared" si="492"/>
        <v>-0.2492811197558007</v>
      </c>
      <c r="O656" s="39">
        <f t="shared" si="492"/>
        <v>-0.22849698909445659</v>
      </c>
    </row>
    <row r="657" spans="1:15" x14ac:dyDescent="0.2">
      <c r="A657" s="38" t="s">
        <v>27</v>
      </c>
      <c r="D657" s="39">
        <f t="shared" si="491"/>
        <v>0.38688970351977647</v>
      </c>
      <c r="E657" s="39">
        <f t="shared" si="491"/>
        <v>-0.14851376777731096</v>
      </c>
      <c r="F657" s="39">
        <f t="shared" si="491"/>
        <v>-9.7323561152458771E-2</v>
      </c>
      <c r="G657" s="39">
        <f t="shared" si="491"/>
        <v>0.38281438087629371</v>
      </c>
      <c r="H657" s="39">
        <f t="shared" si="491"/>
        <v>-0.16262575484434061</v>
      </c>
      <c r="I657" s="39">
        <f t="shared" si="491"/>
        <v>0.30685793394030847</v>
      </c>
      <c r="J657" s="39">
        <f t="shared" ref="J657:O672" si="493">1-J461/J363</f>
        <v>0.29512268525731111</v>
      </c>
      <c r="K657" s="39">
        <f t="shared" si="493"/>
        <v>0.39732284493753189</v>
      </c>
      <c r="L657" s="39">
        <f t="shared" si="493"/>
        <v>0.20346269707911746</v>
      </c>
      <c r="M657" s="39">
        <f t="shared" si="493"/>
        <v>2.711320748535595E-2</v>
      </c>
      <c r="N657" s="39">
        <f t="shared" si="493"/>
        <v>0.24009515895165101</v>
      </c>
      <c r="O657" s="39">
        <f t="shared" si="493"/>
        <v>-4.2754521829164505E-2</v>
      </c>
    </row>
    <row r="658" spans="1:15" x14ac:dyDescent="0.2">
      <c r="A658" s="38" t="s">
        <v>28</v>
      </c>
      <c r="D658" s="39">
        <f t="shared" si="491"/>
        <v>-4.7204116867745727E-2</v>
      </c>
      <c r="E658" s="39">
        <f t="shared" si="491"/>
        <v>0.1432794364714034</v>
      </c>
      <c r="F658" s="39">
        <f t="shared" si="491"/>
        <v>-0.26532793795004639</v>
      </c>
      <c r="G658" s="39">
        <f t="shared" si="491"/>
        <v>-7.0388741130878563E-2</v>
      </c>
      <c r="H658" s="39">
        <f t="shared" si="491"/>
        <v>-4.2556582017755806E-2</v>
      </c>
      <c r="I658" s="39">
        <f t="shared" si="491"/>
        <v>0.17472729981783097</v>
      </c>
      <c r="J658" s="39">
        <f t="shared" si="493"/>
        <v>-0.12958570079106657</v>
      </c>
      <c r="K658" s="39">
        <f t="shared" si="493"/>
        <v>-0.12727030803076333</v>
      </c>
      <c r="L658" s="39">
        <f t="shared" si="493"/>
        <v>0.10651626496986977</v>
      </c>
      <c r="M658" s="39">
        <f t="shared" si="493"/>
        <v>-0.13890853229167877</v>
      </c>
      <c r="N658" s="39">
        <f t="shared" si="493"/>
        <v>0.118728665930244</v>
      </c>
      <c r="O658" s="39">
        <f t="shared" si="493"/>
        <v>0.18014655959883163</v>
      </c>
    </row>
    <row r="659" spans="1:15" x14ac:dyDescent="0.2">
      <c r="A659" s="38" t="s">
        <v>29</v>
      </c>
      <c r="D659" s="39">
        <f t="shared" si="491"/>
        <v>3.7872088625203748E-3</v>
      </c>
      <c r="E659" s="39">
        <f t="shared" si="491"/>
        <v>-7.177316867802408E-2</v>
      </c>
      <c r="F659" s="39">
        <f t="shared" si="491"/>
        <v>-0.16877798100521035</v>
      </c>
      <c r="G659" s="39">
        <f t="shared" si="491"/>
        <v>0.34282642756925052</v>
      </c>
      <c r="H659" s="39">
        <f t="shared" si="491"/>
        <v>0.23397241688969328</v>
      </c>
      <c r="I659" s="39">
        <f t="shared" si="491"/>
        <v>1.7632336315668629E-2</v>
      </c>
      <c r="J659" s="39">
        <f t="shared" si="493"/>
        <v>0.28730184305689022</v>
      </c>
      <c r="K659" s="39">
        <f t="shared" si="493"/>
        <v>9.2922421860672344E-2</v>
      </c>
      <c r="L659" s="39">
        <f t="shared" si="493"/>
        <v>-6.3175648525951367E-2</v>
      </c>
      <c r="M659" s="39">
        <f t="shared" si="493"/>
        <v>0.29943530312163413</v>
      </c>
      <c r="N659" s="39">
        <f t="shared" si="493"/>
        <v>0.38380786064534522</v>
      </c>
      <c r="O659" s="39">
        <f t="shared" si="493"/>
        <v>8.4956770104593904E-4</v>
      </c>
    </row>
    <row r="660" spans="1:15" x14ac:dyDescent="0.2">
      <c r="A660" s="38" t="s">
        <v>30</v>
      </c>
      <c r="D660" s="39">
        <f t="shared" si="491"/>
        <v>-0.17093468553211788</v>
      </c>
      <c r="E660" s="39">
        <f t="shared" si="491"/>
        <v>-7.6621008866879503E-2</v>
      </c>
      <c r="F660" s="39">
        <f t="shared" si="491"/>
        <v>0.30410026676035307</v>
      </c>
      <c r="G660" s="39">
        <f t="shared" si="491"/>
        <v>-0.21796013515937429</v>
      </c>
      <c r="H660" s="39">
        <f t="shared" si="491"/>
        <v>3.2560616333424552E-2</v>
      </c>
      <c r="I660" s="39">
        <f t="shared" si="491"/>
        <v>-9.4752704629522899E-2</v>
      </c>
      <c r="J660" s="39">
        <f t="shared" si="493"/>
        <v>0.27558875566889762</v>
      </c>
      <c r="K660" s="39">
        <f t="shared" si="493"/>
        <v>-0.18630019770643447</v>
      </c>
      <c r="L660" s="39">
        <f t="shared" si="493"/>
        <v>0.29692806293189389</v>
      </c>
      <c r="M660" s="39">
        <f t="shared" si="493"/>
        <v>-0.23939061641167525</v>
      </c>
      <c r="N660" s="39">
        <f t="shared" si="493"/>
        <v>0.24346753382129205</v>
      </c>
      <c r="O660" s="39">
        <f t="shared" si="493"/>
        <v>0.23663639699297556</v>
      </c>
    </row>
    <row r="661" spans="1:15" x14ac:dyDescent="0.2">
      <c r="A661" s="38" t="s">
        <v>31</v>
      </c>
      <c r="D661" s="39">
        <f t="shared" si="491"/>
        <v>0.12249031009127365</v>
      </c>
      <c r="E661" s="39">
        <f t="shared" si="491"/>
        <v>0.30086363950190453</v>
      </c>
      <c r="F661" s="39">
        <f t="shared" si="491"/>
        <v>5.3648239715506585E-2</v>
      </c>
      <c r="G661" s="39">
        <f t="shared" si="491"/>
        <v>9.6530032665014809E-2</v>
      </c>
      <c r="H661" s="39">
        <f t="shared" si="491"/>
        <v>0.28150904930534659</v>
      </c>
      <c r="I661" s="39">
        <f t="shared" si="491"/>
        <v>0.23959628480369044</v>
      </c>
      <c r="J661" s="39">
        <f t="shared" si="493"/>
        <v>-0.20452272329188448</v>
      </c>
      <c r="K661" s="39">
        <f t="shared" si="493"/>
        <v>-8.0668216124476722E-2</v>
      </c>
      <c r="L661" s="39">
        <f t="shared" si="493"/>
        <v>0.29113376191202889</v>
      </c>
      <c r="M661" s="39">
        <f t="shared" si="493"/>
        <v>0.1981419245661884</v>
      </c>
      <c r="N661" s="39">
        <f t="shared" si="493"/>
        <v>5.9155544420440798E-2</v>
      </c>
      <c r="O661" s="39">
        <f t="shared" si="493"/>
        <v>0.34307545037943188</v>
      </c>
    </row>
    <row r="662" spans="1:15" x14ac:dyDescent="0.2">
      <c r="A662" s="38" t="s">
        <v>32</v>
      </c>
      <c r="D662" s="39">
        <f t="shared" si="491"/>
        <v>-0.14135041357659017</v>
      </c>
      <c r="E662" s="39">
        <f t="shared" si="491"/>
        <v>0.29449938689395772</v>
      </c>
      <c r="F662" s="39">
        <f t="shared" si="491"/>
        <v>-4.7061708284338533E-2</v>
      </c>
      <c r="G662" s="39">
        <f t="shared" si="491"/>
        <v>0.11036364602952131</v>
      </c>
      <c r="H662" s="39">
        <f t="shared" si="491"/>
        <v>0.15057639573285908</v>
      </c>
      <c r="I662" s="39">
        <f t="shared" si="491"/>
        <v>8.5710577868182702E-2</v>
      </c>
      <c r="J662" s="39">
        <f t="shared" si="493"/>
        <v>-8.0857235203402933E-2</v>
      </c>
      <c r="K662" s="39">
        <f t="shared" si="493"/>
        <v>0.36763319226770708</v>
      </c>
      <c r="L662" s="39">
        <f t="shared" si="493"/>
        <v>0.21899576965444112</v>
      </c>
      <c r="M662" s="39">
        <f t="shared" si="493"/>
        <v>0.31717382013635464</v>
      </c>
      <c r="N662" s="39">
        <f t="shared" si="493"/>
        <v>-0.11480630774106415</v>
      </c>
      <c r="O662" s="39">
        <f t="shared" si="493"/>
        <v>-0.20064817533116641</v>
      </c>
    </row>
    <row r="663" spans="1:15" x14ac:dyDescent="0.2">
      <c r="A663" s="38" t="s">
        <v>33</v>
      </c>
      <c r="D663" s="39">
        <f t="shared" si="491"/>
        <v>-7.6021376385598582E-2</v>
      </c>
      <c r="E663" s="39">
        <f t="shared" si="491"/>
        <v>-0.17161678938283242</v>
      </c>
      <c r="F663" s="39">
        <f t="shared" si="491"/>
        <v>9.4078028879069908E-2</v>
      </c>
      <c r="G663" s="39">
        <f t="shared" si="491"/>
        <v>-0.20631825557175421</v>
      </c>
      <c r="H663" s="39">
        <f t="shared" si="491"/>
        <v>0.10181261117457574</v>
      </c>
      <c r="I663" s="39">
        <f t="shared" si="491"/>
        <v>-9.7235141707160189E-2</v>
      </c>
      <c r="J663" s="39">
        <f t="shared" si="493"/>
        <v>-0.1306101482034252</v>
      </c>
      <c r="K663" s="39">
        <f t="shared" si="493"/>
        <v>0.27214937720101073</v>
      </c>
      <c r="L663" s="39">
        <f t="shared" si="493"/>
        <v>0.20495807777646802</v>
      </c>
      <c r="M663" s="39">
        <f t="shared" si="493"/>
        <v>-0.23019064319827764</v>
      </c>
      <c r="N663" s="39">
        <f t="shared" si="493"/>
        <v>5.0079731261703619E-2</v>
      </c>
      <c r="O663" s="39">
        <f t="shared" si="493"/>
        <v>0.29511930699700661</v>
      </c>
    </row>
    <row r="664" spans="1:15" x14ac:dyDescent="0.2">
      <c r="A664" s="38" t="s">
        <v>34</v>
      </c>
      <c r="D664" s="39">
        <f t="shared" si="491"/>
        <v>-6.246818431558121E-2</v>
      </c>
      <c r="E664" s="39">
        <f t="shared" si="491"/>
        <v>0.28560901418063034</v>
      </c>
      <c r="F664" s="39">
        <f t="shared" si="491"/>
        <v>8.2838255435944808E-2</v>
      </c>
      <c r="G664" s="39">
        <f t="shared" si="491"/>
        <v>-0.13202390552377774</v>
      </c>
      <c r="H664" s="39">
        <f t="shared" si="491"/>
        <v>0.10738612498369515</v>
      </c>
      <c r="I664" s="39">
        <f t="shared" si="491"/>
        <v>0.38080830335030103</v>
      </c>
      <c r="J664" s="39">
        <f t="shared" si="493"/>
        <v>-3.5162074486676742E-2</v>
      </c>
      <c r="K664" s="39">
        <f t="shared" si="493"/>
        <v>0.2798233688712134</v>
      </c>
      <c r="L664" s="39">
        <f t="shared" si="493"/>
        <v>-0.17548306307594586</v>
      </c>
      <c r="M664" s="39">
        <f t="shared" si="493"/>
        <v>0.39635487829224203</v>
      </c>
      <c r="N664" s="39">
        <f t="shared" si="493"/>
        <v>2.9977288919320166E-2</v>
      </c>
      <c r="O664" s="39">
        <f t="shared" si="493"/>
        <v>0.30326024580925315</v>
      </c>
    </row>
    <row r="665" spans="1:15" x14ac:dyDescent="0.2">
      <c r="A665" s="4" t="s">
        <v>36</v>
      </c>
      <c r="B665" s="4"/>
      <c r="C665" s="4"/>
      <c r="D665" s="42">
        <f t="shared" si="491"/>
        <v>0.10269252958103059</v>
      </c>
      <c r="E665" s="42">
        <f t="shared" si="491"/>
        <v>1.0575858276141048E-2</v>
      </c>
      <c r="F665" s="42">
        <f t="shared" si="491"/>
        <v>0.14375066226915389</v>
      </c>
      <c r="G665" s="42">
        <f t="shared" si="491"/>
        <v>0.24639857140655463</v>
      </c>
      <c r="H665" s="42">
        <f t="shared" si="491"/>
        <v>-2.0149919954819406E-3</v>
      </c>
      <c r="I665" s="42">
        <f t="shared" si="491"/>
        <v>1.3531749515789726E-2</v>
      </c>
      <c r="J665" s="42">
        <f t="shared" si="493"/>
        <v>0.10725404493432678</v>
      </c>
      <c r="K665" s="42">
        <f t="shared" si="493"/>
        <v>0.11359521226107128</v>
      </c>
      <c r="L665" s="42">
        <f t="shared" si="493"/>
        <v>2.6668599399434556E-2</v>
      </c>
      <c r="M665" s="42">
        <f t="shared" si="493"/>
        <v>5.9787912953908728E-2</v>
      </c>
      <c r="N665" s="42">
        <f t="shared" si="493"/>
        <v>-3.7026574746557905E-2</v>
      </c>
      <c r="O665" s="42">
        <f t="shared" si="493"/>
        <v>3.5523926343752343E-2</v>
      </c>
    </row>
    <row r="666" spans="1:15" x14ac:dyDescent="0.2">
      <c r="A666" s="37" t="s">
        <v>24</v>
      </c>
      <c r="D666" s="40">
        <f t="shared" si="491"/>
        <v>-8.0471330610357716E-2</v>
      </c>
      <c r="E666" s="40">
        <f t="shared" si="491"/>
        <v>8.2612514256343861E-3</v>
      </c>
      <c r="F666" s="40">
        <f t="shared" si="491"/>
        <v>0.17147297150329766</v>
      </c>
      <c r="G666" s="40">
        <f t="shared" si="491"/>
        <v>0.15980812428116131</v>
      </c>
      <c r="H666" s="40">
        <f t="shared" si="491"/>
        <v>-1.7374643594942007E-2</v>
      </c>
      <c r="I666" s="40">
        <f t="shared" si="491"/>
        <v>4.5081068246998868E-2</v>
      </c>
      <c r="J666" s="40">
        <f t="shared" si="493"/>
        <v>7.8391339288343964E-3</v>
      </c>
      <c r="K666" s="40">
        <f t="shared" si="493"/>
        <v>9.1476210864709806E-2</v>
      </c>
      <c r="L666" s="40">
        <f t="shared" si="493"/>
        <v>2.2572296331023423E-2</v>
      </c>
      <c r="M666" s="40">
        <f t="shared" si="493"/>
        <v>4.6748928544356194E-2</v>
      </c>
      <c r="N666" s="40">
        <f t="shared" si="493"/>
        <v>5.1258480370228954E-2</v>
      </c>
      <c r="O666" s="40">
        <f t="shared" si="493"/>
        <v>-2.4476825525404644E-2</v>
      </c>
    </row>
    <row r="667" spans="1:15" x14ac:dyDescent="0.2">
      <c r="A667" s="38" t="s">
        <v>25</v>
      </c>
      <c r="D667" s="39">
        <f t="shared" si="491"/>
        <v>0.3194715899223779</v>
      </c>
      <c r="E667" s="39">
        <f t="shared" si="491"/>
        <v>0.29449609982668723</v>
      </c>
      <c r="F667" s="39">
        <f t="shared" si="491"/>
        <v>-3.3478631411327786E-3</v>
      </c>
      <c r="G667" s="39">
        <f t="shared" si="491"/>
        <v>0.3198374040711407</v>
      </c>
      <c r="H667" s="39">
        <f t="shared" si="491"/>
        <v>6.837525712863779E-2</v>
      </c>
      <c r="I667" s="39">
        <f t="shared" si="491"/>
        <v>0.29971027920648907</v>
      </c>
      <c r="J667" s="39">
        <f t="shared" si="493"/>
        <v>7.9979914881153968E-2</v>
      </c>
      <c r="K667" s="39">
        <f t="shared" si="493"/>
        <v>0.35175426645880403</v>
      </c>
      <c r="L667" s="39">
        <f t="shared" si="493"/>
        <v>5.3054716717442996E-2</v>
      </c>
      <c r="M667" s="39">
        <f t="shared" si="493"/>
        <v>0.36921972746140996</v>
      </c>
      <c r="N667" s="39">
        <f t="shared" si="493"/>
        <v>0.36015544111923214</v>
      </c>
      <c r="O667" s="39">
        <f t="shared" si="493"/>
        <v>0.31851640540575821</v>
      </c>
    </row>
    <row r="668" spans="1:15" x14ac:dyDescent="0.2">
      <c r="A668" s="38" t="s">
        <v>26</v>
      </c>
      <c r="D668" s="39">
        <f t="shared" si="491"/>
        <v>-7.930519897962629E-2</v>
      </c>
      <c r="E668" s="39">
        <f t="shared" si="491"/>
        <v>-0.1538880415498336</v>
      </c>
      <c r="F668" s="39">
        <f t="shared" si="491"/>
        <v>0.29126035127376904</v>
      </c>
      <c r="G668" s="39">
        <f t="shared" si="491"/>
        <v>-0.15852559361714635</v>
      </c>
      <c r="H668" s="39">
        <f t="shared" si="491"/>
        <v>5.0240193435521219E-3</v>
      </c>
      <c r="I668" s="39">
        <f t="shared" si="491"/>
        <v>-0.20828415000010225</v>
      </c>
      <c r="J668" s="39">
        <f t="shared" si="493"/>
        <v>-1.8303985955480995E-2</v>
      </c>
      <c r="K668" s="39">
        <f t="shared" si="493"/>
        <v>-0.17760193933090629</v>
      </c>
      <c r="L668" s="39">
        <f t="shared" si="493"/>
        <v>-6.2659823766300526E-2</v>
      </c>
      <c r="M668" s="39">
        <f t="shared" si="493"/>
        <v>-2.5032630361774277E-3</v>
      </c>
      <c r="N668" s="39">
        <f t="shared" si="493"/>
        <v>4.7560479180235871E-2</v>
      </c>
      <c r="O668" s="39">
        <f t="shared" si="493"/>
        <v>0.18854685901668455</v>
      </c>
    </row>
    <row r="669" spans="1:15" x14ac:dyDescent="0.2">
      <c r="A669" s="38" t="s">
        <v>27</v>
      </c>
      <c r="D669" s="39">
        <f t="shared" si="491"/>
        <v>0.23589854148021172</v>
      </c>
      <c r="E669" s="39">
        <f t="shared" si="491"/>
        <v>-0.14820573782107038</v>
      </c>
      <c r="F669" s="39">
        <f t="shared" si="491"/>
        <v>7.1261335962424788E-3</v>
      </c>
      <c r="G669" s="39">
        <f t="shared" si="491"/>
        <v>0.29226220281017379</v>
      </c>
      <c r="H669" s="39">
        <f t="shared" si="491"/>
        <v>-0.11013507271050216</v>
      </c>
      <c r="I669" s="39">
        <f t="shared" si="491"/>
        <v>-0.13005650893436083</v>
      </c>
      <c r="J669" s="39">
        <f t="shared" si="493"/>
        <v>0.35453742814080369</v>
      </c>
      <c r="K669" s="39">
        <f t="shared" si="493"/>
        <v>0.18217245418912575</v>
      </c>
      <c r="L669" s="39">
        <f t="shared" si="493"/>
        <v>-9.1877518143158809E-2</v>
      </c>
      <c r="M669" s="39">
        <f t="shared" si="493"/>
        <v>-0.1662993290819883</v>
      </c>
      <c r="N669" s="39">
        <f t="shared" si="493"/>
        <v>-0.26066358912330712</v>
      </c>
      <c r="O669" s="39">
        <f t="shared" si="493"/>
        <v>0.3676385363867043</v>
      </c>
    </row>
    <row r="670" spans="1:15" x14ac:dyDescent="0.2">
      <c r="A670" s="38" t="s">
        <v>28</v>
      </c>
      <c r="D670" s="39">
        <f t="shared" si="491"/>
        <v>-0.1048250645776716</v>
      </c>
      <c r="E670" s="39">
        <f t="shared" si="491"/>
        <v>0.37404499645097</v>
      </c>
      <c r="F670" s="39">
        <f t="shared" si="491"/>
        <v>0.1723014542516883</v>
      </c>
      <c r="G670" s="39">
        <f t="shared" si="491"/>
        <v>0.42278222218650596</v>
      </c>
      <c r="H670" s="39">
        <f t="shared" si="491"/>
        <v>-2.4092246610818657E-2</v>
      </c>
      <c r="I670" s="39">
        <f t="shared" si="491"/>
        <v>0.1619569978106643</v>
      </c>
      <c r="J670" s="39">
        <f t="shared" si="493"/>
        <v>0.12060591045983415</v>
      </c>
      <c r="K670" s="39">
        <f t="shared" si="493"/>
        <v>0.2538342072899018</v>
      </c>
      <c r="L670" s="39">
        <f t="shared" si="493"/>
        <v>0.31652600262341524</v>
      </c>
      <c r="M670" s="39">
        <f t="shared" si="493"/>
        <v>0.4024477624188314</v>
      </c>
      <c r="N670" s="39">
        <f t="shared" si="493"/>
        <v>9.6616740288197556E-2</v>
      </c>
      <c r="O670" s="39">
        <f t="shared" si="493"/>
        <v>0.30101456674185423</v>
      </c>
    </row>
    <row r="671" spans="1:15" x14ac:dyDescent="0.2">
      <c r="A671" s="38" t="s">
        <v>29</v>
      </c>
      <c r="D671" s="39">
        <f t="shared" si="491"/>
        <v>9.3948602456374264E-2</v>
      </c>
      <c r="E671" s="39">
        <f t="shared" si="491"/>
        <v>-0.12895184135235271</v>
      </c>
      <c r="F671" s="39">
        <f t="shared" si="491"/>
        <v>-3.3560655938573491E-2</v>
      </c>
      <c r="G671" s="39">
        <f t="shared" si="491"/>
        <v>0.37204232891155586</v>
      </c>
      <c r="H671" s="39">
        <f t="shared" si="491"/>
        <v>2.6104965192337404E-2</v>
      </c>
      <c r="I671" s="39">
        <f t="shared" si="491"/>
        <v>-6.1684295345027618E-2</v>
      </c>
      <c r="J671" s="39">
        <f t="shared" si="493"/>
        <v>0.36349766994602473</v>
      </c>
      <c r="K671" s="39">
        <f t="shared" si="493"/>
        <v>0.35763142383244984</v>
      </c>
      <c r="L671" s="39">
        <f t="shared" si="493"/>
        <v>1.0579744515193945E-2</v>
      </c>
      <c r="M671" s="39">
        <f t="shared" si="493"/>
        <v>8.9102563512034383E-2</v>
      </c>
      <c r="N671" s="39">
        <f t="shared" si="493"/>
        <v>5.2728197155628154E-3</v>
      </c>
      <c r="O671" s="39">
        <f t="shared" si="493"/>
        <v>0.24401062756658431</v>
      </c>
    </row>
    <row r="672" spans="1:15" x14ac:dyDescent="0.2">
      <c r="A672" s="38" t="s">
        <v>30</v>
      </c>
      <c r="D672" s="39">
        <f t="shared" si="491"/>
        <v>0.1400808383036678</v>
      </c>
      <c r="E672" s="39">
        <f t="shared" si="491"/>
        <v>0.11337835243377248</v>
      </c>
      <c r="F672" s="39">
        <f t="shared" si="491"/>
        <v>0.11554459709709164</v>
      </c>
      <c r="G672" s="39">
        <f t="shared" si="491"/>
        <v>-0.20889459460388826</v>
      </c>
      <c r="H672" s="39">
        <f t="shared" si="491"/>
        <v>-0.21062954478014095</v>
      </c>
      <c r="I672" s="39">
        <f t="shared" si="491"/>
        <v>-1.9962734108279534E-2</v>
      </c>
      <c r="J672" s="39">
        <f t="shared" si="493"/>
        <v>-0.21068262337506471</v>
      </c>
      <c r="K672" s="39">
        <f t="shared" si="493"/>
        <v>-0.11745197510323835</v>
      </c>
      <c r="L672" s="39">
        <f t="shared" si="493"/>
        <v>3.0992962619019293E-2</v>
      </c>
      <c r="M672" s="39">
        <f t="shared" si="493"/>
        <v>-6.8389149518840453E-2</v>
      </c>
      <c r="N672" s="39">
        <f t="shared" si="493"/>
        <v>8.7264725703926183E-2</v>
      </c>
      <c r="O672" s="39">
        <f t="shared" si="493"/>
        <v>-0.14912581721724849</v>
      </c>
    </row>
    <row r="673" spans="1:15" x14ac:dyDescent="0.2">
      <c r="A673" s="38" t="s">
        <v>31</v>
      </c>
      <c r="D673" s="39">
        <f t="shared" si="491"/>
        <v>-0.15880767425000886</v>
      </c>
      <c r="E673" s="39">
        <f t="shared" si="491"/>
        <v>0.33270879102478201</v>
      </c>
      <c r="F673" s="39">
        <f t="shared" si="491"/>
        <v>0.33584685606521258</v>
      </c>
      <c r="G673" s="39">
        <f t="shared" si="491"/>
        <v>0.1857460017644289</v>
      </c>
      <c r="H673" s="39">
        <f t="shared" si="491"/>
        <v>-0.16904074787511481</v>
      </c>
      <c r="I673" s="39">
        <f t="shared" si="491"/>
        <v>0.41752291756827509</v>
      </c>
      <c r="J673" s="39">
        <f t="shared" ref="J673:O681" si="494">1-J477/J379</f>
        <v>-0.14230631370660674</v>
      </c>
      <c r="K673" s="39">
        <f t="shared" si="494"/>
        <v>-0.2285568898354986</v>
      </c>
      <c r="L673" s="39">
        <f t="shared" si="494"/>
        <v>-0.10755804885692877</v>
      </c>
      <c r="M673" s="39">
        <f t="shared" si="494"/>
        <v>-5.3960663477300885E-2</v>
      </c>
      <c r="N673" s="39">
        <f t="shared" si="494"/>
        <v>9.1320810448245471E-2</v>
      </c>
      <c r="O673" s="39">
        <f t="shared" si="494"/>
        <v>1.5939846931002255E-2</v>
      </c>
    </row>
    <row r="674" spans="1:15" x14ac:dyDescent="0.2">
      <c r="A674" s="38" t="s">
        <v>32</v>
      </c>
      <c r="D674" s="39">
        <f t="shared" si="491"/>
        <v>-8.055041202754798E-2</v>
      </c>
      <c r="E674" s="39">
        <f t="shared" si="491"/>
        <v>0.28743683095231098</v>
      </c>
      <c r="F674" s="39">
        <f t="shared" si="491"/>
        <v>-0.18956742257831993</v>
      </c>
      <c r="G674" s="39">
        <f t="shared" si="491"/>
        <v>0.39855416322848325</v>
      </c>
      <c r="H674" s="39">
        <f t="shared" si="491"/>
        <v>0.35522838433833481</v>
      </c>
      <c r="I674" s="39">
        <f t="shared" si="491"/>
        <v>-1.751416821738716E-2</v>
      </c>
      <c r="J674" s="39">
        <f t="shared" si="494"/>
        <v>0.13148956057673189</v>
      </c>
      <c r="K674" s="39">
        <f t="shared" si="494"/>
        <v>0.10025990559180042</v>
      </c>
      <c r="L674" s="39">
        <f t="shared" si="494"/>
        <v>0.22389718498924827</v>
      </c>
      <c r="M674" s="39">
        <f t="shared" si="494"/>
        <v>-0.22610429182328073</v>
      </c>
      <c r="N674" s="39">
        <f t="shared" si="494"/>
        <v>0.23338570299680894</v>
      </c>
      <c r="O674" s="39">
        <f t="shared" si="494"/>
        <v>-9.9775283583382279E-2</v>
      </c>
    </row>
    <row r="675" spans="1:15" x14ac:dyDescent="0.2">
      <c r="A675" s="38" t="s">
        <v>33</v>
      </c>
      <c r="D675" s="39">
        <f t="shared" si="491"/>
        <v>-0.23403588276010456</v>
      </c>
      <c r="E675" s="39">
        <f t="shared" si="491"/>
        <v>0.39185661199214716</v>
      </c>
      <c r="F675" s="39">
        <f t="shared" si="491"/>
        <v>2.2971790525819435E-2</v>
      </c>
      <c r="G675" s="39">
        <f t="shared" si="491"/>
        <v>-0.21954438029664258</v>
      </c>
      <c r="H675" s="39">
        <f t="shared" si="491"/>
        <v>0.32466667082344713</v>
      </c>
      <c r="I675" s="39">
        <f t="shared" si="491"/>
        <v>-0.22306383384635531</v>
      </c>
      <c r="J675" s="39">
        <f t="shared" si="494"/>
        <v>-0.17876169675249032</v>
      </c>
      <c r="K675" s="39">
        <f t="shared" si="494"/>
        <v>0.33342982504693719</v>
      </c>
      <c r="L675" s="39">
        <f t="shared" si="494"/>
        <v>9.369182169615109E-2</v>
      </c>
      <c r="M675" s="39">
        <f t="shared" si="494"/>
        <v>-9.1625873022886717E-2</v>
      </c>
      <c r="N675" s="39">
        <f t="shared" si="494"/>
        <v>0.43066729517798275</v>
      </c>
      <c r="O675" s="39">
        <f t="shared" si="494"/>
        <v>-0.19525182389946494</v>
      </c>
    </row>
    <row r="676" spans="1:15" x14ac:dyDescent="0.2">
      <c r="A676" s="38" t="s">
        <v>34</v>
      </c>
      <c r="D676" s="39">
        <f t="shared" si="491"/>
        <v>6.0917862850248694E-2</v>
      </c>
      <c r="E676" s="39">
        <f t="shared" si="491"/>
        <v>0.38972827781893771</v>
      </c>
      <c r="F676" s="39">
        <f t="shared" si="491"/>
        <v>0.37206567748079866</v>
      </c>
      <c r="G676" s="39">
        <f t="shared" si="491"/>
        <v>0.2466152714955635</v>
      </c>
      <c r="H676" s="39">
        <f t="shared" si="491"/>
        <v>2.8116693268698256E-4</v>
      </c>
      <c r="I676" s="39">
        <f t="shared" si="491"/>
        <v>-8.699363304010066E-2</v>
      </c>
      <c r="J676" s="39">
        <f t="shared" si="494"/>
        <v>0.16279890515163431</v>
      </c>
      <c r="K676" s="39">
        <f t="shared" si="494"/>
        <v>2.0523266792086381E-2</v>
      </c>
      <c r="L676" s="39">
        <f t="shared" si="494"/>
        <v>-0.19213481087330675</v>
      </c>
      <c r="M676" s="39">
        <f t="shared" si="494"/>
        <v>0.27951388538252597</v>
      </c>
      <c r="N676" s="39">
        <f t="shared" si="494"/>
        <v>0.13663640256690757</v>
      </c>
      <c r="O676" s="39">
        <f t="shared" si="494"/>
        <v>9.5105454092099362E-2</v>
      </c>
    </row>
    <row r="677" spans="1:15" x14ac:dyDescent="0.2">
      <c r="A677" s="37" t="s">
        <v>35</v>
      </c>
      <c r="D677" s="40">
        <f t="shared" si="491"/>
        <v>0.15792166735715363</v>
      </c>
      <c r="E677" s="40">
        <f t="shared" si="491"/>
        <v>1.1342467724123617E-2</v>
      </c>
      <c r="F677" s="40">
        <f t="shared" si="491"/>
        <v>0.13254885545154582</v>
      </c>
      <c r="G677" s="40">
        <f t="shared" si="491"/>
        <v>0.26834673176389734</v>
      </c>
      <c r="H677" s="40">
        <f t="shared" si="491"/>
        <v>5.187047144713075E-3</v>
      </c>
      <c r="I677" s="40">
        <f t="shared" si="491"/>
        <v>1.5487917643106641E-3</v>
      </c>
      <c r="J677" s="40">
        <f t="shared" si="494"/>
        <v>0.16517171043548085</v>
      </c>
      <c r="K677" s="40">
        <f t="shared" si="494"/>
        <v>0.12254946549095824</v>
      </c>
      <c r="L677" s="40">
        <f t="shared" si="494"/>
        <v>2.782684085378162E-2</v>
      </c>
      <c r="M677" s="40">
        <f t="shared" si="494"/>
        <v>6.6570612145881558E-2</v>
      </c>
      <c r="N677" s="40">
        <f t="shared" si="494"/>
        <v>-7.6905774779817415E-2</v>
      </c>
      <c r="O677" s="40">
        <f t="shared" si="494"/>
        <v>7.8958878069470884E-2</v>
      </c>
    </row>
    <row r="678" spans="1:15" x14ac:dyDescent="0.2">
      <c r="A678" s="38" t="s">
        <v>25</v>
      </c>
      <c r="D678" s="39">
        <f t="shared" si="491"/>
        <v>0.35408221339456603</v>
      </c>
      <c r="E678" s="39">
        <f t="shared" si="491"/>
        <v>6.8511972116737874E-2</v>
      </c>
      <c r="F678" s="39">
        <f t="shared" si="491"/>
        <v>0.34095277885781883</v>
      </c>
      <c r="G678" s="39">
        <f t="shared" si="491"/>
        <v>0.19171071946835394</v>
      </c>
      <c r="H678" s="39">
        <f t="shared" si="491"/>
        <v>0.23613745685461829</v>
      </c>
      <c r="I678" s="39">
        <f t="shared" si="491"/>
        <v>0.31068994904044134</v>
      </c>
      <c r="J678" s="39">
        <f t="shared" si="494"/>
        <v>0.15671171045516652</v>
      </c>
      <c r="K678" s="39">
        <f t="shared" si="494"/>
        <v>3.666386368097041E-2</v>
      </c>
      <c r="L678" s="39">
        <f t="shared" si="494"/>
        <v>-0.232053986881672</v>
      </c>
      <c r="M678" s="39">
        <f t="shared" si="494"/>
        <v>-3.4251816919135702E-2</v>
      </c>
      <c r="N678" s="39">
        <f t="shared" si="494"/>
        <v>0.29085823808430611</v>
      </c>
      <c r="O678" s="39">
        <f t="shared" si="494"/>
        <v>1.0473995385698931E-2</v>
      </c>
    </row>
    <row r="679" spans="1:15" x14ac:dyDescent="0.2">
      <c r="A679" s="38" t="s">
        <v>26</v>
      </c>
      <c r="D679" s="39">
        <f t="shared" si="491"/>
        <v>0.2901788622584085</v>
      </c>
      <c r="E679" s="39">
        <f t="shared" si="491"/>
        <v>-2.7896453716677039E-2</v>
      </c>
      <c r="F679" s="39">
        <f t="shared" si="491"/>
        <v>6.1895395375123896E-2</v>
      </c>
      <c r="G679" s="39">
        <f t="shared" si="491"/>
        <v>0.20691699441649025</v>
      </c>
      <c r="H679" s="39">
        <f t="shared" si="491"/>
        <v>-6.4756069215081036E-2</v>
      </c>
      <c r="I679" s="39">
        <f t="shared" si="491"/>
        <v>-0.17115566417834183</v>
      </c>
      <c r="J679" s="39">
        <f t="shared" si="494"/>
        <v>0.39621489107565433</v>
      </c>
      <c r="K679" s="39">
        <f t="shared" si="494"/>
        <v>6.4130842932619725E-2</v>
      </c>
      <c r="L679" s="39">
        <f t="shared" si="494"/>
        <v>0.2479215113623584</v>
      </c>
      <c r="M679" s="39">
        <f t="shared" si="494"/>
        <v>-6.7094140407110592E-2</v>
      </c>
      <c r="N679" s="39">
        <f t="shared" si="494"/>
        <v>0.12659155033369307</v>
      </c>
      <c r="O679" s="39">
        <f t="shared" si="494"/>
        <v>0.14922915470258424</v>
      </c>
    </row>
    <row r="680" spans="1:15" x14ac:dyDescent="0.2">
      <c r="A680" s="38" t="s">
        <v>27</v>
      </c>
      <c r="D680" s="39">
        <f t="shared" si="491"/>
        <v>1.2519103103687201E-2</v>
      </c>
      <c r="E680" s="39">
        <f t="shared" si="491"/>
        <v>-0.1346012572631472</v>
      </c>
      <c r="F680" s="39">
        <f t="shared" si="491"/>
        <v>0.33365656981209224</v>
      </c>
      <c r="G680" s="39">
        <f t="shared" si="491"/>
        <v>-9.9823280623346111E-2</v>
      </c>
      <c r="H680" s="39">
        <f t="shared" si="491"/>
        <v>0.22753488480993833</v>
      </c>
      <c r="I680" s="39">
        <f t="shared" si="491"/>
        <v>0.13870386731730322</v>
      </c>
      <c r="J680" s="39">
        <f t="shared" si="494"/>
        <v>8.3230935757623525E-2</v>
      </c>
      <c r="K680" s="39">
        <f t="shared" si="494"/>
        <v>-0.13183525039726951</v>
      </c>
      <c r="L680" s="39">
        <f t="shared" si="494"/>
        <v>-2.0119758708015079E-2</v>
      </c>
      <c r="M680" s="39">
        <f t="shared" si="494"/>
        <v>-0.17436662712532391</v>
      </c>
      <c r="N680" s="39">
        <f t="shared" si="494"/>
        <v>-1.5524381204127247E-2</v>
      </c>
      <c r="O680" s="39">
        <f t="shared" si="494"/>
        <v>0.3817999471407113</v>
      </c>
    </row>
    <row r="681" spans="1:15" x14ac:dyDescent="0.2">
      <c r="A681" s="38" t="s">
        <v>28</v>
      </c>
      <c r="D681" s="39">
        <f t="shared" si="491"/>
        <v>8.9018909206282193E-2</v>
      </c>
      <c r="E681" s="39">
        <f t="shared" si="491"/>
        <v>0.13991643950723665</v>
      </c>
      <c r="F681" s="39">
        <f t="shared" si="491"/>
        <v>7.0358208386815058E-2</v>
      </c>
      <c r="G681" s="39">
        <f t="shared" si="491"/>
        <v>0.21563445992975172</v>
      </c>
      <c r="H681" s="39">
        <f t="shared" si="491"/>
        <v>0.28020167010159369</v>
      </c>
      <c r="I681" s="39">
        <f t="shared" si="491"/>
        <v>9.0480168980661135E-3</v>
      </c>
      <c r="J681" s="39">
        <f t="shared" si="494"/>
        <v>-0.25611000934986361</v>
      </c>
      <c r="K681" s="39">
        <f t="shared" si="494"/>
        <v>-0.22939225021388565</v>
      </c>
      <c r="L681" s="39">
        <f t="shared" si="494"/>
        <v>-0.20585117868761005</v>
      </c>
      <c r="M681" s="39">
        <f t="shared" si="494"/>
        <v>0.28777161307737453</v>
      </c>
      <c r="N681" s="39">
        <f t="shared" si="494"/>
        <v>-0.16638879785576322</v>
      </c>
      <c r="O681" s="39">
        <f t="shared" si="494"/>
        <v>-0.15882054725210226</v>
      </c>
    </row>
    <row r="682" spans="1:15" x14ac:dyDescent="0.2">
      <c r="A682" s="38" t="s">
        <v>29</v>
      </c>
      <c r="D682" s="39">
        <f t="shared" si="491"/>
        <v>-7.7168507578910805E-3</v>
      </c>
      <c r="E682" s="39">
        <f t="shared" si="491"/>
        <v>0.15125829165569404</v>
      </c>
      <c r="F682" s="39">
        <f t="shared" si="491"/>
        <v>0.39229256098314114</v>
      </c>
      <c r="G682" s="39">
        <f t="shared" si="491"/>
        <v>0.32858786397858764</v>
      </c>
      <c r="H682" s="39">
        <f t="shared" ref="E682:I687" si="495">1-H486/H388</f>
        <v>3.6962562482971029E-2</v>
      </c>
      <c r="I682" s="39">
        <f t="shared" si="495"/>
        <v>-0.16752195808710746</v>
      </c>
      <c r="J682" s="39">
        <f t="shared" ref="J682:O682" si="496">1-J486/J388</f>
        <v>0.21784763623501313</v>
      </c>
      <c r="K682" s="39">
        <f t="shared" si="496"/>
        <v>0.29187081575642904</v>
      </c>
      <c r="L682" s="39">
        <f t="shared" si="496"/>
        <v>0.38998271071915092</v>
      </c>
      <c r="M682" s="39">
        <f t="shared" si="496"/>
        <v>-0.17087775372351599</v>
      </c>
      <c r="N682" s="39">
        <f t="shared" si="496"/>
        <v>-0.17818296520395926</v>
      </c>
      <c r="O682" s="39">
        <f t="shared" si="496"/>
        <v>2.0557599842780938E-3</v>
      </c>
    </row>
    <row r="683" spans="1:15" x14ac:dyDescent="0.2">
      <c r="A683" s="38" t="s">
        <v>30</v>
      </c>
      <c r="D683" s="39">
        <f t="shared" si="491"/>
        <v>0.1221186774863845</v>
      </c>
      <c r="E683" s="39">
        <f t="shared" si="495"/>
        <v>-0.25873189822922837</v>
      </c>
      <c r="F683" s="39">
        <f t="shared" si="495"/>
        <v>-0.13727523383858209</v>
      </c>
      <c r="G683" s="39">
        <f t="shared" si="495"/>
        <v>0.15807421922683762</v>
      </c>
      <c r="H683" s="39">
        <f t="shared" si="495"/>
        <v>0.1909622687436886</v>
      </c>
      <c r="I683" s="39">
        <f t="shared" si="495"/>
        <v>-0.19721073434041458</v>
      </c>
      <c r="J683" s="39">
        <f t="shared" ref="J683:O683" si="497">1-J487/J389</f>
        <v>0.22904217008722272</v>
      </c>
      <c r="K683" s="39">
        <f t="shared" si="497"/>
        <v>-0.22707753969408673</v>
      </c>
      <c r="L683" s="39">
        <f t="shared" si="497"/>
        <v>0.35504677121147277</v>
      </c>
      <c r="M683" s="39">
        <f t="shared" si="497"/>
        <v>0.31844444549948614</v>
      </c>
      <c r="N683" s="39">
        <f t="shared" si="497"/>
        <v>-6.9312396673078425E-2</v>
      </c>
      <c r="O683" s="39">
        <f t="shared" si="497"/>
        <v>1.6762501490253379E-2</v>
      </c>
    </row>
    <row r="684" spans="1:15" x14ac:dyDescent="0.2">
      <c r="A684" s="38" t="s">
        <v>31</v>
      </c>
      <c r="D684" s="39">
        <f t="shared" si="491"/>
        <v>0.13495471006344195</v>
      </c>
      <c r="E684" s="39">
        <f t="shared" si="495"/>
        <v>1.5915597839978091E-2</v>
      </c>
      <c r="F684" s="39">
        <f t="shared" si="495"/>
        <v>0.18298326609136439</v>
      </c>
      <c r="G684" s="39">
        <f t="shared" si="495"/>
        <v>0.3688830379072584</v>
      </c>
      <c r="H684" s="39">
        <f t="shared" si="495"/>
        <v>-2.5510345558479308E-2</v>
      </c>
      <c r="I684" s="39">
        <f t="shared" si="495"/>
        <v>9.5208409069467259E-2</v>
      </c>
      <c r="J684" s="39">
        <f t="shared" ref="J684:O684" si="498">1-J488/J390</f>
        <v>0.1794132336253359</v>
      </c>
      <c r="K684" s="39">
        <f t="shared" si="498"/>
        <v>0.17933495410201239</v>
      </c>
      <c r="L684" s="39">
        <f t="shared" si="498"/>
        <v>-0.21656989139077898</v>
      </c>
      <c r="M684" s="39">
        <f t="shared" si="498"/>
        <v>-3.2898054197891824E-3</v>
      </c>
      <c r="N684" s="39">
        <f t="shared" si="498"/>
        <v>-0.19589414737108068</v>
      </c>
      <c r="O684" s="39">
        <f t="shared" si="498"/>
        <v>0.13984527400566327</v>
      </c>
    </row>
    <row r="685" spans="1:15" x14ac:dyDescent="0.2">
      <c r="A685" s="38" t="s">
        <v>32</v>
      </c>
      <c r="D685" s="39">
        <f t="shared" si="491"/>
        <v>0.36188442868794346</v>
      </c>
      <c r="E685" s="39">
        <f t="shared" si="495"/>
        <v>-1.4432524585463069E-2</v>
      </c>
      <c r="F685" s="39">
        <f t="shared" si="495"/>
        <v>7.934826196824496E-2</v>
      </c>
      <c r="G685" s="39">
        <f t="shared" si="495"/>
        <v>-2.9858572502426073E-2</v>
      </c>
      <c r="H685" s="39">
        <f t="shared" si="495"/>
        <v>-0.11294767961935581</v>
      </c>
      <c r="I685" s="39">
        <f t="shared" si="495"/>
        <v>0.26988119735131255</v>
      </c>
      <c r="J685" s="39">
        <f t="shared" ref="J685:O685" si="499">1-J489/J391</f>
        <v>0.22243263011425962</v>
      </c>
      <c r="K685" s="39">
        <f t="shared" si="499"/>
        <v>0.30191499375937558</v>
      </c>
      <c r="L685" s="39">
        <f t="shared" si="499"/>
        <v>-0.19534313949873994</v>
      </c>
      <c r="M685" s="39">
        <f t="shared" si="499"/>
        <v>0.11234167321170019</v>
      </c>
      <c r="N685" s="39">
        <f t="shared" si="499"/>
        <v>-0.22582608671697946</v>
      </c>
      <c r="O685" s="39">
        <f t="shared" si="499"/>
        <v>-0.20725514722518401</v>
      </c>
    </row>
    <row r="686" spans="1:15" x14ac:dyDescent="0.2">
      <c r="A686" s="38" t="s">
        <v>33</v>
      </c>
      <c r="D686" s="39">
        <f t="shared" si="491"/>
        <v>0.15780201942881</v>
      </c>
      <c r="E686" s="39">
        <f t="shared" si="495"/>
        <v>-0.12302215950552586</v>
      </c>
      <c r="F686" s="39">
        <f t="shared" si="495"/>
        <v>0.33376267602024501</v>
      </c>
      <c r="G686" s="39">
        <f t="shared" si="495"/>
        <v>0.38104000017739581</v>
      </c>
      <c r="H686" s="39">
        <f t="shared" si="495"/>
        <v>0.26970864626860325</v>
      </c>
      <c r="I686" s="39">
        <f t="shared" si="495"/>
        <v>0.27835221467313775</v>
      </c>
      <c r="J686" s="39">
        <f t="shared" ref="J686:O686" si="500">1-J490/J392</f>
        <v>0.38777619670123453</v>
      </c>
      <c r="K686" s="39">
        <f t="shared" si="500"/>
        <v>-0.13952113594218796</v>
      </c>
      <c r="L686" s="39">
        <f t="shared" si="500"/>
        <v>-5.2817811002980886E-2</v>
      </c>
      <c r="M686" s="39">
        <f t="shared" si="500"/>
        <v>-0.25597737406637644</v>
      </c>
      <c r="N686" s="39">
        <f t="shared" si="500"/>
        <v>0.23746079109009366</v>
      </c>
      <c r="O686" s="39">
        <f t="shared" si="500"/>
        <v>-0.17049300277971491</v>
      </c>
    </row>
    <row r="687" spans="1:15" x14ac:dyDescent="0.2">
      <c r="A687" s="38" t="s">
        <v>34</v>
      </c>
      <c r="D687" s="39">
        <f t="shared" si="491"/>
        <v>0.31281790667713982</v>
      </c>
      <c r="E687" s="39">
        <f t="shared" si="495"/>
        <v>0.20223760193273055</v>
      </c>
      <c r="F687" s="39">
        <f t="shared" si="495"/>
        <v>0.25927797598094182</v>
      </c>
      <c r="G687" s="39">
        <f t="shared" si="495"/>
        <v>0.2762057793432442</v>
      </c>
      <c r="H687" s="39">
        <f t="shared" si="495"/>
        <v>-4.8004608642979285E-2</v>
      </c>
      <c r="I687" s="39">
        <f t="shared" si="495"/>
        <v>0.35404780498979338</v>
      </c>
      <c r="J687" s="39">
        <f t="shared" ref="J687:O687" si="501">1-J491/J393</f>
        <v>0.33232430602967855</v>
      </c>
      <c r="K687" s="39">
        <f t="shared" si="501"/>
        <v>0.33063421144411342</v>
      </c>
      <c r="L687" s="39">
        <f t="shared" si="501"/>
        <v>0.22349290069502858</v>
      </c>
      <c r="M687" s="39">
        <f t="shared" si="501"/>
        <v>0.23419096840792819</v>
      </c>
      <c r="N687" s="39">
        <f t="shared" si="501"/>
        <v>-0.13789700187037313</v>
      </c>
      <c r="O687" s="39">
        <f t="shared" si="501"/>
        <v>-0.173183181423326</v>
      </c>
    </row>
  </sheetData>
  <phoneticPr fontId="3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/>
  </sheetViews>
  <sheetFormatPr defaultColWidth="9" defaultRowHeight="11.4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98"/>
  <sheetViews>
    <sheetView showGridLines="0" zoomScale="85" zoomScaleNormal="85" workbookViewId="0">
      <pane xSplit="2" ySplit="2" topLeftCell="C3" activePane="bottomRight" state="frozen"/>
      <selection activeCell="C23" sqref="C23"/>
      <selection pane="topRight" activeCell="C23" sqref="C23"/>
      <selection pane="bottomLeft" activeCell="C23" sqref="C23"/>
      <selection pane="bottomRight" activeCell="B52" sqref="B52:B98"/>
    </sheetView>
  </sheetViews>
  <sheetFormatPr defaultColWidth="9" defaultRowHeight="11.4" x14ac:dyDescent="0.2"/>
  <cols>
    <col min="2" max="2" width="52.8984375" customWidth="1"/>
    <col min="3" max="3" width="9.19921875" customWidth="1"/>
    <col min="4" max="4" width="19.69921875" customWidth="1"/>
    <col min="5" max="5" width="7.19921875" customWidth="1"/>
    <col min="6" max="6" width="21.19921875" customWidth="1"/>
    <col min="7" max="7" width="18.69921875" customWidth="1"/>
    <col min="8" max="8" width="24.19921875" customWidth="1"/>
    <col min="9" max="9" width="9.69921875" customWidth="1"/>
    <col min="10" max="10" width="23.09765625" customWidth="1"/>
    <col min="11" max="11" width="20.19921875" customWidth="1"/>
    <col min="12" max="12" width="9.19921875" customWidth="1"/>
    <col min="13" max="13" width="23.09765625" customWidth="1"/>
    <col min="14" max="14" width="15" bestFit="1" customWidth="1"/>
  </cols>
  <sheetData>
    <row r="2" spans="2:14" ht="19.8" x14ac:dyDescent="0.3">
      <c r="B2" s="8" t="s">
        <v>21</v>
      </c>
    </row>
    <row r="3" spans="2:14" x14ac:dyDescent="0.2">
      <c r="C3" s="9">
        <v>44927</v>
      </c>
      <c r="D3" s="9">
        <v>44958</v>
      </c>
      <c r="E3" s="9">
        <v>44986</v>
      </c>
      <c r="F3" s="9">
        <v>45017</v>
      </c>
      <c r="G3" s="9">
        <v>45047</v>
      </c>
      <c r="H3" s="9">
        <v>45078</v>
      </c>
      <c r="I3" s="9">
        <v>45108</v>
      </c>
      <c r="J3" s="9">
        <v>45139</v>
      </c>
      <c r="K3" s="9">
        <v>45170</v>
      </c>
      <c r="L3" s="9">
        <v>45200</v>
      </c>
      <c r="M3" s="9">
        <v>45231</v>
      </c>
      <c r="N3" s="9">
        <v>45261</v>
      </c>
    </row>
    <row r="4" spans="2:14" ht="16.2" x14ac:dyDescent="0.2">
      <c r="B4" s="34" t="s">
        <v>22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19.8" x14ac:dyDescent="0.2">
      <c r="B5" s="11" t="s">
        <v>23</v>
      </c>
    </row>
    <row r="6" spans="2:14" ht="13.8" x14ac:dyDescent="0.2">
      <c r="B6" s="12" t="s">
        <v>24</v>
      </c>
    </row>
    <row r="7" spans="2:14" x14ac:dyDescent="0.2">
      <c r="B7" s="13" t="s">
        <v>25</v>
      </c>
      <c r="C7">
        <v>2.9205887172428602</v>
      </c>
      <c r="D7">
        <v>9.5115027071103544</v>
      </c>
      <c r="E7">
        <v>2.9569521902624265</v>
      </c>
      <c r="F7">
        <v>29.085695676184454</v>
      </c>
      <c r="G7">
        <v>3.7609401252753587</v>
      </c>
      <c r="H7">
        <v>11.350544046941923</v>
      </c>
      <c r="I7">
        <v>3.8941278514704756</v>
      </c>
      <c r="J7">
        <v>3.6616761280250971</v>
      </c>
      <c r="K7">
        <v>27.888845743936891</v>
      </c>
      <c r="L7">
        <v>14.370095213822221</v>
      </c>
      <c r="M7">
        <v>8.528976288276251</v>
      </c>
      <c r="N7">
        <v>53.665163643369851</v>
      </c>
    </row>
    <row r="8" spans="2:14" x14ac:dyDescent="0.2">
      <c r="B8" s="13" t="s">
        <v>26</v>
      </c>
      <c r="C8">
        <v>63.328306962284294</v>
      </c>
      <c r="D8">
        <v>4.0526806247897094</v>
      </c>
      <c r="E8">
        <v>27.224038520309875</v>
      </c>
      <c r="F8">
        <v>83.106753775591869</v>
      </c>
      <c r="G8">
        <v>22.786039180317342</v>
      </c>
      <c r="H8">
        <v>19.789918350710948</v>
      </c>
      <c r="I8">
        <v>6.322662895540974</v>
      </c>
      <c r="J8">
        <v>5.2214759189553854</v>
      </c>
      <c r="K8">
        <v>61.946695481648078</v>
      </c>
      <c r="L8">
        <v>10.410474543109814</v>
      </c>
      <c r="M8">
        <v>19.612199941168761</v>
      </c>
      <c r="N8">
        <v>7.1655690666251903</v>
      </c>
    </row>
    <row r="9" spans="2:14" x14ac:dyDescent="0.2">
      <c r="B9" s="13" t="s">
        <v>27</v>
      </c>
      <c r="C9">
        <v>16.518392599545084</v>
      </c>
      <c r="D9">
        <v>36.923946957109017</v>
      </c>
      <c r="E9">
        <v>15.942064827404099</v>
      </c>
      <c r="F9">
        <v>20.366599704659944</v>
      </c>
      <c r="G9">
        <v>16.145600785231643</v>
      </c>
      <c r="H9">
        <v>78.158713119228764</v>
      </c>
      <c r="I9">
        <v>1.4517819173945274</v>
      </c>
      <c r="J9">
        <v>34.545600642515907</v>
      </c>
      <c r="K9">
        <v>22.466361570362061</v>
      </c>
      <c r="L9">
        <v>25.188829236008516</v>
      </c>
      <c r="M9">
        <v>25.72262192012434</v>
      </c>
      <c r="N9">
        <v>44.390782666128395</v>
      </c>
    </row>
    <row r="10" spans="2:14" x14ac:dyDescent="0.2">
      <c r="B10" s="13" t="s">
        <v>28</v>
      </c>
      <c r="C10">
        <v>12.874415705019096</v>
      </c>
      <c r="D10">
        <v>1.2416532153793032</v>
      </c>
      <c r="E10">
        <v>2.1283362846948792</v>
      </c>
      <c r="F10">
        <v>12.025692174234436</v>
      </c>
      <c r="G10">
        <v>33.936827100299773</v>
      </c>
      <c r="H10">
        <v>15.260464466635721</v>
      </c>
      <c r="I10">
        <v>62.370071659472792</v>
      </c>
      <c r="J10">
        <v>69.458364953805429</v>
      </c>
      <c r="K10">
        <v>34.454465406783264</v>
      </c>
      <c r="L10">
        <v>64.081954101743037</v>
      </c>
      <c r="M10">
        <v>20.966734096063007</v>
      </c>
      <c r="N10">
        <v>26.896586013493518</v>
      </c>
    </row>
    <row r="11" spans="2:14" x14ac:dyDescent="0.2">
      <c r="B11" s="13" t="s">
        <v>29</v>
      </c>
      <c r="C11">
        <v>47.452926290616091</v>
      </c>
      <c r="D11">
        <v>9.6306633884069157</v>
      </c>
      <c r="E11">
        <v>35.649550834050515</v>
      </c>
      <c r="F11">
        <v>47.427643963294514</v>
      </c>
      <c r="G11">
        <v>43.393758157849049</v>
      </c>
      <c r="H11">
        <v>16.977001108510244</v>
      </c>
      <c r="I11">
        <v>81.981773483910089</v>
      </c>
      <c r="J11">
        <v>41.966993675506984</v>
      </c>
      <c r="K11">
        <v>58.527007017671615</v>
      </c>
      <c r="L11">
        <v>44.811047846320612</v>
      </c>
      <c r="M11">
        <v>24.30559458157019</v>
      </c>
      <c r="N11">
        <v>91.405768862599103</v>
      </c>
    </row>
    <row r="12" spans="2:14" x14ac:dyDescent="0.2">
      <c r="B12" s="13" t="s">
        <v>30</v>
      </c>
      <c r="C12">
        <v>44.872531133376221</v>
      </c>
      <c r="D12">
        <v>30.263069811520669</v>
      </c>
      <c r="E12">
        <v>15.036105902660523</v>
      </c>
      <c r="F12">
        <v>74.064883522124902</v>
      </c>
      <c r="G12">
        <v>21.725135125605018</v>
      </c>
      <c r="H12">
        <v>34.962943960846971</v>
      </c>
      <c r="I12">
        <v>34.955475293291684</v>
      </c>
      <c r="J12">
        <v>8.5644654798112612</v>
      </c>
      <c r="K12">
        <v>1.6553660894428859</v>
      </c>
      <c r="L12">
        <v>3.5663247980297359</v>
      </c>
      <c r="M12">
        <v>3.2240895185108318</v>
      </c>
      <c r="N12">
        <v>1.9500380741565042</v>
      </c>
    </row>
    <row r="13" spans="2:14" x14ac:dyDescent="0.2">
      <c r="B13" s="13" t="s">
        <v>31</v>
      </c>
      <c r="C13">
        <v>0.69506706989403733</v>
      </c>
      <c r="D13">
        <v>53.460415141393348</v>
      </c>
      <c r="E13">
        <v>39.073368223980111</v>
      </c>
      <c r="F13">
        <v>23.516106731272416</v>
      </c>
      <c r="G13">
        <v>47.782670495931661</v>
      </c>
      <c r="H13">
        <v>17.272477515509173</v>
      </c>
      <c r="I13">
        <v>20.560933106885262</v>
      </c>
      <c r="J13">
        <v>21.882708200968871</v>
      </c>
      <c r="K13">
        <v>19.384256033987349</v>
      </c>
      <c r="L13">
        <v>2.0989693833449294</v>
      </c>
      <c r="M13">
        <v>81.819257036387867</v>
      </c>
      <c r="N13">
        <v>62.349358525458896</v>
      </c>
    </row>
    <row r="14" spans="2:14" x14ac:dyDescent="0.2">
      <c r="B14" s="13" t="s">
        <v>32</v>
      </c>
      <c r="C14">
        <v>4.1495720141341472</v>
      </c>
      <c r="D14">
        <v>39.4881092921026</v>
      </c>
      <c r="E14">
        <v>25.265470868501978</v>
      </c>
      <c r="F14">
        <v>22.456329391924747</v>
      </c>
      <c r="G14">
        <v>15.648038931927603</v>
      </c>
      <c r="H14">
        <v>35.713430976566201</v>
      </c>
      <c r="I14">
        <v>52.085633995077451</v>
      </c>
      <c r="J14">
        <v>17.240299304882221</v>
      </c>
      <c r="K14">
        <v>38.592293165387339</v>
      </c>
      <c r="L14">
        <v>38.510076527871377</v>
      </c>
      <c r="M14">
        <v>22.929857515379023</v>
      </c>
      <c r="N14">
        <v>11.967718845768488</v>
      </c>
    </row>
    <row r="15" spans="2:14" x14ac:dyDescent="0.2">
      <c r="B15" s="13" t="s">
        <v>33</v>
      </c>
      <c r="C15">
        <v>21.640558939085633</v>
      </c>
      <c r="D15">
        <v>7.1729900350066158</v>
      </c>
      <c r="E15">
        <v>8.3276977518802404</v>
      </c>
      <c r="F15">
        <v>14.920891139604658</v>
      </c>
      <c r="G15">
        <v>19.478846580376565</v>
      </c>
      <c r="H15">
        <v>33.763381629358115</v>
      </c>
      <c r="I15">
        <v>55.733841120624923</v>
      </c>
      <c r="J15">
        <v>11.745050335841151</v>
      </c>
      <c r="K15">
        <v>12.234241381202148</v>
      </c>
      <c r="L15">
        <v>82.824651734170018</v>
      </c>
      <c r="M15">
        <v>17.504139232469655</v>
      </c>
      <c r="N15">
        <v>1.7100472483141749</v>
      </c>
    </row>
    <row r="16" spans="2:14" x14ac:dyDescent="0.2">
      <c r="B16" s="13" t="s">
        <v>34</v>
      </c>
      <c r="C16">
        <v>7.4559147648467325</v>
      </c>
      <c r="D16">
        <v>32.38256360592456</v>
      </c>
      <c r="E16">
        <v>15.416480596456204</v>
      </c>
      <c r="F16">
        <v>28.98417574528974</v>
      </c>
      <c r="G16">
        <v>7.809633848037258</v>
      </c>
      <c r="H16">
        <v>67.692853898140015</v>
      </c>
      <c r="I16">
        <v>89.454724163716506</v>
      </c>
      <c r="J16">
        <v>12.35131303013805</v>
      </c>
      <c r="K16">
        <v>53.710928048269125</v>
      </c>
      <c r="L16">
        <v>74.864039937412002</v>
      </c>
      <c r="M16">
        <v>6.2341435425124665</v>
      </c>
      <c r="N16">
        <v>17.936745255343823</v>
      </c>
    </row>
    <row r="17" spans="2:14" ht="13.8" x14ac:dyDescent="0.2">
      <c r="B17" s="12" t="s">
        <v>35</v>
      </c>
    </row>
    <row r="18" spans="2:14" x14ac:dyDescent="0.2">
      <c r="B18" s="13" t="s">
        <v>25</v>
      </c>
      <c r="C18">
        <v>49.34092048337132</v>
      </c>
      <c r="D18">
        <v>27.136100064345047</v>
      </c>
      <c r="E18">
        <v>28.9290569430961</v>
      </c>
      <c r="F18">
        <v>7.746007259013548</v>
      </c>
      <c r="G18">
        <v>37.374258133920591</v>
      </c>
      <c r="H18">
        <v>14.232157628488132</v>
      </c>
      <c r="I18">
        <v>6.590146285032537</v>
      </c>
      <c r="J18">
        <v>11.201432317463389</v>
      </c>
      <c r="K18">
        <v>63.302370905243336</v>
      </c>
      <c r="L18">
        <v>5.2848462141312442</v>
      </c>
      <c r="M18">
        <v>79.377561740516796</v>
      </c>
      <c r="N18">
        <v>35.091957623829828</v>
      </c>
    </row>
    <row r="19" spans="2:14" x14ac:dyDescent="0.2">
      <c r="B19" s="13" t="s">
        <v>26</v>
      </c>
      <c r="C19">
        <v>34.835537706607866</v>
      </c>
      <c r="D19">
        <v>7.616773564241381</v>
      </c>
      <c r="E19">
        <v>27.338799481657496</v>
      </c>
      <c r="F19">
        <v>20.663424974838016</v>
      </c>
      <c r="G19">
        <v>43.786374793037055</v>
      </c>
      <c r="H19">
        <v>40.777536271161857</v>
      </c>
      <c r="I19">
        <v>17.846269069574724</v>
      </c>
      <c r="J19">
        <v>40.9836927611927</v>
      </c>
      <c r="K19">
        <v>24.381704537681028</v>
      </c>
      <c r="L19">
        <v>9.0669675585946106</v>
      </c>
      <c r="M19">
        <v>18.389932753063501</v>
      </c>
      <c r="N19">
        <v>2.1408773134143786</v>
      </c>
    </row>
    <row r="20" spans="2:14" x14ac:dyDescent="0.2">
      <c r="B20" s="13" t="s">
        <v>27</v>
      </c>
      <c r="C20">
        <v>7.1933051585173642</v>
      </c>
      <c r="D20">
        <v>22.143704567758242</v>
      </c>
      <c r="E20">
        <v>34.839174503874681</v>
      </c>
      <c r="F20">
        <v>53.946325905963036</v>
      </c>
      <c r="G20">
        <v>43.407641622184578</v>
      </c>
      <c r="H20">
        <v>22.774956528993673</v>
      </c>
      <c r="I20">
        <v>25.866387710944135</v>
      </c>
      <c r="J20">
        <v>7.1072508161562613</v>
      </c>
      <c r="K20">
        <v>2.9107977394325437</v>
      </c>
      <c r="L20">
        <v>33.000407349784552</v>
      </c>
      <c r="M20">
        <v>22.674710032519041</v>
      </c>
      <c r="N20">
        <v>4.7267329604712875</v>
      </c>
    </row>
    <row r="21" spans="2:14" x14ac:dyDescent="0.2">
      <c r="B21" s="13" t="s">
        <v>28</v>
      </c>
      <c r="C21">
        <v>21.465348003121136</v>
      </c>
      <c r="D21">
        <v>21.723549609443772</v>
      </c>
      <c r="E21">
        <v>47.151724980323642</v>
      </c>
      <c r="F21">
        <v>16.70836537645739</v>
      </c>
      <c r="G21">
        <v>37.951665703145295</v>
      </c>
      <c r="H21">
        <v>21.451109049413251</v>
      </c>
      <c r="I21">
        <v>39.646347491442924</v>
      </c>
      <c r="J21">
        <v>36.893370267637081</v>
      </c>
      <c r="K21">
        <v>2.8911094330926468</v>
      </c>
      <c r="L21">
        <v>59.050528892494043</v>
      </c>
      <c r="M21">
        <v>3.7947341180134004</v>
      </c>
      <c r="N21">
        <v>34.13360324230198</v>
      </c>
    </row>
    <row r="22" spans="2:14" x14ac:dyDescent="0.2">
      <c r="B22" s="13" t="s">
        <v>29</v>
      </c>
      <c r="C22">
        <v>33.786433202535839</v>
      </c>
      <c r="D22">
        <v>6.704885576473651</v>
      </c>
      <c r="E22">
        <v>7.8109237148279878</v>
      </c>
      <c r="F22">
        <v>9.576172854950272</v>
      </c>
      <c r="G22">
        <v>62.906627585280091</v>
      </c>
      <c r="H22">
        <v>6.5363033685615601</v>
      </c>
      <c r="I22">
        <v>30.893021735415545</v>
      </c>
      <c r="J22">
        <v>36.132961689942981</v>
      </c>
      <c r="K22">
        <v>16.605613416694371</v>
      </c>
      <c r="L22">
        <v>50.664063151659818</v>
      </c>
      <c r="M22">
        <v>6.1071164713133461</v>
      </c>
      <c r="N22">
        <v>32.355809391804762</v>
      </c>
    </row>
    <row r="23" spans="2:14" x14ac:dyDescent="0.2">
      <c r="B23" s="13" t="s">
        <v>30</v>
      </c>
      <c r="C23">
        <v>55.979468542972668</v>
      </c>
      <c r="D23">
        <v>38.047686159683522</v>
      </c>
      <c r="E23">
        <v>5.0233745224634276</v>
      </c>
      <c r="F23">
        <v>6.7465642017208154</v>
      </c>
      <c r="G23">
        <v>29.972786894917554</v>
      </c>
      <c r="H23">
        <v>11.702263610775386</v>
      </c>
      <c r="I23">
        <v>39.868941435480629</v>
      </c>
      <c r="J23">
        <v>21.674293247024188</v>
      </c>
      <c r="K23">
        <v>8.3589443320606414</v>
      </c>
      <c r="L23">
        <v>78.722464326370343</v>
      </c>
      <c r="M23">
        <v>18.49092004907682</v>
      </c>
      <c r="N23">
        <v>5.257140143832606</v>
      </c>
    </row>
    <row r="24" spans="2:14" x14ac:dyDescent="0.2">
      <c r="B24" s="13" t="s">
        <v>31</v>
      </c>
      <c r="C24">
        <v>69.839570114951059</v>
      </c>
      <c r="D24" s="14">
        <v>14.504757293535002</v>
      </c>
      <c r="E24" s="14">
        <v>10.975808168769772</v>
      </c>
      <c r="F24" s="14">
        <v>46.648343040069527</v>
      </c>
      <c r="G24" s="14">
        <v>18.155248662547272</v>
      </c>
      <c r="H24">
        <v>24.906213766601201</v>
      </c>
      <c r="I24">
        <v>21.569305055801582</v>
      </c>
      <c r="J24">
        <v>10.88470832483303</v>
      </c>
      <c r="K24">
        <v>14.689034484124289</v>
      </c>
      <c r="L24">
        <v>2.8803547435555958</v>
      </c>
      <c r="M24">
        <v>45.574423627014575</v>
      </c>
      <c r="N24">
        <v>91.335335209342986</v>
      </c>
    </row>
    <row r="25" spans="2:14" x14ac:dyDescent="0.2">
      <c r="B25" s="13" t="s">
        <v>32</v>
      </c>
      <c r="C25">
        <v>13.139919492096928</v>
      </c>
      <c r="D25" s="14">
        <v>53.046780062832639</v>
      </c>
      <c r="E25" s="14">
        <v>20.000865144847126</v>
      </c>
      <c r="F25" s="14">
        <v>7.0201953962017489</v>
      </c>
      <c r="G25" s="14">
        <v>23.1321224875749</v>
      </c>
      <c r="H25">
        <v>35.823761621201093</v>
      </c>
      <c r="I25">
        <v>17.871672494266619</v>
      </c>
      <c r="J25">
        <v>26.530391221321786</v>
      </c>
      <c r="K25">
        <v>22.215708409107513</v>
      </c>
      <c r="L25">
        <v>30.223977133966649</v>
      </c>
      <c r="M25">
        <v>49.356442611893257</v>
      </c>
      <c r="N25">
        <v>14.863444505348246</v>
      </c>
    </row>
    <row r="26" spans="2:14" x14ac:dyDescent="0.2">
      <c r="B26" s="13" t="s">
        <v>33</v>
      </c>
      <c r="C26">
        <v>25.143286125002994</v>
      </c>
      <c r="D26" s="14">
        <v>21.046982363193095</v>
      </c>
      <c r="E26" s="14">
        <v>31.331628735852338</v>
      </c>
      <c r="F26" s="14">
        <v>38.340068725103841</v>
      </c>
      <c r="G26" s="14">
        <v>1.6143338861576959</v>
      </c>
      <c r="H26">
        <v>15.122470943663121</v>
      </c>
      <c r="I26">
        <v>45.607640740189616</v>
      </c>
      <c r="J26">
        <v>39.004328428190917</v>
      </c>
      <c r="K26">
        <v>0.7620596274343967</v>
      </c>
      <c r="L26">
        <v>13.370408220036399</v>
      </c>
      <c r="M26">
        <v>41.166349803452881</v>
      </c>
      <c r="N26">
        <v>10.436921654399901</v>
      </c>
    </row>
    <row r="27" spans="2:14" x14ac:dyDescent="0.2">
      <c r="B27" s="13" t="s">
        <v>34</v>
      </c>
      <c r="C27">
        <v>0.59849322309669384</v>
      </c>
      <c r="D27" s="14">
        <v>19.173924319079415</v>
      </c>
      <c r="E27" s="14">
        <v>28.616564832215349</v>
      </c>
      <c r="F27" s="14">
        <v>19.498482589816113</v>
      </c>
      <c r="G27" s="14">
        <v>12.708714953738895</v>
      </c>
      <c r="H27">
        <v>26.8477331075586</v>
      </c>
      <c r="I27">
        <v>32.316105053429389</v>
      </c>
      <c r="J27">
        <v>28.688112156940086</v>
      </c>
      <c r="K27">
        <v>28.224056124491348</v>
      </c>
      <c r="L27">
        <v>9.9606261499786068</v>
      </c>
      <c r="M27">
        <v>29.573414289990012</v>
      </c>
      <c r="N27">
        <v>68.787389259072611</v>
      </c>
    </row>
    <row r="28" spans="2:14" ht="19.8" x14ac:dyDescent="0.2">
      <c r="B28" s="11" t="s">
        <v>36</v>
      </c>
      <c r="D28" s="14"/>
      <c r="E28" s="14"/>
      <c r="F28" s="14"/>
      <c r="G28" s="14"/>
    </row>
    <row r="29" spans="2:14" ht="13.8" x14ac:dyDescent="0.2">
      <c r="B29" s="12" t="s">
        <v>24</v>
      </c>
    </row>
    <row r="30" spans="2:14" x14ac:dyDescent="0.2">
      <c r="B30" s="13" t="s">
        <v>25</v>
      </c>
      <c r="C30">
        <v>49.917382019919415</v>
      </c>
      <c r="D30">
        <v>19.49622237437508</v>
      </c>
      <c r="E30">
        <v>52.013128434969389</v>
      </c>
      <c r="F30">
        <v>68.587236249260329</v>
      </c>
      <c r="G30">
        <v>42.340017787695103</v>
      </c>
      <c r="H30">
        <v>8.4116197939572768</v>
      </c>
      <c r="I30">
        <v>84.294353988309993</v>
      </c>
      <c r="J30">
        <v>44.322937835567892</v>
      </c>
      <c r="K30">
        <v>3.8462412433900814</v>
      </c>
      <c r="L30">
        <v>19.041215861863112</v>
      </c>
      <c r="M30">
        <v>22.478554457332365</v>
      </c>
      <c r="N30">
        <v>58.237275847289702</v>
      </c>
    </row>
    <row r="31" spans="2:14" x14ac:dyDescent="0.2">
      <c r="B31" s="13" t="s">
        <v>26</v>
      </c>
      <c r="C31">
        <v>16.233440668264642</v>
      </c>
      <c r="D31">
        <v>59.924532395928402</v>
      </c>
      <c r="E31">
        <v>19.906030082054784</v>
      </c>
      <c r="F31">
        <v>4.5558990460081308</v>
      </c>
      <c r="G31">
        <v>4.2701580530431142</v>
      </c>
      <c r="H31">
        <v>22.937889302531854</v>
      </c>
      <c r="I31">
        <v>31.466098314932708</v>
      </c>
      <c r="J31">
        <v>42.51094481568267</v>
      </c>
      <c r="K31">
        <v>3.1933020327804105</v>
      </c>
      <c r="L31">
        <v>34.584154899245419</v>
      </c>
      <c r="M31">
        <v>67.847532362638603</v>
      </c>
      <c r="N31">
        <v>63.37667178724984</v>
      </c>
    </row>
    <row r="32" spans="2:14" x14ac:dyDescent="0.2">
      <c r="B32" s="13" t="s">
        <v>27</v>
      </c>
      <c r="C32">
        <v>18.987399098279756</v>
      </c>
      <c r="D32">
        <v>44.326873980659293</v>
      </c>
      <c r="E32">
        <v>26.350136669126904</v>
      </c>
      <c r="F32">
        <v>31.989536012369527</v>
      </c>
      <c r="G32">
        <v>28.458299614844638</v>
      </c>
      <c r="H32">
        <v>40.816891060130658</v>
      </c>
      <c r="I32">
        <v>31.239174356065266</v>
      </c>
      <c r="J32">
        <v>4.7939377472099434</v>
      </c>
      <c r="K32">
        <v>40.316188035577504</v>
      </c>
      <c r="L32">
        <v>19.694181932905757</v>
      </c>
      <c r="M32">
        <v>18.248065435774897</v>
      </c>
      <c r="N32">
        <v>46.102108208679809</v>
      </c>
    </row>
    <row r="33" spans="2:14" x14ac:dyDescent="0.2">
      <c r="B33" s="13" t="s">
        <v>28</v>
      </c>
      <c r="C33">
        <v>16.36433403263451</v>
      </c>
      <c r="D33">
        <v>15.335891807036097</v>
      </c>
      <c r="E33">
        <v>8.4046870365234572</v>
      </c>
      <c r="F33">
        <v>32.038148884586391</v>
      </c>
      <c r="G33">
        <v>34.607623537383759</v>
      </c>
      <c r="H33">
        <v>3.553954597956495</v>
      </c>
      <c r="I33">
        <v>31.802752906979631</v>
      </c>
      <c r="J33">
        <v>28.201080429168893</v>
      </c>
      <c r="K33">
        <v>3.425135962062051</v>
      </c>
      <c r="L33">
        <v>1.9040393281764267</v>
      </c>
      <c r="M33">
        <v>45.417471597036887</v>
      </c>
      <c r="N33">
        <v>38.167434050597159</v>
      </c>
    </row>
    <row r="34" spans="2:14" x14ac:dyDescent="0.2">
      <c r="B34" s="13" t="s">
        <v>29</v>
      </c>
      <c r="C34">
        <v>13.637636402037177</v>
      </c>
      <c r="D34">
        <v>48.574489642917406</v>
      </c>
      <c r="E34">
        <v>42.490844574172499</v>
      </c>
      <c r="F34">
        <v>2.9217132175005993</v>
      </c>
      <c r="G34">
        <v>38.029841365689471</v>
      </c>
      <c r="H34">
        <v>7.0081389412225938</v>
      </c>
      <c r="I34">
        <v>15.693007757970708</v>
      </c>
      <c r="J34">
        <v>63.979767102336361</v>
      </c>
      <c r="K34">
        <v>34.424047664202511</v>
      </c>
      <c r="L34">
        <v>9.448418474026024</v>
      </c>
      <c r="M34">
        <v>40.043730848854558</v>
      </c>
      <c r="N34">
        <v>9.54055377034007</v>
      </c>
    </row>
    <row r="35" spans="2:14" x14ac:dyDescent="0.2">
      <c r="B35" s="13" t="s">
        <v>30</v>
      </c>
      <c r="C35">
        <v>7.0767586456517195</v>
      </c>
      <c r="D35">
        <v>30.799147508218386</v>
      </c>
      <c r="E35">
        <v>12.222887605435165</v>
      </c>
      <c r="F35">
        <v>1.5269010033761974</v>
      </c>
      <c r="G35">
        <v>95.014158232712759</v>
      </c>
      <c r="H35">
        <v>70.066664060304703</v>
      </c>
      <c r="I35">
        <v>17.469463070189796</v>
      </c>
      <c r="J35">
        <v>2.1070230286473595</v>
      </c>
      <c r="K35">
        <v>7.6002282984169689</v>
      </c>
      <c r="L35">
        <v>20.227802853418634</v>
      </c>
      <c r="M35">
        <v>55.755777726085739</v>
      </c>
      <c r="N35">
        <v>16.134280285693727</v>
      </c>
    </row>
    <row r="36" spans="2:14" x14ac:dyDescent="0.2">
      <c r="B36" s="13" t="s">
        <v>31</v>
      </c>
      <c r="C36">
        <v>43.727239161959567</v>
      </c>
      <c r="D36">
        <v>13.24152622666718</v>
      </c>
      <c r="E36">
        <v>1.1989394560506073</v>
      </c>
      <c r="F36">
        <v>15.734061438647585</v>
      </c>
      <c r="G36">
        <v>3.2742199718435403</v>
      </c>
      <c r="H36">
        <v>12.604853982082297</v>
      </c>
      <c r="I36">
        <v>41.284093457654542</v>
      </c>
      <c r="J36">
        <v>9.5499197005210625</v>
      </c>
      <c r="K36">
        <v>20.849990447827551</v>
      </c>
      <c r="L36">
        <v>20.330541354055029</v>
      </c>
      <c r="M36">
        <v>45.13856274190497</v>
      </c>
      <c r="N36">
        <v>2.961621947353489</v>
      </c>
    </row>
    <row r="37" spans="2:14" x14ac:dyDescent="0.2">
      <c r="B37" s="13" t="s">
        <v>32</v>
      </c>
      <c r="C37">
        <v>0.30706463824549557</v>
      </c>
      <c r="D37">
        <v>5.7483138790383776</v>
      </c>
      <c r="E37">
        <v>41.475679832316366</v>
      </c>
      <c r="F37">
        <v>42.531873044997035</v>
      </c>
      <c r="G37">
        <v>34.901549999768733</v>
      </c>
      <c r="H37">
        <v>29.54454891581112</v>
      </c>
      <c r="I37">
        <v>6.5543440882821953</v>
      </c>
      <c r="J37">
        <v>12.867844056634926</v>
      </c>
      <c r="K37">
        <v>12.890696063377817</v>
      </c>
      <c r="L37">
        <v>34.535340888140389</v>
      </c>
      <c r="M37">
        <v>22.366368185277537</v>
      </c>
      <c r="N37">
        <v>31.537032865644438</v>
      </c>
    </row>
    <row r="38" spans="2:14" x14ac:dyDescent="0.2">
      <c r="B38" s="13" t="s">
        <v>33</v>
      </c>
      <c r="C38">
        <v>16.641579248034606</v>
      </c>
      <c r="D38">
        <v>8.4269745340639286</v>
      </c>
      <c r="E38">
        <v>1.4194516427935173</v>
      </c>
      <c r="F38">
        <v>33.023209457669658</v>
      </c>
      <c r="G38">
        <v>48.384808587626999</v>
      </c>
      <c r="H38">
        <v>16.690174112828352</v>
      </c>
      <c r="I38">
        <v>33.292311096226236</v>
      </c>
      <c r="J38">
        <v>8.1760035753963187</v>
      </c>
      <c r="K38">
        <v>5.4364535191230452</v>
      </c>
      <c r="L38">
        <v>7.6269869053812922</v>
      </c>
      <c r="M38">
        <v>13.804760934812579</v>
      </c>
      <c r="N38">
        <v>1.824976210946476</v>
      </c>
    </row>
    <row r="39" spans="2:14" x14ac:dyDescent="0.2">
      <c r="B39" s="13" t="s">
        <v>34</v>
      </c>
      <c r="C39">
        <v>10.833769977790519</v>
      </c>
      <c r="D39">
        <v>39.606537294983688</v>
      </c>
      <c r="E39">
        <v>18.380131581757542</v>
      </c>
      <c r="F39">
        <v>9.8923085577045171</v>
      </c>
      <c r="G39">
        <v>63.652465512776836</v>
      </c>
      <c r="H39">
        <v>80.821517424988883</v>
      </c>
      <c r="I39">
        <v>18.569153359439387</v>
      </c>
      <c r="J39">
        <v>19.380344367791285</v>
      </c>
      <c r="K39">
        <v>28.456451748571947</v>
      </c>
      <c r="L39">
        <v>21.460882924920341</v>
      </c>
      <c r="M39">
        <v>5.7222552144531758</v>
      </c>
      <c r="N39">
        <v>14.834584092217513</v>
      </c>
    </row>
    <row r="40" spans="2:14" ht="13.8" x14ac:dyDescent="0.2">
      <c r="B40" s="12" t="s">
        <v>35</v>
      </c>
    </row>
    <row r="41" spans="2:14" x14ac:dyDescent="0.2">
      <c r="B41" s="13" t="s">
        <v>25</v>
      </c>
      <c r="C41">
        <v>68.509686785916401</v>
      </c>
      <c r="D41">
        <v>23.311880029749375</v>
      </c>
      <c r="E41">
        <v>10.848903230243655</v>
      </c>
      <c r="F41">
        <v>6.7080717988203062</v>
      </c>
      <c r="G41">
        <v>25.103329718828888</v>
      </c>
      <c r="H41">
        <v>37.58680924311431</v>
      </c>
      <c r="I41">
        <v>13.732024706935515</v>
      </c>
      <c r="J41">
        <v>1.3284247918719709</v>
      </c>
      <c r="K41">
        <v>55.606627494305449</v>
      </c>
      <c r="L41">
        <v>23.004258733056616</v>
      </c>
      <c r="M41">
        <v>79.496722353064243</v>
      </c>
      <c r="N41">
        <v>34.096283347173078</v>
      </c>
    </row>
    <row r="42" spans="2:14" x14ac:dyDescent="0.2">
      <c r="B42" s="13" t="s">
        <v>26</v>
      </c>
      <c r="C42">
        <v>13.041432566965621</v>
      </c>
      <c r="D42">
        <v>41.767808583823609</v>
      </c>
      <c r="E42">
        <v>21.916558190603652</v>
      </c>
      <c r="F42">
        <v>21.745064682742495</v>
      </c>
      <c r="G42">
        <v>5.7966299785866964</v>
      </c>
      <c r="H42">
        <v>75.296316192098033</v>
      </c>
      <c r="I42">
        <v>7.285966022883561E-2</v>
      </c>
      <c r="J42">
        <v>11.438010483736869</v>
      </c>
      <c r="K42">
        <v>9.7964947096887212</v>
      </c>
      <c r="L42">
        <v>30.271905696904838</v>
      </c>
      <c r="M42">
        <v>62.049582898088055</v>
      </c>
      <c r="N42">
        <v>30.479229947871712</v>
      </c>
    </row>
    <row r="43" spans="2:14" x14ac:dyDescent="0.2">
      <c r="B43" s="13" t="s">
        <v>27</v>
      </c>
      <c r="C43">
        <v>23.423771171719036</v>
      </c>
      <c r="D43">
        <v>8.791199936968777</v>
      </c>
      <c r="E43">
        <v>31.00332657464919</v>
      </c>
      <c r="F43">
        <v>16.064309797418293</v>
      </c>
      <c r="G43">
        <v>4.0700671706274258</v>
      </c>
      <c r="H43">
        <v>23.717039414417975</v>
      </c>
      <c r="I43">
        <v>5.9420175019570349</v>
      </c>
      <c r="J43">
        <v>57.728833120865751</v>
      </c>
      <c r="K43">
        <v>4.2172150485687441</v>
      </c>
      <c r="L43">
        <v>13.751772534902216</v>
      </c>
      <c r="M43">
        <v>8.7114613030077415</v>
      </c>
      <c r="N43">
        <v>29.622102118794693</v>
      </c>
    </row>
    <row r="44" spans="2:14" x14ac:dyDescent="0.2">
      <c r="B44" s="13" t="s">
        <v>28</v>
      </c>
      <c r="C44">
        <v>13.250760825797991</v>
      </c>
      <c r="D44">
        <v>4.493911902596408</v>
      </c>
      <c r="E44">
        <v>3.893264243937951</v>
      </c>
      <c r="F44">
        <v>33.939907455893163</v>
      </c>
      <c r="G44">
        <v>86.766471466695734</v>
      </c>
      <c r="H44">
        <v>6.8734428403645698</v>
      </c>
      <c r="I44">
        <v>46.775530525142251</v>
      </c>
      <c r="J44">
        <v>11.847216702484827</v>
      </c>
      <c r="K44">
        <v>25.392694133357367</v>
      </c>
      <c r="L44">
        <v>3.0383255574134473</v>
      </c>
      <c r="M44">
        <v>20.065623939644752</v>
      </c>
      <c r="N44">
        <v>2.107931499945126</v>
      </c>
    </row>
    <row r="45" spans="2:14" x14ac:dyDescent="0.2">
      <c r="B45" s="13" t="s">
        <v>29</v>
      </c>
      <c r="C45">
        <v>17.026083204565523</v>
      </c>
      <c r="D45">
        <v>35.378308060865336</v>
      </c>
      <c r="E45">
        <v>23.895634103934142</v>
      </c>
      <c r="F45">
        <v>15.797447624990575</v>
      </c>
      <c r="G45">
        <v>10.834598770137029</v>
      </c>
      <c r="H45">
        <v>8.9376842523974602</v>
      </c>
      <c r="I45">
        <v>50.272364534731615</v>
      </c>
      <c r="J45">
        <v>47.80189856145364</v>
      </c>
      <c r="K45">
        <v>47.245688620816658</v>
      </c>
      <c r="L45">
        <v>13.593619970175817</v>
      </c>
      <c r="M45">
        <v>11.003716948984874</v>
      </c>
      <c r="N45">
        <v>25.607743932766418</v>
      </c>
    </row>
    <row r="46" spans="2:14" x14ac:dyDescent="0.2">
      <c r="B46" s="13" t="s">
        <v>30</v>
      </c>
      <c r="C46">
        <v>15.253932049860996</v>
      </c>
      <c r="D46">
        <v>18.313636629402264</v>
      </c>
      <c r="E46">
        <v>6.6909946162179672</v>
      </c>
      <c r="F46">
        <v>66.021619125332933</v>
      </c>
      <c r="G46">
        <v>80.885698917485612</v>
      </c>
      <c r="H46">
        <v>18.865710812234649</v>
      </c>
      <c r="I46">
        <v>18.876499161239632</v>
      </c>
      <c r="J46">
        <v>43.609843404713132</v>
      </c>
      <c r="K46">
        <v>15.037882421181624</v>
      </c>
      <c r="L46">
        <v>18.828159850761878</v>
      </c>
      <c r="M46">
        <v>14.187903718651203</v>
      </c>
      <c r="N46">
        <v>9.3492326188098041</v>
      </c>
    </row>
    <row r="47" spans="2:14" x14ac:dyDescent="0.2">
      <c r="B47" s="13" t="s">
        <v>31</v>
      </c>
      <c r="C47">
        <v>7.920459456861197</v>
      </c>
      <c r="D47">
        <v>12.191389490765587</v>
      </c>
      <c r="E47">
        <v>17.18474749164384</v>
      </c>
      <c r="F47">
        <v>29.880711734422192</v>
      </c>
      <c r="G47">
        <v>46.879948286757426</v>
      </c>
      <c r="H47">
        <v>17.148379605651254</v>
      </c>
      <c r="I47">
        <v>64.213243135491055</v>
      </c>
      <c r="J47">
        <v>20.510381993339706</v>
      </c>
      <c r="K47">
        <v>41.126539815844275</v>
      </c>
      <c r="L47">
        <v>41.408460874770626</v>
      </c>
      <c r="M47">
        <v>30.454449805024741</v>
      </c>
      <c r="N47">
        <v>25.963746972586979</v>
      </c>
    </row>
    <row r="48" spans="2:14" x14ac:dyDescent="0.2">
      <c r="B48" s="13" t="s">
        <v>32</v>
      </c>
      <c r="C48">
        <v>10.633948796915389</v>
      </c>
      <c r="D48">
        <v>37.597192154092085</v>
      </c>
      <c r="E48">
        <v>3.1503660914237779</v>
      </c>
      <c r="F48">
        <v>6.3502823094472411</v>
      </c>
      <c r="G48">
        <v>31.704284562831653</v>
      </c>
      <c r="H48">
        <v>1.4383767261199054E-2</v>
      </c>
      <c r="I48">
        <v>16.015244693541622</v>
      </c>
      <c r="J48">
        <v>4.7454770891727787</v>
      </c>
      <c r="K48">
        <v>18.213627821505533</v>
      </c>
      <c r="L48">
        <v>18.124370837901015</v>
      </c>
      <c r="M48">
        <v>18.189547407786197</v>
      </c>
      <c r="N48">
        <v>40.309296795576934</v>
      </c>
    </row>
    <row r="49" spans="2:14" x14ac:dyDescent="0.2">
      <c r="B49" s="13" t="s">
        <v>33</v>
      </c>
      <c r="C49">
        <v>13.907426382459686</v>
      </c>
      <c r="D49">
        <v>27.618581669391737</v>
      </c>
      <c r="E49">
        <v>25.345884049550993</v>
      </c>
      <c r="F49">
        <v>28.142297828005603</v>
      </c>
      <c r="G49">
        <v>7.0283778950727518</v>
      </c>
      <c r="H49">
        <v>24.382734321330737</v>
      </c>
      <c r="I49">
        <v>1.8688867547196455</v>
      </c>
      <c r="J49">
        <v>19.187332284409031</v>
      </c>
      <c r="K49">
        <v>7.8630546642846522</v>
      </c>
      <c r="L49">
        <v>67.754529234200731</v>
      </c>
      <c r="M49">
        <v>7.4347555638770402</v>
      </c>
      <c r="N49">
        <v>31.016746864420305</v>
      </c>
    </row>
    <row r="50" spans="2:14" x14ac:dyDescent="0.2">
      <c r="B50" s="13" t="s">
        <v>34</v>
      </c>
      <c r="C50">
        <v>10.019151264701627</v>
      </c>
      <c r="D50">
        <v>47.818636765622394</v>
      </c>
      <c r="E50">
        <v>12.304676613499884</v>
      </c>
      <c r="F50">
        <v>6.631937256890617</v>
      </c>
      <c r="G50">
        <v>77.915887578879222</v>
      </c>
      <c r="H50">
        <v>33.47826804695972</v>
      </c>
      <c r="I50">
        <v>7.5482915785853484</v>
      </c>
      <c r="J50">
        <v>63.267392551287358</v>
      </c>
      <c r="K50">
        <v>7.8311372578585372</v>
      </c>
      <c r="L50">
        <v>2.6755574152798496</v>
      </c>
      <c r="M50">
        <v>62.016350223047297</v>
      </c>
      <c r="N50">
        <v>82.283619184899834</v>
      </c>
    </row>
    <row r="51" spans="2:14" x14ac:dyDescent="0.2">
      <c r="B51" s="13"/>
    </row>
    <row r="52" spans="2:14" ht="16.2" x14ac:dyDescent="0.2">
      <c r="B52" s="34" t="s">
        <v>37</v>
      </c>
    </row>
    <row r="53" spans="2:14" ht="19.8" x14ac:dyDescent="0.2">
      <c r="B53" s="11" t="s">
        <v>23</v>
      </c>
    </row>
    <row r="54" spans="2:14" ht="13.8" x14ac:dyDescent="0.2">
      <c r="B54" s="12" t="s">
        <v>24</v>
      </c>
    </row>
    <row r="55" spans="2:14" x14ac:dyDescent="0.2">
      <c r="B55" s="13" t="s">
        <v>25</v>
      </c>
      <c r="C55">
        <v>14.741586095684205</v>
      </c>
      <c r="D55">
        <v>0.2225291211880448</v>
      </c>
      <c r="E55">
        <v>29.058089666441056</v>
      </c>
      <c r="F55">
        <v>15.446215770346749</v>
      </c>
      <c r="G55">
        <v>28.229551648338777</v>
      </c>
      <c r="H55">
        <v>4.3920225737513841</v>
      </c>
      <c r="I55">
        <v>9.9694973872321686</v>
      </c>
      <c r="J55">
        <v>16.236112734485665</v>
      </c>
      <c r="K55">
        <v>11.746536016914407</v>
      </c>
      <c r="L55">
        <v>7.9047830075188479</v>
      </c>
      <c r="M55">
        <v>19.466813850539022</v>
      </c>
      <c r="N55">
        <v>30.43084307054583</v>
      </c>
    </row>
    <row r="56" spans="2:14" x14ac:dyDescent="0.2">
      <c r="B56" s="13" t="s">
        <v>26</v>
      </c>
      <c r="C56">
        <v>34.885628362616202</v>
      </c>
      <c r="D56">
        <v>23.642576363282892</v>
      </c>
      <c r="E56">
        <v>38.08095499501129</v>
      </c>
      <c r="F56">
        <v>11.666726707226644</v>
      </c>
      <c r="G56">
        <v>49.219159579902076</v>
      </c>
      <c r="H56">
        <v>2.3095820496723714</v>
      </c>
      <c r="I56">
        <v>34.998755790639933</v>
      </c>
      <c r="J56">
        <v>9.531144336564644</v>
      </c>
      <c r="K56">
        <v>27.788370513368498</v>
      </c>
      <c r="L56">
        <v>9.3936630581137948</v>
      </c>
      <c r="M56">
        <v>53.023202360322713</v>
      </c>
      <c r="N56">
        <v>19.487806620398381</v>
      </c>
    </row>
    <row r="57" spans="2:14" ht="13.8" x14ac:dyDescent="0.25">
      <c r="B57" s="13" t="s">
        <v>27</v>
      </c>
      <c r="C57" s="15">
        <v>4.0909481014330726</v>
      </c>
      <c r="D57" s="15">
        <v>80.303957530120627</v>
      </c>
      <c r="E57" s="15">
        <v>31.751146917507644</v>
      </c>
      <c r="F57" s="15">
        <v>43.699102009385065</v>
      </c>
      <c r="G57" s="15">
        <v>24.478209812614143</v>
      </c>
      <c r="H57" s="15">
        <v>49.214539620361869</v>
      </c>
      <c r="I57" s="15">
        <v>1.3908029731877001</v>
      </c>
      <c r="J57" s="15">
        <v>13.911101512084372</v>
      </c>
      <c r="K57" s="15">
        <v>0.71733015396803546</v>
      </c>
      <c r="L57" s="15">
        <v>39.505965257485954</v>
      </c>
      <c r="M57" s="15">
        <v>71.734219449255733</v>
      </c>
      <c r="N57" s="15">
        <v>10.276514232526061</v>
      </c>
    </row>
    <row r="58" spans="2:14" x14ac:dyDescent="0.2">
      <c r="B58" s="13" t="s">
        <v>28</v>
      </c>
      <c r="C58">
        <v>9.8472747531810327</v>
      </c>
      <c r="D58">
        <v>2.8020327358977171</v>
      </c>
      <c r="E58">
        <v>31.886020640370759</v>
      </c>
      <c r="F58">
        <v>26.419944821589063</v>
      </c>
      <c r="G58">
        <v>29.730123381185724</v>
      </c>
      <c r="H58">
        <v>11.945942757251961</v>
      </c>
      <c r="I58">
        <v>33.161864328153392</v>
      </c>
      <c r="J58">
        <v>49.330399827375714</v>
      </c>
      <c r="K58">
        <v>9.3467845059109642</v>
      </c>
      <c r="L58">
        <v>72.309926945561074</v>
      </c>
      <c r="M58">
        <v>9.2646484598303118</v>
      </c>
      <c r="N58">
        <v>4.2236140592427454</v>
      </c>
    </row>
    <row r="59" spans="2:14" x14ac:dyDescent="0.2">
      <c r="B59" s="13" t="s">
        <v>29</v>
      </c>
      <c r="C59">
        <v>9.320179798805496</v>
      </c>
      <c r="D59">
        <v>76.171961193713116</v>
      </c>
      <c r="E59">
        <v>45.467435846853085</v>
      </c>
      <c r="F59">
        <v>13.629793200671116</v>
      </c>
      <c r="G59">
        <v>13.396950117879939</v>
      </c>
      <c r="H59">
        <v>1.033599849414325</v>
      </c>
      <c r="I59">
        <v>13.691993387478441</v>
      </c>
      <c r="J59">
        <v>23.424455588770975</v>
      </c>
      <c r="K59">
        <v>1.1933014904681105</v>
      </c>
      <c r="L59">
        <v>44.150740723251459</v>
      </c>
      <c r="M59">
        <v>42.886423413449108</v>
      </c>
      <c r="N59">
        <v>73.370169538576334</v>
      </c>
    </row>
    <row r="60" spans="2:14" x14ac:dyDescent="0.2">
      <c r="B60" s="13" t="s">
        <v>30</v>
      </c>
      <c r="C60">
        <v>1.2818039963477879</v>
      </c>
      <c r="D60">
        <v>3.8409131510313861</v>
      </c>
      <c r="E60">
        <v>1.486846687551074</v>
      </c>
      <c r="F60">
        <v>30.651766921606331</v>
      </c>
      <c r="G60">
        <v>35.972381427609278</v>
      </c>
      <c r="H60">
        <v>2.503926039673634</v>
      </c>
      <c r="I60">
        <v>22.183524139347721</v>
      </c>
      <c r="J60">
        <v>51.734182577416007</v>
      </c>
      <c r="K60">
        <v>68.934654533716454</v>
      </c>
      <c r="L60">
        <v>72.723700284901966</v>
      </c>
      <c r="M60">
        <v>3.1699729983285359</v>
      </c>
      <c r="N60">
        <v>87.189585584263313</v>
      </c>
    </row>
    <row r="61" spans="2:14" x14ac:dyDescent="0.2">
      <c r="B61" s="13" t="s">
        <v>31</v>
      </c>
      <c r="C61">
        <v>7.7981467314828521</v>
      </c>
      <c r="D61">
        <v>4.5447555755175681</v>
      </c>
      <c r="E61">
        <v>76.202485808755824</v>
      </c>
      <c r="F61">
        <v>25.939220234797745</v>
      </c>
      <c r="G61">
        <v>65.142959262136401</v>
      </c>
      <c r="H61">
        <v>46.861588652617002</v>
      </c>
      <c r="I61">
        <v>27.029351134086998</v>
      </c>
      <c r="J61">
        <v>6.781004521019895</v>
      </c>
      <c r="K61">
        <v>22.283893445728754</v>
      </c>
      <c r="L61">
        <v>36.554048024394007</v>
      </c>
      <c r="M61">
        <v>19.42209155501336</v>
      </c>
      <c r="N61">
        <v>37.579403018533895</v>
      </c>
    </row>
    <row r="62" spans="2:14" x14ac:dyDescent="0.2">
      <c r="B62" s="13" t="s">
        <v>32</v>
      </c>
      <c r="C62">
        <v>32.431888105370163</v>
      </c>
      <c r="D62">
        <v>8.6217364189934855</v>
      </c>
      <c r="E62">
        <v>18.020063432899672</v>
      </c>
      <c r="F62">
        <v>9.6450071938101711</v>
      </c>
      <c r="G62">
        <v>8.181542237238288</v>
      </c>
      <c r="H62">
        <v>45.5217705938474</v>
      </c>
      <c r="I62">
        <v>44.313484689369382</v>
      </c>
      <c r="J62">
        <v>20.531002805429665</v>
      </c>
      <c r="K62">
        <v>59.709412353388068</v>
      </c>
      <c r="L62">
        <v>31.465266250669341</v>
      </c>
      <c r="M62">
        <v>34.053863078560596</v>
      </c>
      <c r="N62">
        <v>3.7273893645856004</v>
      </c>
    </row>
    <row r="63" spans="2:14" x14ac:dyDescent="0.2">
      <c r="B63" s="13" t="s">
        <v>33</v>
      </c>
      <c r="C63">
        <v>48.893271775432311</v>
      </c>
      <c r="D63">
        <v>32.952903187333476</v>
      </c>
      <c r="E63">
        <v>27.493833835092396</v>
      </c>
      <c r="F63">
        <v>12.560585155000849</v>
      </c>
      <c r="G63">
        <v>37.525543612101487</v>
      </c>
      <c r="H63">
        <v>10.837921208825309</v>
      </c>
      <c r="I63">
        <v>60.002689839465553</v>
      </c>
      <c r="J63">
        <v>19.947383016227718</v>
      </c>
      <c r="K63">
        <v>17.221395861092756</v>
      </c>
      <c r="L63">
        <v>36.693061673442465</v>
      </c>
      <c r="M63">
        <v>7.9434256657621702</v>
      </c>
      <c r="N63">
        <v>21.122722543731353</v>
      </c>
    </row>
    <row r="64" spans="2:14" x14ac:dyDescent="0.2">
      <c r="B64" s="13" t="s">
        <v>34</v>
      </c>
      <c r="C64">
        <v>1.2179167371261033</v>
      </c>
      <c r="D64">
        <v>5.484644121560402</v>
      </c>
      <c r="E64">
        <v>23.812185245679036</v>
      </c>
      <c r="F64">
        <v>6.3743584502603596</v>
      </c>
      <c r="G64">
        <v>53.08621540996495</v>
      </c>
      <c r="H64">
        <v>30.057138111642377</v>
      </c>
      <c r="I64">
        <v>25.969719267625599</v>
      </c>
      <c r="J64">
        <v>58.717597351323846</v>
      </c>
      <c r="K64">
        <v>39.507990263712919</v>
      </c>
      <c r="L64">
        <v>2.0891048871835323</v>
      </c>
      <c r="M64">
        <v>21.920693413856114</v>
      </c>
      <c r="N64">
        <v>7.604078098626081</v>
      </c>
    </row>
    <row r="65" spans="2:14" ht="13.8" x14ac:dyDescent="0.2">
      <c r="B65" s="12" t="s">
        <v>35</v>
      </c>
    </row>
    <row r="66" spans="2:14" x14ac:dyDescent="0.2">
      <c r="B66" s="13" t="s">
        <v>25</v>
      </c>
      <c r="C66">
        <v>16.87876644141436</v>
      </c>
      <c r="D66">
        <v>65.805172875300045</v>
      </c>
      <c r="E66">
        <v>25.394737412505954</v>
      </c>
      <c r="F66">
        <v>25.238270291531563</v>
      </c>
      <c r="G66">
        <v>4.9644413369715421</v>
      </c>
      <c r="H66">
        <v>10.576248028316165</v>
      </c>
      <c r="I66">
        <v>13.450354919432082</v>
      </c>
      <c r="J66">
        <v>1.4732017998943112</v>
      </c>
      <c r="K66">
        <v>18.584183967988025</v>
      </c>
      <c r="L66">
        <v>31.45186840583175</v>
      </c>
      <c r="M66">
        <v>22.675749190766162</v>
      </c>
      <c r="N66">
        <v>17.394592881554907</v>
      </c>
    </row>
    <row r="67" spans="2:14" x14ac:dyDescent="0.2">
      <c r="B67" s="13" t="s">
        <v>26</v>
      </c>
      <c r="C67">
        <v>62.900420247689873</v>
      </c>
      <c r="D67">
        <v>34.122020144647195</v>
      </c>
      <c r="E67">
        <v>39.19856636109413</v>
      </c>
      <c r="F67">
        <v>44.721616572186448</v>
      </c>
      <c r="G67">
        <v>6.1578118733423368</v>
      </c>
      <c r="H67">
        <v>56.992293471833648</v>
      </c>
      <c r="I67">
        <v>3.2060801396733885</v>
      </c>
      <c r="J67">
        <v>40.535083391883944</v>
      </c>
      <c r="K67">
        <v>43.183130667135131</v>
      </c>
      <c r="L67">
        <v>41.914110306434416</v>
      </c>
      <c r="M67">
        <v>18.1511046716988</v>
      </c>
      <c r="N67">
        <v>28.823068153663755</v>
      </c>
    </row>
    <row r="68" spans="2:14" x14ac:dyDescent="0.2">
      <c r="B68" s="13" t="s">
        <v>27</v>
      </c>
      <c r="C68">
        <v>40.459711072027787</v>
      </c>
      <c r="D68">
        <v>16.406949811446278</v>
      </c>
      <c r="E68">
        <v>2.64159757978635</v>
      </c>
      <c r="F68">
        <v>15.232877355498498</v>
      </c>
      <c r="G68">
        <v>32.526064624941476</v>
      </c>
      <c r="H68">
        <v>48.217740353696421</v>
      </c>
      <c r="I68">
        <v>6.8242805396269102</v>
      </c>
      <c r="J68">
        <v>12.652772721174006</v>
      </c>
      <c r="K68">
        <v>10.323215310911706</v>
      </c>
      <c r="L68">
        <v>49.785610660137529</v>
      </c>
      <c r="M68">
        <v>26.424340078583498</v>
      </c>
      <c r="N68">
        <v>23.167603360160303</v>
      </c>
    </row>
    <row r="69" spans="2:14" x14ac:dyDescent="0.2">
      <c r="B69" s="13" t="s">
        <v>28</v>
      </c>
      <c r="C69" s="16">
        <v>34.706566221408579</v>
      </c>
      <c r="D69" s="16">
        <v>26.740013515614486</v>
      </c>
      <c r="E69" s="16">
        <v>31.615372952399834</v>
      </c>
      <c r="F69" s="16">
        <v>90.026236493484717</v>
      </c>
      <c r="G69" s="16">
        <v>4.418127847812424</v>
      </c>
      <c r="H69" s="16">
        <v>15.740854330394418</v>
      </c>
      <c r="I69" s="16">
        <v>50.565902662881747</v>
      </c>
      <c r="J69" s="16">
        <v>55.014552198266976</v>
      </c>
      <c r="K69" s="16">
        <v>23.210360722574105</v>
      </c>
      <c r="L69" s="16">
        <v>82.672406668271591</v>
      </c>
      <c r="M69" s="16">
        <v>50.320556357431016</v>
      </c>
      <c r="N69" s="16">
        <v>31.588361786202341</v>
      </c>
    </row>
    <row r="70" spans="2:14" x14ac:dyDescent="0.2">
      <c r="B70" s="13" t="s">
        <v>29</v>
      </c>
      <c r="C70" s="16">
        <v>7.41234652979389</v>
      </c>
      <c r="D70" s="16">
        <v>8.1565618162394706</v>
      </c>
      <c r="E70" s="16">
        <v>4.20141899068184</v>
      </c>
      <c r="F70" s="16">
        <v>40.239172722548894</v>
      </c>
      <c r="G70" s="16">
        <v>38.24202075225233</v>
      </c>
      <c r="H70" s="16">
        <v>32.758209610296106</v>
      </c>
      <c r="I70" s="16">
        <v>64.598713647316458</v>
      </c>
      <c r="J70" s="16">
        <v>36.349326477669649</v>
      </c>
      <c r="K70" s="16">
        <v>2.2495956616202406</v>
      </c>
      <c r="L70" s="16">
        <v>20.102252406704121</v>
      </c>
      <c r="M70" s="16">
        <v>71.142318793802644</v>
      </c>
      <c r="N70" s="16">
        <v>7.1723749137082571</v>
      </c>
    </row>
    <row r="71" spans="2:14" x14ac:dyDescent="0.2">
      <c r="B71" s="13" t="s">
        <v>30</v>
      </c>
      <c r="C71" s="16">
        <v>41.215924999556236</v>
      </c>
      <c r="D71" s="16">
        <v>13.651169002292924</v>
      </c>
      <c r="E71" s="16">
        <v>28.606664025908188</v>
      </c>
      <c r="F71" s="16">
        <v>0.11968484689769499</v>
      </c>
      <c r="G71" s="16">
        <v>17.767860834824695</v>
      </c>
      <c r="H71" s="16">
        <v>8.8095265314794506</v>
      </c>
      <c r="I71" s="16">
        <v>6.8743386926721692</v>
      </c>
      <c r="J71" s="16">
        <v>11.181274134029771</v>
      </c>
      <c r="K71" s="16">
        <v>4.0036676721781728</v>
      </c>
      <c r="L71" s="16">
        <v>46.54648002838946</v>
      </c>
      <c r="M71" s="16">
        <v>48.37448823917785</v>
      </c>
      <c r="N71" s="16">
        <v>16.964918539184247</v>
      </c>
    </row>
    <row r="72" spans="2:14" x14ac:dyDescent="0.2">
      <c r="B72" s="13" t="s">
        <v>31</v>
      </c>
      <c r="C72">
        <v>0.92663594314479369</v>
      </c>
      <c r="D72">
        <v>44.632069250173643</v>
      </c>
      <c r="E72">
        <v>33.804651967948701</v>
      </c>
      <c r="F72">
        <v>40.62821732311992</v>
      </c>
      <c r="G72">
        <v>16.772940395292828</v>
      </c>
      <c r="H72">
        <v>12.433186936964249</v>
      </c>
      <c r="I72">
        <v>51.195785706568728</v>
      </c>
      <c r="J72">
        <v>13.929852646955421</v>
      </c>
      <c r="K72">
        <v>0.93885519271407925</v>
      </c>
      <c r="L72">
        <v>19.097792280216076</v>
      </c>
      <c r="M72">
        <v>33.536428334781903</v>
      </c>
      <c r="N72">
        <v>6.5351085023590008</v>
      </c>
    </row>
    <row r="73" spans="2:14" x14ac:dyDescent="0.2">
      <c r="B73" s="13" t="s">
        <v>32</v>
      </c>
      <c r="C73">
        <v>3.3150677048614017</v>
      </c>
      <c r="D73">
        <v>27.363792271724876</v>
      </c>
      <c r="E73">
        <v>75.388426147002193</v>
      </c>
      <c r="F73">
        <v>5.5710419856899813</v>
      </c>
      <c r="G73">
        <v>79.585908611199798</v>
      </c>
      <c r="H73">
        <v>12.970164930960895</v>
      </c>
      <c r="I73">
        <v>16.593010050782944</v>
      </c>
      <c r="J73">
        <v>92.704456946369092</v>
      </c>
      <c r="K73">
        <v>16.417150570876274</v>
      </c>
      <c r="L73">
        <v>25.849781826083099</v>
      </c>
      <c r="M73">
        <v>7.8886018357323602</v>
      </c>
      <c r="N73">
        <v>14.832285477624936</v>
      </c>
    </row>
    <row r="74" spans="2:14" x14ac:dyDescent="0.2">
      <c r="B74" s="13" t="s">
        <v>33</v>
      </c>
      <c r="C74">
        <v>42.586865961213498</v>
      </c>
      <c r="D74">
        <v>5.4990086416944024</v>
      </c>
      <c r="E74">
        <v>6.0565050893990451</v>
      </c>
      <c r="F74">
        <v>62.340037074458436</v>
      </c>
      <c r="G74">
        <v>13.698388564195172</v>
      </c>
      <c r="H74">
        <v>16.881794129505479</v>
      </c>
      <c r="I74">
        <v>28.312885740918116</v>
      </c>
      <c r="J74">
        <v>43.921669932871644</v>
      </c>
      <c r="K74">
        <v>81.742231249184755</v>
      </c>
      <c r="L74">
        <v>28.377685405002254</v>
      </c>
      <c r="M74">
        <v>23.37399531084338</v>
      </c>
      <c r="N74">
        <v>7.1324289359326833</v>
      </c>
    </row>
    <row r="75" spans="2:14" x14ac:dyDescent="0.2">
      <c r="B75" s="13" t="s">
        <v>34</v>
      </c>
      <c r="C75">
        <v>14.101421231256378</v>
      </c>
      <c r="D75">
        <v>40.818577256555834</v>
      </c>
      <c r="E75">
        <v>71.142190965121131</v>
      </c>
      <c r="F75">
        <v>11.714652029559742</v>
      </c>
      <c r="G75">
        <v>44.454897713036253</v>
      </c>
      <c r="H75">
        <v>21.246411368410186</v>
      </c>
      <c r="I75">
        <v>21.279047669464152</v>
      </c>
      <c r="J75">
        <v>17.334184701686073</v>
      </c>
      <c r="K75">
        <v>82.402629142485623</v>
      </c>
      <c r="L75">
        <v>10.017178903210567</v>
      </c>
      <c r="M75">
        <v>2.0783992187741331</v>
      </c>
      <c r="N75">
        <v>3.8380258687941264</v>
      </c>
    </row>
    <row r="76" spans="2:14" ht="19.8" x14ac:dyDescent="0.2">
      <c r="B76" s="11" t="s">
        <v>36</v>
      </c>
    </row>
    <row r="77" spans="2:14" ht="13.8" x14ac:dyDescent="0.2">
      <c r="B77" s="12" t="s">
        <v>24</v>
      </c>
    </row>
    <row r="78" spans="2:14" x14ac:dyDescent="0.2">
      <c r="B78" s="13" t="s">
        <v>25</v>
      </c>
      <c r="C78">
        <v>14.741586095684205</v>
      </c>
      <c r="D78">
        <v>0.2225291211880448</v>
      </c>
      <c r="E78">
        <v>58.116179332882112</v>
      </c>
      <c r="F78">
        <v>15.446215770346749</v>
      </c>
      <c r="G78">
        <v>28.229551648338777</v>
      </c>
      <c r="H78">
        <v>4.3920225737513841</v>
      </c>
      <c r="I78">
        <v>9.9694973872321686</v>
      </c>
      <c r="J78">
        <v>32.472225468971331</v>
      </c>
      <c r="K78">
        <v>23.493072033828813</v>
      </c>
      <c r="L78">
        <v>7.9047830075188479</v>
      </c>
      <c r="M78">
        <v>19.466813850539022</v>
      </c>
      <c r="N78">
        <v>30.43084307054583</v>
      </c>
    </row>
    <row r="79" spans="2:14" x14ac:dyDescent="0.2">
      <c r="B79" s="13" t="s">
        <v>26</v>
      </c>
      <c r="C79">
        <v>69.771256725232405</v>
      </c>
      <c r="D79">
        <v>23.642576363282892</v>
      </c>
      <c r="E79">
        <v>76.161909990022579</v>
      </c>
      <c r="F79">
        <v>11.666726707226644</v>
      </c>
      <c r="G79">
        <v>49.219159579902076</v>
      </c>
      <c r="H79">
        <v>4.6191640993447427</v>
      </c>
      <c r="I79">
        <v>34.998755790639933</v>
      </c>
      <c r="J79">
        <v>19.062288673129288</v>
      </c>
      <c r="K79">
        <v>27.788370513368498</v>
      </c>
      <c r="L79">
        <v>18.78732611622759</v>
      </c>
      <c r="M79">
        <v>106.04640472064543</v>
      </c>
      <c r="N79">
        <v>19.487806620398381</v>
      </c>
    </row>
    <row r="80" spans="2:14" x14ac:dyDescent="0.2">
      <c r="B80" s="13" t="s">
        <v>27</v>
      </c>
      <c r="C80">
        <v>8.1818962028661453</v>
      </c>
      <c r="D80">
        <v>80.303957530120627</v>
      </c>
      <c r="E80">
        <v>31.751146917507644</v>
      </c>
      <c r="F80">
        <v>87.39820401877013</v>
      </c>
      <c r="G80">
        <v>24.478209812614143</v>
      </c>
      <c r="H80">
        <v>49.214539620361869</v>
      </c>
      <c r="I80">
        <v>2.7816059463754002</v>
      </c>
      <c r="J80">
        <v>27.822203024168743</v>
      </c>
      <c r="K80">
        <v>1.4346603079360709</v>
      </c>
      <c r="L80">
        <v>39.505965257485954</v>
      </c>
      <c r="M80">
        <v>71.734219449255733</v>
      </c>
      <c r="N80">
        <v>10.276514232526061</v>
      </c>
    </row>
    <row r="81" spans="2:14" x14ac:dyDescent="0.2">
      <c r="B81" s="13" t="s">
        <v>28</v>
      </c>
      <c r="C81">
        <v>19.694549506362065</v>
      </c>
      <c r="D81">
        <v>5.6040654717954341</v>
      </c>
      <c r="E81">
        <v>63.772041280741519</v>
      </c>
      <c r="F81">
        <v>52.839889643178125</v>
      </c>
      <c r="G81">
        <v>59.460246762371447</v>
      </c>
      <c r="H81">
        <v>23.891885514503922</v>
      </c>
      <c r="I81">
        <v>66.323728656306784</v>
      </c>
      <c r="J81">
        <v>98.660799654751429</v>
      </c>
      <c r="K81">
        <v>9.3467845059109642</v>
      </c>
      <c r="L81">
        <v>144.61985389112215</v>
      </c>
      <c r="M81">
        <v>9.2646484598303118</v>
      </c>
      <c r="N81">
        <v>8.4472281184854907</v>
      </c>
    </row>
    <row r="82" spans="2:14" x14ac:dyDescent="0.2">
      <c r="B82" s="13" t="s">
        <v>29</v>
      </c>
      <c r="C82">
        <v>18.640359597610992</v>
      </c>
      <c r="D82">
        <v>76.171961193713116</v>
      </c>
      <c r="E82">
        <v>45.467435846853085</v>
      </c>
      <c r="F82">
        <v>27.259586401342233</v>
      </c>
      <c r="G82">
        <v>26.793900235759878</v>
      </c>
      <c r="H82">
        <v>2.0671996988286501</v>
      </c>
      <c r="I82">
        <v>27.383986774956881</v>
      </c>
      <c r="J82">
        <v>23.424455588770975</v>
      </c>
      <c r="K82">
        <v>1.1933014904681105</v>
      </c>
      <c r="L82">
        <v>88.301481446502919</v>
      </c>
      <c r="M82">
        <v>85.772846826898217</v>
      </c>
      <c r="N82">
        <v>73.370169538576334</v>
      </c>
    </row>
    <row r="83" spans="2:14" x14ac:dyDescent="0.2">
      <c r="B83" s="13" t="s">
        <v>30</v>
      </c>
      <c r="C83">
        <v>2.5636079926955757</v>
      </c>
      <c r="D83">
        <v>3.8409131510313861</v>
      </c>
      <c r="E83">
        <v>2.9736933751021479</v>
      </c>
      <c r="F83">
        <v>61.303533843212662</v>
      </c>
      <c r="G83">
        <v>71.944762855218556</v>
      </c>
      <c r="H83">
        <v>5.0078520793472681</v>
      </c>
      <c r="I83">
        <v>44.367048278695442</v>
      </c>
      <c r="J83">
        <v>103.46836515483201</v>
      </c>
      <c r="K83">
        <v>68.934654533716454</v>
      </c>
      <c r="L83">
        <v>145.44740056980393</v>
      </c>
      <c r="M83">
        <v>3.1699729983285359</v>
      </c>
      <c r="N83">
        <v>174.37917116852663</v>
      </c>
    </row>
    <row r="84" spans="2:14" x14ac:dyDescent="0.2">
      <c r="B84" s="13" t="s">
        <v>31</v>
      </c>
      <c r="C84">
        <v>15.596293462965704</v>
      </c>
      <c r="D84">
        <v>9.0895111510351363</v>
      </c>
      <c r="E84">
        <v>152.40497161751165</v>
      </c>
      <c r="F84">
        <v>51.878440469595489</v>
      </c>
      <c r="G84">
        <v>65.142959262136401</v>
      </c>
      <c r="H84">
        <v>93.723177305234003</v>
      </c>
      <c r="I84">
        <v>27.029351134086998</v>
      </c>
      <c r="J84">
        <v>13.56200904203979</v>
      </c>
      <c r="K84">
        <v>44.567786891457509</v>
      </c>
      <c r="L84">
        <v>73.108096048788013</v>
      </c>
      <c r="M84">
        <v>38.844183110026719</v>
      </c>
      <c r="N84">
        <v>37.579403018533895</v>
      </c>
    </row>
    <row r="85" spans="2:14" x14ac:dyDescent="0.2">
      <c r="B85" s="13" t="s">
        <v>32</v>
      </c>
      <c r="C85">
        <v>32.431888105370163</v>
      </c>
      <c r="D85">
        <v>8.6217364189934855</v>
      </c>
      <c r="E85">
        <v>18.020063432899672</v>
      </c>
      <c r="F85">
        <v>19.290014387620342</v>
      </c>
      <c r="G85">
        <v>16.363084474476576</v>
      </c>
      <c r="H85">
        <v>91.0435411876948</v>
      </c>
      <c r="I85">
        <v>88.626969378738764</v>
      </c>
      <c r="J85">
        <v>41.06200561085933</v>
      </c>
      <c r="K85">
        <v>59.709412353388068</v>
      </c>
      <c r="L85">
        <v>62.930532501338682</v>
      </c>
      <c r="M85">
        <v>68.107726157121192</v>
      </c>
      <c r="N85">
        <v>7.4547787291712009</v>
      </c>
    </row>
    <row r="86" spans="2:14" x14ac:dyDescent="0.2">
      <c r="B86" s="13" t="s">
        <v>33</v>
      </c>
      <c r="C86">
        <v>97.786543550864621</v>
      </c>
      <c r="D86">
        <v>65.905806374666952</v>
      </c>
      <c r="E86">
        <v>54.987667670184791</v>
      </c>
      <c r="F86">
        <v>25.121170310001698</v>
      </c>
      <c r="G86">
        <v>37.525543612101487</v>
      </c>
      <c r="H86">
        <v>21.675842417650617</v>
      </c>
      <c r="I86">
        <v>120.00537967893111</v>
      </c>
      <c r="J86">
        <v>19.947383016227718</v>
      </c>
      <c r="K86">
        <v>34.442791722185511</v>
      </c>
      <c r="L86">
        <v>36.693061673442465</v>
      </c>
      <c r="M86">
        <v>15.88685133152434</v>
      </c>
      <c r="N86">
        <v>42.245445087462706</v>
      </c>
    </row>
    <row r="87" spans="2:14" x14ac:dyDescent="0.2">
      <c r="B87" s="13" t="s">
        <v>34</v>
      </c>
      <c r="C87">
        <v>2.4358334742522065</v>
      </c>
      <c r="D87">
        <v>5.484644121560402</v>
      </c>
      <c r="E87">
        <v>23.812185245679036</v>
      </c>
      <c r="F87">
        <v>6.3743584502603596</v>
      </c>
      <c r="G87">
        <v>106.1724308199299</v>
      </c>
      <c r="H87">
        <v>30.057138111642377</v>
      </c>
      <c r="I87">
        <v>25.969719267625599</v>
      </c>
      <c r="J87">
        <v>117.43519470264769</v>
      </c>
      <c r="K87">
        <v>39.507990263712919</v>
      </c>
      <c r="L87">
        <v>4.1782097743670645</v>
      </c>
      <c r="M87">
        <v>43.841386827712228</v>
      </c>
      <c r="N87">
        <v>15.208156197252162</v>
      </c>
    </row>
    <row r="88" spans="2:14" ht="13.8" x14ac:dyDescent="0.2">
      <c r="B88" s="12" t="s">
        <v>35</v>
      </c>
    </row>
    <row r="89" spans="2:14" x14ac:dyDescent="0.2">
      <c r="B89" s="13" t="s">
        <v>25</v>
      </c>
      <c r="C89">
        <v>33.75753288282872</v>
      </c>
      <c r="D89">
        <v>65.805172875300045</v>
      </c>
      <c r="E89">
        <v>50.789474825011908</v>
      </c>
      <c r="F89">
        <v>25.238270291531563</v>
      </c>
      <c r="G89">
        <v>9.9288826739430842</v>
      </c>
      <c r="H89">
        <v>21.15249605663233</v>
      </c>
      <c r="I89">
        <v>26.900709838864163</v>
      </c>
      <c r="J89">
        <v>1.4732017998943112</v>
      </c>
      <c r="K89">
        <v>18.584183967988025</v>
      </c>
      <c r="L89">
        <v>31.45186840583175</v>
      </c>
      <c r="M89">
        <v>22.675749190766162</v>
      </c>
      <c r="N89">
        <v>17.394592881554907</v>
      </c>
    </row>
    <row r="90" spans="2:14" x14ac:dyDescent="0.2">
      <c r="B90" s="13" t="s">
        <v>26</v>
      </c>
      <c r="C90">
        <v>62.900420247689873</v>
      </c>
      <c r="D90">
        <v>68.244040289294389</v>
      </c>
      <c r="E90">
        <v>78.39713272218826</v>
      </c>
      <c r="F90">
        <v>89.443233144372897</v>
      </c>
      <c r="G90">
        <v>6.1578118733423368</v>
      </c>
      <c r="H90">
        <v>113.9845869436673</v>
      </c>
      <c r="I90">
        <v>3.2060801396733885</v>
      </c>
      <c r="J90">
        <v>40.535083391883944</v>
      </c>
      <c r="K90">
        <v>43.183130667135131</v>
      </c>
      <c r="L90">
        <v>83.828220612868833</v>
      </c>
      <c r="M90">
        <v>18.1511046716988</v>
      </c>
      <c r="N90">
        <v>57.646136307327509</v>
      </c>
    </row>
    <row r="91" spans="2:14" x14ac:dyDescent="0.2">
      <c r="B91" s="13" t="s">
        <v>27</v>
      </c>
      <c r="C91">
        <v>80.919422144055574</v>
      </c>
      <c r="D91">
        <v>32.813899622892556</v>
      </c>
      <c r="E91">
        <v>2.64159757978635</v>
      </c>
      <c r="F91">
        <v>15.232877355498498</v>
      </c>
      <c r="G91">
        <v>32.526064624941476</v>
      </c>
      <c r="H91">
        <v>48.217740353696421</v>
      </c>
      <c r="I91">
        <v>13.64856107925382</v>
      </c>
      <c r="J91">
        <v>12.652772721174006</v>
      </c>
      <c r="K91">
        <v>20.646430621823413</v>
      </c>
      <c r="L91">
        <v>49.785610660137529</v>
      </c>
      <c r="M91">
        <v>26.424340078583498</v>
      </c>
      <c r="N91">
        <v>46.335206720320606</v>
      </c>
    </row>
    <row r="92" spans="2:14" x14ac:dyDescent="0.2">
      <c r="B92" s="13" t="s">
        <v>28</v>
      </c>
      <c r="C92">
        <v>34.706566221408579</v>
      </c>
      <c r="D92">
        <v>26.740013515614486</v>
      </c>
      <c r="E92">
        <v>63.230745904799669</v>
      </c>
      <c r="F92">
        <v>180.05247298696943</v>
      </c>
      <c r="G92">
        <v>4.418127847812424</v>
      </c>
      <c r="H92">
        <v>15.740854330394418</v>
      </c>
      <c r="I92">
        <v>50.565902662881747</v>
      </c>
      <c r="J92">
        <v>55.014552198266976</v>
      </c>
      <c r="K92">
        <v>46.42072144514821</v>
      </c>
      <c r="L92">
        <v>82.672406668271591</v>
      </c>
      <c r="M92">
        <v>50.320556357431016</v>
      </c>
      <c r="N92">
        <v>31.588361786202341</v>
      </c>
    </row>
    <row r="93" spans="2:14" x14ac:dyDescent="0.2">
      <c r="B93" s="13" t="s">
        <v>29</v>
      </c>
      <c r="C93">
        <v>7.41234652979389</v>
      </c>
      <c r="D93">
        <v>8.1565618162394706</v>
      </c>
      <c r="E93">
        <v>8.40283798136368</v>
      </c>
      <c r="F93">
        <v>80.478345445097787</v>
      </c>
      <c r="G93">
        <v>38.24202075225233</v>
      </c>
      <c r="H93">
        <v>65.516419220592212</v>
      </c>
      <c r="I93">
        <v>64.598713647316458</v>
      </c>
      <c r="J93">
        <v>72.698652955339298</v>
      </c>
      <c r="K93">
        <v>2.2495956616202406</v>
      </c>
      <c r="L93">
        <v>40.204504813408242</v>
      </c>
      <c r="M93">
        <v>142.28463758760529</v>
      </c>
      <c r="N93">
        <v>14.344749827416514</v>
      </c>
    </row>
    <row r="94" spans="2:14" x14ac:dyDescent="0.2">
      <c r="B94" s="13" t="s">
        <v>30</v>
      </c>
      <c r="C94">
        <v>41.215924999556236</v>
      </c>
      <c r="D94">
        <v>27.302338004585849</v>
      </c>
      <c r="E94">
        <v>57.213328051816376</v>
      </c>
      <c r="F94">
        <v>0.23936969379538997</v>
      </c>
      <c r="G94">
        <v>35.535721669649391</v>
      </c>
      <c r="H94">
        <v>17.619053062958901</v>
      </c>
      <c r="I94">
        <v>13.748677385344338</v>
      </c>
      <c r="J94">
        <v>11.181274134029771</v>
      </c>
      <c r="K94">
        <v>4.0036676721781728</v>
      </c>
      <c r="L94">
        <v>93.092960056778921</v>
      </c>
      <c r="M94">
        <v>48.37448823917785</v>
      </c>
      <c r="N94">
        <v>33.929837078368493</v>
      </c>
    </row>
    <row r="95" spans="2:14" x14ac:dyDescent="0.2">
      <c r="B95" s="13" t="s">
        <v>31</v>
      </c>
      <c r="C95">
        <v>0.92663594314479369</v>
      </c>
      <c r="D95">
        <v>44.632069250173643</v>
      </c>
      <c r="E95">
        <v>33.804651967948701</v>
      </c>
      <c r="F95">
        <v>81.256434646239839</v>
      </c>
      <c r="G95">
        <v>16.772940395292828</v>
      </c>
      <c r="H95">
        <v>24.866373873928499</v>
      </c>
      <c r="I95">
        <v>51.195785706568728</v>
      </c>
      <c r="J95">
        <v>27.859705293910842</v>
      </c>
      <c r="K95">
        <v>1.8777103854281585</v>
      </c>
      <c r="L95">
        <v>38.195584560432152</v>
      </c>
      <c r="M95">
        <v>67.072856669563805</v>
      </c>
      <c r="N95">
        <v>6.5351085023590008</v>
      </c>
    </row>
    <row r="96" spans="2:14" x14ac:dyDescent="0.2">
      <c r="B96" s="13" t="s">
        <v>32</v>
      </c>
      <c r="C96">
        <v>3.3150677048614017</v>
      </c>
      <c r="D96">
        <v>27.363792271724876</v>
      </c>
      <c r="E96">
        <v>150.77685229400439</v>
      </c>
      <c r="F96">
        <v>11.142083971379963</v>
      </c>
      <c r="G96">
        <v>159.1718172223996</v>
      </c>
      <c r="H96">
        <v>12.970164930960895</v>
      </c>
      <c r="I96">
        <v>16.593010050782944</v>
      </c>
      <c r="J96">
        <v>185.40891389273818</v>
      </c>
      <c r="K96">
        <v>32.834301141752547</v>
      </c>
      <c r="L96">
        <v>25.849781826083099</v>
      </c>
      <c r="M96">
        <v>15.77720367146472</v>
      </c>
      <c r="N96">
        <v>14.832285477624936</v>
      </c>
    </row>
    <row r="97" spans="2:14" x14ac:dyDescent="0.2">
      <c r="B97" s="13" t="s">
        <v>33</v>
      </c>
      <c r="C97">
        <v>85.173731922426995</v>
      </c>
      <c r="D97">
        <v>10.998017283388805</v>
      </c>
      <c r="E97">
        <v>6.0565050893990451</v>
      </c>
      <c r="F97">
        <v>124.68007414891687</v>
      </c>
      <c r="G97">
        <v>27.396777128390344</v>
      </c>
      <c r="H97">
        <v>33.763588259010959</v>
      </c>
      <c r="I97">
        <v>56.625771481836232</v>
      </c>
      <c r="J97">
        <v>87.843339865743289</v>
      </c>
      <c r="K97">
        <v>163.48446249836951</v>
      </c>
      <c r="L97">
        <v>28.377685405002254</v>
      </c>
      <c r="M97">
        <v>46.74799062168676</v>
      </c>
      <c r="N97">
        <v>7.1324289359326833</v>
      </c>
    </row>
    <row r="98" spans="2:14" x14ac:dyDescent="0.2">
      <c r="B98" s="13" t="s">
        <v>34</v>
      </c>
      <c r="C98">
        <v>14.101421231256378</v>
      </c>
      <c r="D98">
        <v>40.818577256555834</v>
      </c>
      <c r="E98">
        <v>142.28438193024226</v>
      </c>
      <c r="F98">
        <v>23.429304059119485</v>
      </c>
      <c r="G98">
        <v>88.909795426072506</v>
      </c>
      <c r="H98">
        <v>21.246411368410186</v>
      </c>
      <c r="I98">
        <v>42.558095338928304</v>
      </c>
      <c r="J98">
        <v>17.334184701686073</v>
      </c>
      <c r="K98">
        <v>164.80525828497125</v>
      </c>
      <c r="L98">
        <v>10.017178903210567</v>
      </c>
      <c r="M98">
        <v>2.0783992187741331</v>
      </c>
      <c r="N98">
        <v>7.6760517375882529</v>
      </c>
    </row>
  </sheetData>
  <mergeCells count="1">
    <mergeCell ref="C4:N4"/>
  </mergeCells>
  <conditionalFormatting sqref="C7:G1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9"/>
  <sheetViews>
    <sheetView topLeftCell="A3" zoomScale="85" zoomScaleNormal="85" workbookViewId="0">
      <selection activeCell="C76" sqref="C76"/>
    </sheetView>
  </sheetViews>
  <sheetFormatPr defaultColWidth="9" defaultRowHeight="11.4" x14ac:dyDescent="0.2"/>
  <cols>
    <col min="1" max="1" width="80.5" customWidth="1"/>
    <col min="2" max="7" width="10.59765625" customWidth="1"/>
  </cols>
  <sheetData>
    <row r="1" spans="1:7" x14ac:dyDescent="0.2">
      <c r="B1" s="9">
        <v>44927</v>
      </c>
      <c r="C1" s="9">
        <v>44958</v>
      </c>
      <c r="D1" s="9">
        <v>44986</v>
      </c>
      <c r="E1" s="9">
        <v>45017</v>
      </c>
      <c r="F1" s="9">
        <v>45047</v>
      </c>
      <c r="G1" s="9">
        <v>45078</v>
      </c>
    </row>
    <row r="3" spans="1:7" x14ac:dyDescent="0.2">
      <c r="A3" t="s">
        <v>38</v>
      </c>
    </row>
    <row r="4" spans="1:7" x14ac:dyDescent="0.2">
      <c r="A4" t="s">
        <v>39</v>
      </c>
    </row>
    <row r="5" spans="1:7" ht="13.8" x14ac:dyDescent="0.25">
      <c r="A5" s="17" t="s">
        <v>40</v>
      </c>
    </row>
    <row r="7" spans="1:7" hidden="1" x14ac:dyDescent="0.2"/>
    <row r="8" spans="1:7" hidden="1" x14ac:dyDescent="0.2"/>
    <row r="9" spans="1:7" hidden="1" x14ac:dyDescent="0.2"/>
    <row r="10" spans="1:7" hidden="1" x14ac:dyDescent="0.2"/>
    <row r="11" spans="1:7" hidden="1" x14ac:dyDescent="0.2"/>
    <row r="12" spans="1:7" hidden="1" x14ac:dyDescent="0.2"/>
    <row r="13" spans="1:7" hidden="1" x14ac:dyDescent="0.2"/>
    <row r="14" spans="1:7" hidden="1" x14ac:dyDescent="0.2"/>
    <row r="15" spans="1:7" hidden="1" x14ac:dyDescent="0.2"/>
    <row r="16" spans="1:7" hidden="1" x14ac:dyDescent="0.2"/>
    <row r="17" spans="1:7" hidden="1" x14ac:dyDescent="0.2"/>
    <row r="19" spans="1:7" ht="13.8" x14ac:dyDescent="0.2">
      <c r="A19" s="18" t="s">
        <v>22</v>
      </c>
    </row>
    <row r="20" spans="1:7" ht="13.8" x14ac:dyDescent="0.2">
      <c r="A20" s="19" t="s">
        <v>23</v>
      </c>
    </row>
    <row r="21" spans="1:7" ht="13.8" x14ac:dyDescent="0.2">
      <c r="A21" s="20" t="s">
        <v>24</v>
      </c>
    </row>
    <row r="22" spans="1:7" ht="13.8" x14ac:dyDescent="0.2">
      <c r="A22" s="21" t="s">
        <v>25</v>
      </c>
      <c r="B22" s="26">
        <v>113</v>
      </c>
      <c r="C22" s="26">
        <v>110</v>
      </c>
      <c r="D22" s="26">
        <v>104</v>
      </c>
      <c r="E22" s="26">
        <v>164</v>
      </c>
      <c r="F22" s="26">
        <v>162</v>
      </c>
      <c r="G22" s="26">
        <v>136</v>
      </c>
    </row>
    <row r="23" spans="1:7" ht="13.8" x14ac:dyDescent="0.2">
      <c r="A23" s="21" t="s">
        <v>26</v>
      </c>
      <c r="B23" s="26">
        <v>114</v>
      </c>
      <c r="C23" s="26">
        <v>181</v>
      </c>
      <c r="D23" s="26">
        <v>126</v>
      </c>
      <c r="E23" s="26">
        <v>113</v>
      </c>
      <c r="F23" s="26">
        <v>156</v>
      </c>
      <c r="G23" s="26">
        <v>144</v>
      </c>
    </row>
    <row r="24" spans="1:7" ht="13.8" x14ac:dyDescent="0.2">
      <c r="A24" s="21" t="s">
        <v>27</v>
      </c>
      <c r="B24" s="26">
        <v>157</v>
      </c>
      <c r="C24" s="26">
        <v>129</v>
      </c>
      <c r="D24" s="26">
        <v>120</v>
      </c>
      <c r="E24" s="26">
        <v>111</v>
      </c>
      <c r="F24" s="26">
        <v>124</v>
      </c>
      <c r="G24" s="26">
        <v>177</v>
      </c>
    </row>
    <row r="25" spans="1:7" ht="13.8" x14ac:dyDescent="0.2">
      <c r="A25" s="21" t="s">
        <v>28</v>
      </c>
      <c r="B25" s="26">
        <v>153</v>
      </c>
      <c r="C25" s="26">
        <v>190</v>
      </c>
      <c r="D25" s="26">
        <v>186</v>
      </c>
      <c r="E25" s="26">
        <v>124</v>
      </c>
      <c r="F25" s="26">
        <v>164</v>
      </c>
      <c r="G25" s="26">
        <v>112</v>
      </c>
    </row>
    <row r="26" spans="1:7" ht="13.8" x14ac:dyDescent="0.2">
      <c r="A26" s="21" t="s">
        <v>29</v>
      </c>
      <c r="B26" s="26">
        <v>182</v>
      </c>
      <c r="C26" s="26">
        <v>174</v>
      </c>
      <c r="D26" s="26">
        <v>171</v>
      </c>
      <c r="E26" s="26">
        <v>186</v>
      </c>
      <c r="F26" s="26">
        <v>104</v>
      </c>
      <c r="G26" s="26">
        <v>187</v>
      </c>
    </row>
    <row r="27" spans="1:7" ht="13.8" x14ac:dyDescent="0.2">
      <c r="A27" s="21" t="s">
        <v>30</v>
      </c>
      <c r="B27" s="26">
        <v>190</v>
      </c>
      <c r="C27" s="26">
        <v>130</v>
      </c>
      <c r="D27" s="26">
        <v>162</v>
      </c>
      <c r="E27" s="26">
        <v>120</v>
      </c>
      <c r="F27" s="26">
        <v>143</v>
      </c>
      <c r="G27" s="26">
        <v>101</v>
      </c>
    </row>
    <row r="28" spans="1:7" ht="13.8" x14ac:dyDescent="0.2">
      <c r="A28" s="21" t="s">
        <v>31</v>
      </c>
      <c r="B28" s="26">
        <v>193</v>
      </c>
      <c r="C28" s="26">
        <v>196</v>
      </c>
      <c r="D28" s="26">
        <v>138</v>
      </c>
      <c r="E28" s="26">
        <v>162</v>
      </c>
      <c r="F28" s="26">
        <v>131</v>
      </c>
      <c r="G28" s="26">
        <v>112</v>
      </c>
    </row>
    <row r="29" spans="1:7" ht="13.8" x14ac:dyDescent="0.2">
      <c r="A29" s="21" t="s">
        <v>32</v>
      </c>
      <c r="B29" s="26">
        <v>139</v>
      </c>
      <c r="C29" s="26">
        <v>130</v>
      </c>
      <c r="D29" s="26">
        <v>200</v>
      </c>
      <c r="E29" s="26">
        <v>102</v>
      </c>
      <c r="F29" s="26">
        <v>130</v>
      </c>
      <c r="G29" s="26">
        <v>156</v>
      </c>
    </row>
    <row r="30" spans="1:7" ht="13.8" x14ac:dyDescent="0.2">
      <c r="A30" s="21" t="s">
        <v>33</v>
      </c>
      <c r="B30" s="26">
        <v>157</v>
      </c>
      <c r="C30" s="26">
        <v>130</v>
      </c>
      <c r="D30" s="26">
        <v>101</v>
      </c>
      <c r="E30" s="26">
        <v>103</v>
      </c>
      <c r="F30" s="26">
        <v>155</v>
      </c>
      <c r="G30" s="26">
        <v>166</v>
      </c>
    </row>
    <row r="31" spans="1:7" ht="13.8" x14ac:dyDescent="0.2">
      <c r="A31" s="21" t="s">
        <v>34</v>
      </c>
      <c r="B31" s="26">
        <v>190</v>
      </c>
      <c r="C31" s="26">
        <v>148</v>
      </c>
      <c r="D31" s="26">
        <v>103</v>
      </c>
      <c r="E31" s="26">
        <v>147</v>
      </c>
      <c r="F31" s="26">
        <v>163</v>
      </c>
      <c r="G31" s="26">
        <v>135</v>
      </c>
    </row>
    <row r="32" spans="1:7" ht="13.8" x14ac:dyDescent="0.2">
      <c r="A32" s="20" t="s">
        <v>35</v>
      </c>
      <c r="B32" s="26"/>
      <c r="C32" s="26"/>
      <c r="D32" s="26"/>
      <c r="E32" s="26"/>
      <c r="F32" s="26"/>
      <c r="G32" s="26"/>
    </row>
    <row r="33" spans="1:7" ht="13.8" x14ac:dyDescent="0.2">
      <c r="A33" s="21" t="s">
        <v>25</v>
      </c>
      <c r="B33" s="26">
        <v>388</v>
      </c>
      <c r="C33" s="26">
        <v>318</v>
      </c>
      <c r="D33" s="26">
        <v>345</v>
      </c>
      <c r="E33" s="26">
        <v>311</v>
      </c>
      <c r="F33" s="26">
        <v>383</v>
      </c>
      <c r="G33" s="26">
        <v>383</v>
      </c>
    </row>
    <row r="34" spans="1:7" ht="13.8" x14ac:dyDescent="0.2">
      <c r="A34" s="21" t="s">
        <v>26</v>
      </c>
      <c r="B34" s="26">
        <v>323</v>
      </c>
      <c r="C34" s="26">
        <v>364</v>
      </c>
      <c r="D34" s="26">
        <v>333</v>
      </c>
      <c r="E34" s="26">
        <v>331</v>
      </c>
      <c r="F34" s="26">
        <v>301</v>
      </c>
      <c r="G34" s="26">
        <v>386</v>
      </c>
    </row>
    <row r="35" spans="1:7" ht="13.8" x14ac:dyDescent="0.2">
      <c r="A35" s="21" t="s">
        <v>27</v>
      </c>
      <c r="B35" s="26">
        <v>372</v>
      </c>
      <c r="C35" s="26">
        <v>300</v>
      </c>
      <c r="D35" s="26">
        <v>314</v>
      </c>
      <c r="E35" s="26">
        <v>383</v>
      </c>
      <c r="F35" s="26">
        <v>331</v>
      </c>
      <c r="G35" s="26">
        <v>383</v>
      </c>
    </row>
    <row r="36" spans="1:7" ht="13.8" x14ac:dyDescent="0.2">
      <c r="A36" s="21" t="s">
        <v>28</v>
      </c>
      <c r="B36" s="26">
        <v>365</v>
      </c>
      <c r="C36" s="26">
        <v>399</v>
      </c>
      <c r="D36" s="26">
        <v>375</v>
      </c>
      <c r="E36" s="26">
        <v>329</v>
      </c>
      <c r="F36" s="26">
        <v>395</v>
      </c>
      <c r="G36" s="26">
        <v>364</v>
      </c>
    </row>
    <row r="37" spans="1:7" ht="13.8" x14ac:dyDescent="0.2">
      <c r="A37" s="21" t="s">
        <v>29</v>
      </c>
      <c r="B37" s="26">
        <v>344</v>
      </c>
      <c r="C37" s="26">
        <v>354</v>
      </c>
      <c r="D37" s="26">
        <v>374</v>
      </c>
      <c r="E37" s="26">
        <v>380</v>
      </c>
      <c r="F37" s="26">
        <v>366</v>
      </c>
      <c r="G37" s="26">
        <v>303</v>
      </c>
    </row>
    <row r="38" spans="1:7" ht="13.8" x14ac:dyDescent="0.2">
      <c r="A38" s="21" t="s">
        <v>30</v>
      </c>
      <c r="B38" s="26">
        <v>335</v>
      </c>
      <c r="C38" s="26">
        <v>338</v>
      </c>
      <c r="D38" s="26">
        <v>382</v>
      </c>
      <c r="E38" s="26">
        <v>398</v>
      </c>
      <c r="F38" s="26">
        <v>335</v>
      </c>
      <c r="G38" s="26">
        <v>391</v>
      </c>
    </row>
    <row r="39" spans="1:7" ht="13.8" x14ac:dyDescent="0.2">
      <c r="A39" s="21" t="s">
        <v>31</v>
      </c>
      <c r="B39" s="26">
        <v>381</v>
      </c>
      <c r="C39" s="26">
        <v>327</v>
      </c>
      <c r="D39" s="26">
        <v>338</v>
      </c>
      <c r="E39" s="26">
        <v>306</v>
      </c>
      <c r="F39" s="26">
        <v>369</v>
      </c>
      <c r="G39" s="26">
        <v>306</v>
      </c>
    </row>
    <row r="40" spans="1:7" ht="13.8" x14ac:dyDescent="0.2">
      <c r="A40" s="21" t="s">
        <v>32</v>
      </c>
      <c r="B40" s="26">
        <v>339</v>
      </c>
      <c r="C40" s="26">
        <v>336</v>
      </c>
      <c r="D40" s="26">
        <v>397</v>
      </c>
      <c r="E40" s="26">
        <v>330</v>
      </c>
      <c r="F40" s="26">
        <v>393</v>
      </c>
      <c r="G40" s="26">
        <v>324</v>
      </c>
    </row>
    <row r="41" spans="1:7" ht="13.8" x14ac:dyDescent="0.2">
      <c r="A41" s="21" t="s">
        <v>33</v>
      </c>
      <c r="B41" s="26">
        <v>344</v>
      </c>
      <c r="C41" s="26">
        <v>336</v>
      </c>
      <c r="D41" s="26">
        <v>344</v>
      </c>
      <c r="E41" s="26">
        <v>332</v>
      </c>
      <c r="F41" s="26">
        <v>336</v>
      </c>
      <c r="G41" s="26">
        <v>383</v>
      </c>
    </row>
    <row r="42" spans="1:7" ht="13.8" x14ac:dyDescent="0.2">
      <c r="A42" s="21" t="s">
        <v>34</v>
      </c>
      <c r="B42" s="26">
        <v>327</v>
      </c>
      <c r="C42" s="26">
        <v>383</v>
      </c>
      <c r="D42" s="26">
        <v>375</v>
      </c>
      <c r="E42" s="26">
        <v>383</v>
      </c>
      <c r="F42" s="26">
        <v>304</v>
      </c>
      <c r="G42" s="26">
        <v>382</v>
      </c>
    </row>
    <row r="43" spans="1:7" ht="13.8" x14ac:dyDescent="0.2">
      <c r="A43" s="19" t="s">
        <v>36</v>
      </c>
      <c r="B43" s="26"/>
      <c r="C43" s="26"/>
      <c r="D43" s="26"/>
      <c r="E43" s="26"/>
      <c r="F43" s="26"/>
      <c r="G43" s="26"/>
    </row>
    <row r="44" spans="1:7" ht="13.8" x14ac:dyDescent="0.2">
      <c r="A44" s="20" t="s">
        <v>24</v>
      </c>
      <c r="B44" s="26"/>
      <c r="C44" s="26"/>
      <c r="D44" s="26"/>
      <c r="E44" s="26"/>
      <c r="F44" s="26"/>
      <c r="G44" s="26"/>
    </row>
    <row r="45" spans="1:7" ht="13.8" x14ac:dyDescent="0.2">
      <c r="A45" s="21" t="s">
        <v>25</v>
      </c>
      <c r="B45" s="26">
        <v>199</v>
      </c>
      <c r="C45" s="26">
        <v>107</v>
      </c>
      <c r="D45" s="26">
        <v>115</v>
      </c>
      <c r="E45" s="26">
        <v>196</v>
      </c>
      <c r="F45" s="26">
        <v>149</v>
      </c>
      <c r="G45" s="26">
        <v>148</v>
      </c>
    </row>
    <row r="46" spans="1:7" ht="13.8" x14ac:dyDescent="0.2">
      <c r="A46" s="21" t="s">
        <v>26</v>
      </c>
      <c r="B46" s="26">
        <v>164</v>
      </c>
      <c r="C46" s="26">
        <v>115</v>
      </c>
      <c r="D46" s="26">
        <v>133</v>
      </c>
      <c r="E46" s="26">
        <v>119</v>
      </c>
      <c r="F46" s="26">
        <v>150</v>
      </c>
      <c r="G46" s="26">
        <v>116</v>
      </c>
    </row>
    <row r="47" spans="1:7" ht="13.8" x14ac:dyDescent="0.2">
      <c r="A47" s="21" t="s">
        <v>27</v>
      </c>
      <c r="B47" s="26">
        <v>114</v>
      </c>
      <c r="C47" s="26">
        <v>150</v>
      </c>
      <c r="D47" s="26">
        <v>114</v>
      </c>
      <c r="E47" s="26">
        <v>107</v>
      </c>
      <c r="F47" s="26">
        <v>104</v>
      </c>
      <c r="G47" s="26">
        <v>193</v>
      </c>
    </row>
    <row r="48" spans="1:7" ht="13.8" x14ac:dyDescent="0.2">
      <c r="A48" s="21" t="s">
        <v>28</v>
      </c>
      <c r="B48" s="26">
        <v>106</v>
      </c>
      <c r="C48" s="26">
        <v>117</v>
      </c>
      <c r="D48" s="26">
        <v>167</v>
      </c>
      <c r="E48" s="26">
        <v>197</v>
      </c>
      <c r="F48" s="26">
        <v>122</v>
      </c>
      <c r="G48" s="26">
        <v>178</v>
      </c>
    </row>
    <row r="49" spans="1:7" ht="13.8" x14ac:dyDescent="0.2">
      <c r="A49" s="21" t="s">
        <v>29</v>
      </c>
      <c r="B49" s="26">
        <v>119</v>
      </c>
      <c r="C49" s="26">
        <v>138</v>
      </c>
      <c r="D49" s="26">
        <v>101</v>
      </c>
      <c r="E49" s="26">
        <v>110</v>
      </c>
      <c r="F49" s="26">
        <v>153</v>
      </c>
      <c r="G49" s="26">
        <v>140</v>
      </c>
    </row>
    <row r="50" spans="1:7" ht="13.8" x14ac:dyDescent="0.2">
      <c r="A50" s="21" t="s">
        <v>30</v>
      </c>
      <c r="B50" s="26">
        <v>166</v>
      </c>
      <c r="C50" s="26">
        <v>121</v>
      </c>
      <c r="D50" s="26">
        <v>175</v>
      </c>
      <c r="E50" s="26">
        <v>127</v>
      </c>
      <c r="F50" s="26">
        <v>138</v>
      </c>
      <c r="G50" s="26">
        <v>195</v>
      </c>
    </row>
    <row r="51" spans="1:7" ht="13.8" x14ac:dyDescent="0.2">
      <c r="A51" s="21" t="s">
        <v>31</v>
      </c>
      <c r="B51" s="26">
        <v>156</v>
      </c>
      <c r="C51" s="26">
        <v>183</v>
      </c>
      <c r="D51" s="26">
        <v>180</v>
      </c>
      <c r="E51" s="26">
        <v>141</v>
      </c>
      <c r="F51" s="26">
        <v>144</v>
      </c>
      <c r="G51" s="26">
        <v>100</v>
      </c>
    </row>
    <row r="52" spans="1:7" ht="13.8" x14ac:dyDescent="0.2">
      <c r="A52" s="21" t="s">
        <v>32</v>
      </c>
      <c r="B52" s="26">
        <v>120</v>
      </c>
      <c r="C52" s="26">
        <v>156</v>
      </c>
      <c r="D52" s="26">
        <v>162</v>
      </c>
      <c r="E52" s="26">
        <v>114</v>
      </c>
      <c r="F52" s="26">
        <v>152</v>
      </c>
      <c r="G52" s="26">
        <v>171</v>
      </c>
    </row>
    <row r="53" spans="1:7" ht="13.8" x14ac:dyDescent="0.2">
      <c r="A53" s="21" t="s">
        <v>33</v>
      </c>
      <c r="B53" s="26">
        <v>105</v>
      </c>
      <c r="C53" s="26">
        <v>140</v>
      </c>
      <c r="D53" s="26">
        <v>199</v>
      </c>
      <c r="E53" s="26">
        <v>156</v>
      </c>
      <c r="F53" s="26">
        <v>197</v>
      </c>
      <c r="G53" s="26">
        <v>179</v>
      </c>
    </row>
    <row r="54" spans="1:7" ht="13.8" x14ac:dyDescent="0.2">
      <c r="A54" s="21" t="s">
        <v>34</v>
      </c>
      <c r="B54" s="26">
        <v>147</v>
      </c>
      <c r="C54" s="26">
        <v>127</v>
      </c>
      <c r="D54" s="26">
        <v>169</v>
      </c>
      <c r="E54" s="26">
        <v>162</v>
      </c>
      <c r="F54" s="26">
        <v>142</v>
      </c>
      <c r="G54" s="26">
        <v>188</v>
      </c>
    </row>
    <row r="55" spans="1:7" ht="13.8" x14ac:dyDescent="0.2">
      <c r="A55" s="20" t="s">
        <v>35</v>
      </c>
      <c r="B55" s="26"/>
      <c r="C55" s="26"/>
      <c r="D55" s="26"/>
      <c r="E55" s="26"/>
      <c r="F55" s="26"/>
      <c r="G55" s="26"/>
    </row>
    <row r="56" spans="1:7" ht="13.8" x14ac:dyDescent="0.2">
      <c r="A56" s="21" t="s">
        <v>25</v>
      </c>
      <c r="B56" s="26">
        <v>315</v>
      </c>
      <c r="C56" s="26">
        <v>395</v>
      </c>
      <c r="D56" s="26">
        <v>361</v>
      </c>
      <c r="E56" s="26">
        <v>318</v>
      </c>
      <c r="F56" s="26">
        <v>365</v>
      </c>
      <c r="G56" s="26">
        <v>368</v>
      </c>
    </row>
    <row r="57" spans="1:7" ht="13.8" x14ac:dyDescent="0.2">
      <c r="A57" s="21" t="s">
        <v>26</v>
      </c>
      <c r="B57" s="26">
        <v>328</v>
      </c>
      <c r="C57" s="26">
        <v>364</v>
      </c>
      <c r="D57" s="26">
        <v>313</v>
      </c>
      <c r="E57" s="26">
        <v>363</v>
      </c>
      <c r="F57" s="26">
        <v>367</v>
      </c>
      <c r="G57" s="26">
        <v>374</v>
      </c>
    </row>
    <row r="58" spans="1:7" ht="13.8" x14ac:dyDescent="0.2">
      <c r="A58" s="21" t="s">
        <v>27</v>
      </c>
      <c r="B58" s="26">
        <v>348</v>
      </c>
      <c r="C58" s="26">
        <v>374</v>
      </c>
      <c r="D58" s="26">
        <v>338</v>
      </c>
      <c r="E58" s="26">
        <v>374</v>
      </c>
      <c r="F58" s="26">
        <v>370</v>
      </c>
      <c r="G58" s="26">
        <v>375</v>
      </c>
    </row>
    <row r="59" spans="1:7" ht="13.8" x14ac:dyDescent="0.2">
      <c r="A59" s="21" t="s">
        <v>28</v>
      </c>
      <c r="B59" s="26">
        <v>389</v>
      </c>
      <c r="C59" s="26">
        <v>300</v>
      </c>
      <c r="D59" s="26">
        <v>362</v>
      </c>
      <c r="E59" s="26">
        <v>388</v>
      </c>
      <c r="F59" s="26">
        <v>334</v>
      </c>
      <c r="G59" s="26">
        <v>342</v>
      </c>
    </row>
    <row r="60" spans="1:7" ht="13.8" x14ac:dyDescent="0.2">
      <c r="A60" s="21" t="s">
        <v>29</v>
      </c>
      <c r="B60" s="26">
        <v>324</v>
      </c>
      <c r="C60" s="26">
        <v>331</v>
      </c>
      <c r="D60" s="26">
        <v>305</v>
      </c>
      <c r="E60" s="26">
        <v>319</v>
      </c>
      <c r="F60" s="26">
        <v>395</v>
      </c>
      <c r="G60" s="26">
        <v>354</v>
      </c>
    </row>
    <row r="61" spans="1:7" ht="13.8" x14ac:dyDescent="0.2">
      <c r="A61" s="21" t="s">
        <v>30</v>
      </c>
      <c r="B61" s="26">
        <v>372</v>
      </c>
      <c r="C61" s="26">
        <v>349</v>
      </c>
      <c r="D61" s="26">
        <v>386</v>
      </c>
      <c r="E61" s="26">
        <v>371</v>
      </c>
      <c r="F61" s="26">
        <v>346</v>
      </c>
      <c r="G61" s="26">
        <v>358</v>
      </c>
    </row>
    <row r="62" spans="1:7" ht="13.8" x14ac:dyDescent="0.2">
      <c r="A62" s="21" t="s">
        <v>31</v>
      </c>
      <c r="B62" s="26">
        <v>395</v>
      </c>
      <c r="C62" s="26">
        <v>331</v>
      </c>
      <c r="D62" s="26">
        <v>323</v>
      </c>
      <c r="E62" s="26">
        <v>300</v>
      </c>
      <c r="F62" s="26">
        <v>365</v>
      </c>
      <c r="G62" s="26">
        <v>390</v>
      </c>
    </row>
    <row r="63" spans="1:7" ht="13.8" x14ac:dyDescent="0.2">
      <c r="A63" s="21" t="s">
        <v>32</v>
      </c>
      <c r="B63" s="26">
        <v>366</v>
      </c>
      <c r="C63" s="26">
        <v>303</v>
      </c>
      <c r="D63" s="26">
        <v>371</v>
      </c>
      <c r="E63" s="26">
        <v>320</v>
      </c>
      <c r="F63" s="26">
        <v>381</v>
      </c>
      <c r="G63" s="26">
        <v>331</v>
      </c>
    </row>
    <row r="64" spans="1:7" ht="13.8" x14ac:dyDescent="0.2">
      <c r="A64" s="21" t="s">
        <v>33</v>
      </c>
      <c r="B64" s="26">
        <v>302</v>
      </c>
      <c r="C64" s="26">
        <v>316</v>
      </c>
      <c r="D64" s="26">
        <v>399</v>
      </c>
      <c r="E64" s="26">
        <v>339</v>
      </c>
      <c r="F64" s="26">
        <v>307</v>
      </c>
      <c r="G64" s="26">
        <v>397</v>
      </c>
    </row>
    <row r="65" spans="1:7" ht="13.8" x14ac:dyDescent="0.2">
      <c r="A65" s="21" t="s">
        <v>34</v>
      </c>
      <c r="B65" s="26">
        <v>300</v>
      </c>
      <c r="C65" s="26">
        <v>340</v>
      </c>
      <c r="D65" s="26">
        <v>328</v>
      </c>
      <c r="E65" s="26">
        <v>391</v>
      </c>
      <c r="F65" s="26">
        <v>329</v>
      </c>
      <c r="G65" s="26">
        <v>390</v>
      </c>
    </row>
    <row r="66" spans="1:7" ht="13.8" x14ac:dyDescent="0.2">
      <c r="A66" s="20"/>
      <c r="B66" s="26"/>
      <c r="C66" s="26"/>
      <c r="D66" s="26"/>
      <c r="E66" s="26"/>
      <c r="F66" s="26"/>
      <c r="G66" s="26"/>
    </row>
    <row r="67" spans="1:7" ht="13.8" x14ac:dyDescent="0.2">
      <c r="A67" s="18" t="s">
        <v>37</v>
      </c>
      <c r="B67" s="26"/>
      <c r="C67" s="26"/>
      <c r="D67" s="26"/>
      <c r="E67" s="26"/>
      <c r="F67" s="26"/>
      <c r="G67" s="26"/>
    </row>
    <row r="68" spans="1:7" ht="13.8" x14ac:dyDescent="0.2">
      <c r="A68" s="19" t="s">
        <v>23</v>
      </c>
      <c r="B68" s="26"/>
      <c r="C68" s="26"/>
      <c r="D68" s="26"/>
      <c r="E68" s="26"/>
      <c r="F68" s="26"/>
      <c r="G68" s="26"/>
    </row>
    <row r="69" spans="1:7" ht="13.8" x14ac:dyDescent="0.2">
      <c r="A69" s="20" t="s">
        <v>24</v>
      </c>
      <c r="B69" s="26"/>
      <c r="C69" s="26"/>
      <c r="D69" s="26"/>
      <c r="E69" s="26"/>
      <c r="F69" s="26"/>
      <c r="G69" s="26"/>
    </row>
    <row r="70" spans="1:7" ht="13.8" x14ac:dyDescent="0.2">
      <c r="A70" s="21" t="s">
        <v>25</v>
      </c>
      <c r="B70" s="26">
        <v>144</v>
      </c>
      <c r="C70" s="26">
        <v>142</v>
      </c>
      <c r="D70" s="26">
        <v>146</v>
      </c>
      <c r="E70" s="26">
        <v>177</v>
      </c>
      <c r="F70" s="26">
        <v>112</v>
      </c>
      <c r="G70" s="26">
        <v>148</v>
      </c>
    </row>
    <row r="71" spans="1:7" ht="13.8" x14ac:dyDescent="0.2">
      <c r="A71" s="21" t="s">
        <v>26</v>
      </c>
      <c r="B71" s="26">
        <v>170</v>
      </c>
      <c r="C71" s="26">
        <v>157</v>
      </c>
      <c r="D71" s="26">
        <v>143</v>
      </c>
      <c r="E71" s="26">
        <v>186</v>
      </c>
      <c r="F71" s="26">
        <v>159</v>
      </c>
      <c r="G71" s="26">
        <v>135</v>
      </c>
    </row>
    <row r="72" spans="1:7" ht="13.8" x14ac:dyDescent="0.2">
      <c r="A72" s="21" t="s">
        <v>27</v>
      </c>
      <c r="B72" s="26">
        <v>177</v>
      </c>
      <c r="C72" s="26">
        <v>165</v>
      </c>
      <c r="D72" s="26">
        <v>184</v>
      </c>
      <c r="E72" s="26">
        <v>106</v>
      </c>
      <c r="F72" s="26">
        <v>107</v>
      </c>
      <c r="G72" s="26">
        <v>134</v>
      </c>
    </row>
    <row r="73" spans="1:7" ht="13.8" x14ac:dyDescent="0.2">
      <c r="A73" s="21" t="s">
        <v>28</v>
      </c>
      <c r="B73" s="26">
        <v>121</v>
      </c>
      <c r="C73" s="26">
        <v>181</v>
      </c>
      <c r="D73" s="26">
        <v>142</v>
      </c>
      <c r="E73" s="26">
        <v>145</v>
      </c>
      <c r="F73" s="26">
        <v>110</v>
      </c>
      <c r="G73" s="26">
        <v>115</v>
      </c>
    </row>
    <row r="74" spans="1:7" ht="13.8" x14ac:dyDescent="0.2">
      <c r="A74" s="21" t="s">
        <v>29</v>
      </c>
      <c r="B74" s="26">
        <v>157</v>
      </c>
      <c r="C74" s="26">
        <v>186</v>
      </c>
      <c r="D74" s="26">
        <v>187</v>
      </c>
      <c r="E74" s="26">
        <v>193</v>
      </c>
      <c r="F74" s="26">
        <v>111</v>
      </c>
      <c r="G74" s="26">
        <v>169</v>
      </c>
    </row>
    <row r="75" spans="1:7" ht="13.8" x14ac:dyDescent="0.2">
      <c r="A75" s="21" t="s">
        <v>30</v>
      </c>
      <c r="B75" s="26">
        <v>107</v>
      </c>
      <c r="C75" s="26">
        <v>195</v>
      </c>
      <c r="D75" s="26">
        <v>191</v>
      </c>
      <c r="E75" s="26">
        <v>119</v>
      </c>
      <c r="F75" s="26">
        <v>114</v>
      </c>
      <c r="G75" s="26">
        <v>167</v>
      </c>
    </row>
    <row r="76" spans="1:7" ht="13.8" x14ac:dyDescent="0.2">
      <c r="A76" s="21" t="s">
        <v>31</v>
      </c>
      <c r="B76" s="26">
        <v>180</v>
      </c>
      <c r="C76" s="26">
        <v>160</v>
      </c>
      <c r="D76" s="26">
        <v>199</v>
      </c>
      <c r="E76" s="26">
        <v>115</v>
      </c>
      <c r="F76" s="26">
        <v>144</v>
      </c>
      <c r="G76" s="26">
        <v>172</v>
      </c>
    </row>
    <row r="77" spans="1:7" ht="13.8" x14ac:dyDescent="0.2">
      <c r="A77" s="21" t="s">
        <v>32</v>
      </c>
      <c r="B77" s="26">
        <v>183</v>
      </c>
      <c r="C77" s="26">
        <v>176</v>
      </c>
      <c r="D77" s="26">
        <v>156</v>
      </c>
      <c r="E77" s="26">
        <v>193</v>
      </c>
      <c r="F77" s="26">
        <v>116</v>
      </c>
      <c r="G77" s="26">
        <v>178</v>
      </c>
    </row>
    <row r="78" spans="1:7" ht="13.8" x14ac:dyDescent="0.2">
      <c r="A78" s="21" t="s">
        <v>33</v>
      </c>
      <c r="B78" s="26">
        <v>171</v>
      </c>
      <c r="C78" s="26">
        <v>166</v>
      </c>
      <c r="D78" s="26">
        <v>199</v>
      </c>
      <c r="E78" s="26">
        <v>175</v>
      </c>
      <c r="F78" s="26">
        <v>112</v>
      </c>
      <c r="G78" s="26">
        <v>137</v>
      </c>
    </row>
    <row r="79" spans="1:7" ht="13.8" x14ac:dyDescent="0.2">
      <c r="A79" s="21" t="s">
        <v>34</v>
      </c>
      <c r="B79" s="26">
        <v>183</v>
      </c>
      <c r="C79" s="26">
        <v>129</v>
      </c>
      <c r="D79" s="26">
        <v>174</v>
      </c>
      <c r="E79" s="26">
        <v>186</v>
      </c>
      <c r="F79" s="26">
        <v>198</v>
      </c>
      <c r="G79" s="26">
        <v>111</v>
      </c>
    </row>
    <row r="80" spans="1:7" ht="13.8" x14ac:dyDescent="0.2">
      <c r="A80" s="20" t="s">
        <v>35</v>
      </c>
      <c r="B80" s="26"/>
      <c r="C80" s="26"/>
      <c r="D80" s="26"/>
      <c r="E80" s="26"/>
      <c r="F80" s="26"/>
      <c r="G80" s="26"/>
    </row>
    <row r="81" spans="1:7" ht="13.8" x14ac:dyDescent="0.2">
      <c r="A81" s="21" t="s">
        <v>25</v>
      </c>
      <c r="B81" s="26">
        <v>366</v>
      </c>
      <c r="C81" s="26">
        <v>316</v>
      </c>
      <c r="D81" s="26">
        <v>335</v>
      </c>
      <c r="E81" s="26">
        <v>373</v>
      </c>
      <c r="F81" s="26">
        <v>391</v>
      </c>
      <c r="G81" s="26">
        <v>307</v>
      </c>
    </row>
    <row r="82" spans="1:7" ht="13.8" x14ac:dyDescent="0.2">
      <c r="A82" s="21" t="s">
        <v>26</v>
      </c>
      <c r="B82" s="26">
        <v>310</v>
      </c>
      <c r="C82" s="26">
        <v>321</v>
      </c>
      <c r="D82" s="26">
        <v>313</v>
      </c>
      <c r="E82" s="26">
        <v>337</v>
      </c>
      <c r="F82" s="26">
        <v>329</v>
      </c>
      <c r="G82" s="26">
        <v>334</v>
      </c>
    </row>
    <row r="83" spans="1:7" ht="13.8" x14ac:dyDescent="0.2">
      <c r="A83" s="21" t="s">
        <v>27</v>
      </c>
      <c r="B83" s="26">
        <v>391</v>
      </c>
      <c r="C83" s="26">
        <v>390</v>
      </c>
      <c r="D83" s="26">
        <v>330</v>
      </c>
      <c r="E83" s="26">
        <v>340</v>
      </c>
      <c r="F83" s="26">
        <v>368</v>
      </c>
      <c r="G83" s="26">
        <v>400</v>
      </c>
    </row>
    <row r="84" spans="1:7" ht="13.8" x14ac:dyDescent="0.2">
      <c r="A84" s="21" t="s">
        <v>28</v>
      </c>
      <c r="B84" s="26">
        <v>347</v>
      </c>
      <c r="C84" s="26">
        <v>348</v>
      </c>
      <c r="D84" s="26">
        <v>311</v>
      </c>
      <c r="E84" s="26">
        <v>330</v>
      </c>
      <c r="F84" s="26">
        <v>385</v>
      </c>
      <c r="G84" s="26">
        <v>344</v>
      </c>
    </row>
    <row r="85" spans="1:7" ht="13.8" x14ac:dyDescent="0.2">
      <c r="A85" s="21" t="s">
        <v>29</v>
      </c>
      <c r="B85" s="26">
        <v>400</v>
      </c>
      <c r="C85" s="26">
        <v>308</v>
      </c>
      <c r="D85" s="26">
        <v>345</v>
      </c>
      <c r="E85" s="26">
        <v>344</v>
      </c>
      <c r="F85" s="26">
        <v>391</v>
      </c>
      <c r="G85" s="26">
        <v>326</v>
      </c>
    </row>
    <row r="86" spans="1:7" ht="13.8" x14ac:dyDescent="0.2">
      <c r="A86" s="21" t="s">
        <v>30</v>
      </c>
      <c r="B86" s="26">
        <v>330</v>
      </c>
      <c r="C86" s="26">
        <v>398</v>
      </c>
      <c r="D86" s="26">
        <v>314</v>
      </c>
      <c r="E86" s="26">
        <v>377</v>
      </c>
      <c r="F86" s="26">
        <v>365</v>
      </c>
      <c r="G86" s="26">
        <v>344</v>
      </c>
    </row>
    <row r="87" spans="1:7" ht="13.8" x14ac:dyDescent="0.2">
      <c r="A87" s="21" t="s">
        <v>31</v>
      </c>
      <c r="B87" s="26">
        <v>350</v>
      </c>
      <c r="C87" s="26">
        <v>344</v>
      </c>
      <c r="D87" s="26">
        <v>372</v>
      </c>
      <c r="E87" s="26">
        <v>379</v>
      </c>
      <c r="F87" s="26">
        <v>333</v>
      </c>
      <c r="G87" s="26">
        <v>396</v>
      </c>
    </row>
    <row r="88" spans="1:7" ht="13.8" x14ac:dyDescent="0.2">
      <c r="A88" s="21" t="s">
        <v>32</v>
      </c>
      <c r="B88" s="26">
        <v>311</v>
      </c>
      <c r="C88" s="26">
        <v>308</v>
      </c>
      <c r="D88" s="26">
        <v>364</v>
      </c>
      <c r="E88" s="26">
        <v>356</v>
      </c>
      <c r="F88" s="26">
        <v>300</v>
      </c>
      <c r="G88" s="26">
        <v>325</v>
      </c>
    </row>
    <row r="89" spans="1:7" ht="13.8" x14ac:dyDescent="0.2">
      <c r="A89" s="21" t="s">
        <v>33</v>
      </c>
      <c r="B89" s="26">
        <v>389</v>
      </c>
      <c r="C89" s="26">
        <v>320</v>
      </c>
      <c r="D89" s="26">
        <v>302</v>
      </c>
      <c r="E89" s="26">
        <v>347</v>
      </c>
      <c r="F89" s="26">
        <v>397</v>
      </c>
      <c r="G89" s="26">
        <v>337</v>
      </c>
    </row>
    <row r="90" spans="1:7" ht="13.8" x14ac:dyDescent="0.2">
      <c r="A90" s="21" t="s">
        <v>34</v>
      </c>
      <c r="B90" s="26">
        <v>379</v>
      </c>
      <c r="C90" s="26">
        <v>353</v>
      </c>
      <c r="D90" s="26">
        <v>371</v>
      </c>
      <c r="E90" s="26">
        <v>346</v>
      </c>
      <c r="F90" s="26">
        <v>318</v>
      </c>
      <c r="G90" s="26">
        <v>338</v>
      </c>
    </row>
    <row r="91" spans="1:7" ht="13.8" x14ac:dyDescent="0.2">
      <c r="A91" s="19" t="s">
        <v>36</v>
      </c>
      <c r="B91" s="26"/>
      <c r="C91" s="26"/>
      <c r="D91" s="26"/>
      <c r="E91" s="26"/>
      <c r="F91" s="26"/>
      <c r="G91" s="26"/>
    </row>
    <row r="92" spans="1:7" ht="13.8" x14ac:dyDescent="0.2">
      <c r="A92" s="20" t="s">
        <v>24</v>
      </c>
      <c r="B92" s="26"/>
      <c r="C92" s="26"/>
      <c r="D92" s="26"/>
      <c r="E92" s="26"/>
      <c r="F92" s="26"/>
      <c r="G92" s="26"/>
    </row>
    <row r="93" spans="1:7" ht="13.8" x14ac:dyDescent="0.2">
      <c r="A93" s="21" t="s">
        <v>25</v>
      </c>
      <c r="B93" s="26">
        <v>162</v>
      </c>
      <c r="C93" s="26">
        <v>100</v>
      </c>
      <c r="D93" s="26">
        <v>150</v>
      </c>
      <c r="E93" s="26">
        <v>122</v>
      </c>
      <c r="F93" s="26">
        <v>173</v>
      </c>
      <c r="G93" s="26">
        <v>163</v>
      </c>
    </row>
    <row r="94" spans="1:7" ht="13.8" x14ac:dyDescent="0.2">
      <c r="A94" s="21" t="s">
        <v>26</v>
      </c>
      <c r="B94" s="26">
        <v>147</v>
      </c>
      <c r="C94" s="26">
        <v>149</v>
      </c>
      <c r="D94" s="26">
        <v>137</v>
      </c>
      <c r="E94" s="26">
        <v>161</v>
      </c>
      <c r="F94" s="26">
        <v>103</v>
      </c>
      <c r="G94" s="26">
        <v>153</v>
      </c>
    </row>
    <row r="95" spans="1:7" ht="13.8" x14ac:dyDescent="0.2">
      <c r="A95" s="21" t="s">
        <v>27</v>
      </c>
      <c r="B95" s="26">
        <v>137</v>
      </c>
      <c r="C95" s="26">
        <v>200</v>
      </c>
      <c r="D95" s="26">
        <v>189</v>
      </c>
      <c r="E95" s="26">
        <v>129</v>
      </c>
      <c r="F95" s="26">
        <v>128</v>
      </c>
      <c r="G95" s="26">
        <v>142</v>
      </c>
    </row>
    <row r="96" spans="1:7" ht="13.8" x14ac:dyDescent="0.2">
      <c r="A96" s="21" t="s">
        <v>28</v>
      </c>
      <c r="B96" s="26">
        <v>105</v>
      </c>
      <c r="C96" s="26">
        <v>182</v>
      </c>
      <c r="D96" s="26">
        <v>195</v>
      </c>
      <c r="E96" s="26">
        <v>167</v>
      </c>
      <c r="F96" s="26">
        <v>176</v>
      </c>
      <c r="G96" s="26">
        <v>159</v>
      </c>
    </row>
    <row r="97" spans="1:7" ht="13.8" x14ac:dyDescent="0.2">
      <c r="A97" s="21" t="s">
        <v>29</v>
      </c>
      <c r="B97" s="26">
        <v>179</v>
      </c>
      <c r="C97" s="26">
        <v>114</v>
      </c>
      <c r="D97" s="26">
        <v>132</v>
      </c>
      <c r="E97" s="26">
        <v>172</v>
      </c>
      <c r="F97" s="26">
        <v>109</v>
      </c>
      <c r="G97" s="26">
        <v>131</v>
      </c>
    </row>
    <row r="98" spans="1:7" ht="13.8" x14ac:dyDescent="0.2">
      <c r="A98" s="21" t="s">
        <v>30</v>
      </c>
      <c r="B98" s="26">
        <v>135</v>
      </c>
      <c r="C98" s="26">
        <v>113</v>
      </c>
      <c r="D98" s="26">
        <v>172</v>
      </c>
      <c r="E98" s="26">
        <v>197</v>
      </c>
      <c r="F98" s="26">
        <v>146</v>
      </c>
      <c r="G98" s="26">
        <v>194</v>
      </c>
    </row>
    <row r="99" spans="1:7" ht="13.8" x14ac:dyDescent="0.2">
      <c r="A99" s="21" t="s">
        <v>31</v>
      </c>
      <c r="B99" s="26">
        <v>114</v>
      </c>
      <c r="C99" s="26">
        <v>127</v>
      </c>
      <c r="D99" s="26">
        <v>169</v>
      </c>
      <c r="E99" s="26">
        <v>174</v>
      </c>
      <c r="F99" s="26">
        <v>190</v>
      </c>
      <c r="G99" s="26">
        <v>102</v>
      </c>
    </row>
    <row r="100" spans="1:7" ht="13.8" x14ac:dyDescent="0.2">
      <c r="A100" s="21" t="s">
        <v>32</v>
      </c>
      <c r="B100" s="26">
        <v>142</v>
      </c>
      <c r="C100" s="26">
        <v>184</v>
      </c>
      <c r="D100" s="26">
        <v>146</v>
      </c>
      <c r="E100" s="26">
        <v>200</v>
      </c>
      <c r="F100" s="26">
        <v>139</v>
      </c>
      <c r="G100" s="26">
        <v>196</v>
      </c>
    </row>
    <row r="101" spans="1:7" ht="13.8" x14ac:dyDescent="0.2">
      <c r="A101" s="21" t="s">
        <v>33</v>
      </c>
      <c r="B101" s="26">
        <v>122</v>
      </c>
      <c r="C101" s="26">
        <v>105</v>
      </c>
      <c r="D101" s="26">
        <v>175</v>
      </c>
      <c r="E101" s="26">
        <v>139</v>
      </c>
      <c r="F101" s="26">
        <v>196</v>
      </c>
      <c r="G101" s="26">
        <v>135</v>
      </c>
    </row>
    <row r="102" spans="1:7" ht="13.8" x14ac:dyDescent="0.2">
      <c r="A102" s="21" t="s">
        <v>34</v>
      </c>
      <c r="B102" s="26">
        <v>122</v>
      </c>
      <c r="C102" s="26">
        <v>181</v>
      </c>
      <c r="D102" s="26">
        <v>137</v>
      </c>
      <c r="E102" s="26">
        <v>198</v>
      </c>
      <c r="F102" s="26">
        <v>131</v>
      </c>
      <c r="G102" s="26">
        <v>199</v>
      </c>
    </row>
    <row r="103" spans="1:7" ht="13.8" x14ac:dyDescent="0.2">
      <c r="A103" s="20" t="s">
        <v>35</v>
      </c>
      <c r="B103" s="26"/>
      <c r="C103" s="26"/>
      <c r="D103" s="26"/>
      <c r="E103" s="26"/>
      <c r="F103" s="26"/>
      <c r="G103" s="26"/>
    </row>
    <row r="104" spans="1:7" ht="13.8" x14ac:dyDescent="0.2">
      <c r="A104" s="21" t="s">
        <v>25</v>
      </c>
      <c r="B104" s="26">
        <v>346</v>
      </c>
      <c r="C104" s="26">
        <v>394</v>
      </c>
      <c r="D104" s="26">
        <v>372</v>
      </c>
      <c r="E104" s="26">
        <v>337</v>
      </c>
      <c r="F104" s="26">
        <v>392</v>
      </c>
      <c r="G104" s="26">
        <v>336</v>
      </c>
    </row>
    <row r="105" spans="1:7" ht="13.8" x14ac:dyDescent="0.2">
      <c r="A105" s="21" t="s">
        <v>26</v>
      </c>
      <c r="B105" s="26">
        <v>311</v>
      </c>
      <c r="C105" s="26">
        <v>323</v>
      </c>
      <c r="D105" s="26">
        <v>398</v>
      </c>
      <c r="E105" s="26">
        <v>391</v>
      </c>
      <c r="F105" s="26">
        <v>351</v>
      </c>
      <c r="G105" s="26">
        <v>340</v>
      </c>
    </row>
    <row r="106" spans="1:7" ht="13.8" x14ac:dyDescent="0.2">
      <c r="A106" s="21" t="s">
        <v>27</v>
      </c>
      <c r="B106" s="26">
        <v>367</v>
      </c>
      <c r="C106" s="26">
        <v>300</v>
      </c>
      <c r="D106" s="26">
        <v>368</v>
      </c>
      <c r="E106" s="26">
        <v>335</v>
      </c>
      <c r="F106" s="26">
        <v>391</v>
      </c>
      <c r="G106" s="26">
        <v>334</v>
      </c>
    </row>
    <row r="107" spans="1:7" ht="13.8" x14ac:dyDescent="0.2">
      <c r="A107" s="21" t="s">
        <v>28</v>
      </c>
      <c r="B107" s="26">
        <v>301</v>
      </c>
      <c r="C107" s="26">
        <v>330</v>
      </c>
      <c r="D107" s="26">
        <v>390</v>
      </c>
      <c r="E107" s="26">
        <v>385</v>
      </c>
      <c r="F107" s="26">
        <v>337</v>
      </c>
      <c r="G107" s="26">
        <v>354</v>
      </c>
    </row>
    <row r="108" spans="1:7" ht="13.8" x14ac:dyDescent="0.2">
      <c r="A108" s="21" t="s">
        <v>29</v>
      </c>
      <c r="B108" s="26">
        <v>381</v>
      </c>
      <c r="C108" s="26">
        <v>307</v>
      </c>
      <c r="D108" s="26">
        <v>357</v>
      </c>
      <c r="E108" s="26">
        <v>369</v>
      </c>
      <c r="F108" s="26">
        <v>330</v>
      </c>
      <c r="G108" s="26">
        <v>381</v>
      </c>
    </row>
    <row r="109" spans="1:7" ht="13.8" x14ac:dyDescent="0.2">
      <c r="A109" s="21" t="s">
        <v>30</v>
      </c>
      <c r="B109" s="26">
        <v>316</v>
      </c>
      <c r="C109" s="26">
        <v>324</v>
      </c>
      <c r="D109" s="26">
        <v>320</v>
      </c>
      <c r="E109" s="26">
        <v>367</v>
      </c>
      <c r="F109" s="26">
        <v>385</v>
      </c>
      <c r="G109" s="26">
        <v>348</v>
      </c>
    </row>
    <row r="110" spans="1:7" ht="13.8" x14ac:dyDescent="0.2">
      <c r="A110" s="21" t="s">
        <v>31</v>
      </c>
      <c r="B110" s="26">
        <v>324</v>
      </c>
      <c r="C110" s="26">
        <v>367</v>
      </c>
      <c r="D110" s="26">
        <v>333</v>
      </c>
      <c r="E110" s="26">
        <v>314</v>
      </c>
      <c r="F110" s="26">
        <v>364</v>
      </c>
      <c r="G110" s="26">
        <v>392</v>
      </c>
    </row>
    <row r="111" spans="1:7" ht="13.8" x14ac:dyDescent="0.2">
      <c r="A111" s="21" t="s">
        <v>32</v>
      </c>
      <c r="B111" s="26">
        <v>396</v>
      </c>
      <c r="C111" s="26">
        <v>391</v>
      </c>
      <c r="D111" s="26">
        <v>369</v>
      </c>
      <c r="E111" s="26">
        <v>314</v>
      </c>
      <c r="F111" s="26">
        <v>385</v>
      </c>
      <c r="G111" s="26">
        <v>345</v>
      </c>
    </row>
    <row r="112" spans="1:7" ht="13.8" x14ac:dyDescent="0.2">
      <c r="A112" s="21" t="s">
        <v>33</v>
      </c>
      <c r="B112" s="26">
        <v>378</v>
      </c>
      <c r="C112" s="26">
        <v>364</v>
      </c>
      <c r="D112" s="26">
        <v>348</v>
      </c>
      <c r="E112" s="26">
        <v>353</v>
      </c>
      <c r="F112" s="26">
        <v>311</v>
      </c>
      <c r="G112" s="26">
        <v>326</v>
      </c>
    </row>
    <row r="113" spans="1:7" ht="13.8" x14ac:dyDescent="0.2">
      <c r="A113" s="21" t="s">
        <v>34</v>
      </c>
      <c r="B113" s="26">
        <v>383</v>
      </c>
      <c r="C113" s="26">
        <v>316</v>
      </c>
      <c r="D113" s="26">
        <v>318</v>
      </c>
      <c r="E113" s="26">
        <v>391</v>
      </c>
      <c r="F113" s="26">
        <v>371</v>
      </c>
      <c r="G113" s="26">
        <v>337</v>
      </c>
    </row>
    <row r="114" spans="1:7" x14ac:dyDescent="0.2">
      <c r="B114" s="22"/>
      <c r="C114" s="22"/>
      <c r="D114" s="22"/>
      <c r="E114" s="22"/>
      <c r="F114" s="22"/>
      <c r="G114" s="22"/>
    </row>
    <row r="115" spans="1:7" x14ac:dyDescent="0.2">
      <c r="B115" s="22"/>
      <c r="C115" s="22"/>
      <c r="D115" s="22"/>
      <c r="E115" s="22"/>
      <c r="F115" s="22"/>
      <c r="G115" s="22"/>
    </row>
    <row r="116" spans="1:7" x14ac:dyDescent="0.2">
      <c r="B116" s="22"/>
      <c r="C116" s="22"/>
      <c r="D116" s="22"/>
      <c r="E116" s="22"/>
      <c r="F116" s="22"/>
      <c r="G116" s="22"/>
    </row>
    <row r="117" spans="1:7" x14ac:dyDescent="0.2">
      <c r="B117" s="22"/>
      <c r="C117" s="22"/>
      <c r="D117" s="22"/>
      <c r="E117" s="22"/>
      <c r="F117" s="22"/>
      <c r="G117" s="22"/>
    </row>
    <row r="118" spans="1:7" x14ac:dyDescent="0.2">
      <c r="B118" s="22"/>
      <c r="C118" s="22"/>
      <c r="D118" s="22"/>
      <c r="E118" s="22"/>
      <c r="F118" s="22"/>
      <c r="G118" s="22"/>
    </row>
    <row r="119" spans="1:7" x14ac:dyDescent="0.2">
      <c r="B119" s="22"/>
      <c r="C119" s="22"/>
      <c r="D119" s="22"/>
      <c r="E119" s="22"/>
      <c r="F119" s="22"/>
      <c r="G119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H3:X103"/>
  <sheetViews>
    <sheetView topLeftCell="A8" zoomScale="85" zoomScaleNormal="85" workbookViewId="0">
      <selection activeCell="R13" sqref="R13"/>
    </sheetView>
  </sheetViews>
  <sheetFormatPr defaultColWidth="9" defaultRowHeight="11.4" x14ac:dyDescent="0.2"/>
  <cols>
    <col min="1" max="1" width="6.59765625" customWidth="1"/>
    <col min="2" max="7" width="1.3984375" customWidth="1"/>
    <col min="8" max="8" width="18.69921875" customWidth="1"/>
    <col min="13" max="13" width="16.59765625" customWidth="1"/>
    <col min="14" max="14" width="15.3984375" customWidth="1"/>
    <col min="15" max="15" width="5.5" customWidth="1"/>
    <col min="16" max="17" width="7" customWidth="1"/>
    <col min="18" max="18" width="32.8984375" customWidth="1"/>
  </cols>
  <sheetData>
    <row r="3" spans="8:18" x14ac:dyDescent="0.2">
      <c r="I3" t="s">
        <v>38</v>
      </c>
    </row>
    <row r="4" spans="8:18" x14ac:dyDescent="0.2">
      <c r="I4" t="s">
        <v>39</v>
      </c>
    </row>
    <row r="5" spans="8:18" ht="13.8" x14ac:dyDescent="0.25">
      <c r="I5" s="17" t="s">
        <v>41</v>
      </c>
    </row>
    <row r="9" spans="8:18" x14ac:dyDescent="0.2">
      <c r="M9" s="9">
        <v>45108</v>
      </c>
      <c r="N9" s="9">
        <v>45139</v>
      </c>
      <c r="O9" s="9">
        <v>45170</v>
      </c>
      <c r="P9" s="9">
        <v>45200</v>
      </c>
      <c r="Q9" s="9">
        <v>45231</v>
      </c>
      <c r="R9" s="9">
        <v>45261</v>
      </c>
    </row>
    <row r="10" spans="8:18" ht="13.8" x14ac:dyDescent="0.2">
      <c r="H10" s="2" t="s">
        <v>22</v>
      </c>
      <c r="I10" s="19" t="s">
        <v>23</v>
      </c>
    </row>
    <row r="11" spans="8:18" ht="13.8" x14ac:dyDescent="0.2">
      <c r="H11" s="2"/>
      <c r="I11" s="20" t="s">
        <v>24</v>
      </c>
    </row>
    <row r="12" spans="8:18" ht="17.399999999999999" x14ac:dyDescent="0.3">
      <c r="H12" s="2"/>
      <c r="I12" s="23" t="s">
        <v>25</v>
      </c>
      <c r="J12" s="24"/>
      <c r="K12" s="24"/>
      <c r="L12" s="24"/>
      <c r="M12" s="25">
        <v>117</v>
      </c>
      <c r="N12" s="25">
        <v>198</v>
      </c>
      <c r="O12" s="25">
        <v>118</v>
      </c>
      <c r="P12" s="25">
        <v>147</v>
      </c>
      <c r="Q12" s="25">
        <v>159</v>
      </c>
      <c r="R12" s="25">
        <v>118</v>
      </c>
    </row>
    <row r="13" spans="8:18" ht="13.8" x14ac:dyDescent="0.2">
      <c r="H13" s="2"/>
      <c r="I13" s="21" t="s">
        <v>26</v>
      </c>
      <c r="M13" s="26">
        <v>137</v>
      </c>
      <c r="N13" s="26">
        <v>183</v>
      </c>
      <c r="O13" s="26">
        <v>124</v>
      </c>
      <c r="P13" s="26">
        <v>158</v>
      </c>
      <c r="Q13" s="26">
        <v>168</v>
      </c>
      <c r="R13" s="26">
        <v>188</v>
      </c>
    </row>
    <row r="14" spans="8:18" ht="13.8" x14ac:dyDescent="0.2">
      <c r="H14" s="2"/>
      <c r="I14" s="21" t="s">
        <v>27</v>
      </c>
      <c r="M14" s="26">
        <v>117</v>
      </c>
      <c r="N14" s="26">
        <v>189</v>
      </c>
      <c r="O14" s="26">
        <v>150</v>
      </c>
      <c r="P14" s="26">
        <v>136</v>
      </c>
      <c r="Q14" s="26">
        <v>121</v>
      </c>
      <c r="R14" s="26">
        <v>113</v>
      </c>
    </row>
    <row r="15" spans="8:18" ht="13.8" x14ac:dyDescent="0.2">
      <c r="H15" s="2"/>
      <c r="I15" s="21" t="s">
        <v>28</v>
      </c>
      <c r="M15" s="26">
        <v>162</v>
      </c>
      <c r="N15" s="26">
        <v>190</v>
      </c>
      <c r="O15" s="26">
        <v>153</v>
      </c>
      <c r="P15" s="26">
        <v>139</v>
      </c>
      <c r="Q15" s="26">
        <v>165</v>
      </c>
      <c r="R15" s="26">
        <v>196</v>
      </c>
    </row>
    <row r="16" spans="8:18" ht="17.399999999999999" x14ac:dyDescent="0.3">
      <c r="H16" s="2"/>
      <c r="I16" s="23" t="s">
        <v>29</v>
      </c>
      <c r="J16" s="24"/>
      <c r="K16" s="24"/>
      <c r="L16" s="24"/>
      <c r="M16" s="25">
        <v>177</v>
      </c>
      <c r="N16" s="25">
        <v>193</v>
      </c>
      <c r="O16" s="25">
        <v>198</v>
      </c>
      <c r="P16" s="25">
        <v>137</v>
      </c>
      <c r="Q16" s="25">
        <v>176</v>
      </c>
      <c r="R16" s="25">
        <v>166</v>
      </c>
    </row>
    <row r="17" spans="8:19" ht="13.8" x14ac:dyDescent="0.2">
      <c r="H17" s="2"/>
      <c r="I17" s="21" t="s">
        <v>30</v>
      </c>
      <c r="M17" s="26">
        <v>149</v>
      </c>
      <c r="N17" s="27">
        <v>152</v>
      </c>
      <c r="O17" s="27">
        <v>174</v>
      </c>
      <c r="P17" s="27">
        <v>124</v>
      </c>
      <c r="Q17" s="26">
        <v>128</v>
      </c>
      <c r="R17" s="26">
        <v>138</v>
      </c>
    </row>
    <row r="18" spans="8:19" ht="13.8" x14ac:dyDescent="0.2">
      <c r="H18" s="2"/>
      <c r="I18" s="21" t="s">
        <v>31</v>
      </c>
      <c r="M18" s="26">
        <v>134</v>
      </c>
      <c r="N18" s="26">
        <v>169</v>
      </c>
      <c r="O18" s="26">
        <v>156</v>
      </c>
      <c r="P18" s="26">
        <v>126</v>
      </c>
      <c r="Q18" s="26">
        <v>141</v>
      </c>
      <c r="R18" s="26">
        <v>108</v>
      </c>
    </row>
    <row r="19" spans="8:19" ht="13.8" x14ac:dyDescent="0.2">
      <c r="H19" s="2"/>
      <c r="I19" s="21" t="s">
        <v>32</v>
      </c>
      <c r="M19" s="26">
        <v>153</v>
      </c>
      <c r="N19" s="26">
        <v>168</v>
      </c>
      <c r="O19" s="26">
        <v>113</v>
      </c>
      <c r="P19" s="26">
        <v>155</v>
      </c>
      <c r="Q19" s="26">
        <v>179</v>
      </c>
      <c r="R19" s="26">
        <v>126</v>
      </c>
    </row>
    <row r="20" spans="8:19" ht="13.8" x14ac:dyDescent="0.2">
      <c r="H20" s="2"/>
      <c r="I20" s="21" t="s">
        <v>33</v>
      </c>
      <c r="M20" s="26">
        <v>200</v>
      </c>
      <c r="N20" s="26">
        <v>135</v>
      </c>
      <c r="O20" s="26">
        <v>153</v>
      </c>
      <c r="P20" s="26">
        <v>178</v>
      </c>
      <c r="Q20" s="26">
        <v>144</v>
      </c>
      <c r="R20" s="26">
        <v>149</v>
      </c>
    </row>
    <row r="21" spans="8:19" ht="13.8" x14ac:dyDescent="0.2">
      <c r="H21" s="2"/>
      <c r="I21" s="21" t="s">
        <v>34</v>
      </c>
      <c r="M21" s="26">
        <v>175</v>
      </c>
      <c r="N21" s="26">
        <v>161</v>
      </c>
      <c r="O21" s="26">
        <v>110</v>
      </c>
      <c r="P21" s="26">
        <v>176</v>
      </c>
      <c r="Q21" s="26">
        <v>150</v>
      </c>
      <c r="R21" s="26">
        <v>177</v>
      </c>
    </row>
    <row r="22" spans="8:19" ht="13.8" x14ac:dyDescent="0.2">
      <c r="H22" s="2"/>
      <c r="I22" s="20" t="s">
        <v>35</v>
      </c>
    </row>
    <row r="23" spans="8:19" ht="13.8" x14ac:dyDescent="0.2">
      <c r="H23" s="2"/>
      <c r="I23" s="21" t="s">
        <v>25</v>
      </c>
      <c r="M23" s="26">
        <v>318</v>
      </c>
      <c r="N23" s="26">
        <v>326</v>
      </c>
      <c r="O23" s="26">
        <v>390</v>
      </c>
      <c r="P23" s="26">
        <v>318</v>
      </c>
      <c r="Q23" s="26">
        <v>313</v>
      </c>
      <c r="R23" s="26">
        <v>344</v>
      </c>
    </row>
    <row r="24" spans="8:19" ht="13.8" x14ac:dyDescent="0.2">
      <c r="H24" s="2"/>
      <c r="I24" s="21" t="s">
        <v>26</v>
      </c>
      <c r="M24" s="26">
        <v>347</v>
      </c>
      <c r="N24" s="26">
        <v>320</v>
      </c>
      <c r="O24" s="26">
        <v>313</v>
      </c>
      <c r="P24" s="26">
        <v>313</v>
      </c>
      <c r="Q24" s="26">
        <v>385</v>
      </c>
      <c r="R24" s="26">
        <v>365</v>
      </c>
    </row>
    <row r="25" spans="8:19" ht="13.8" x14ac:dyDescent="0.25">
      <c r="H25" s="2"/>
      <c r="I25" s="21" t="s">
        <v>27</v>
      </c>
      <c r="M25" s="26">
        <v>343</v>
      </c>
      <c r="N25" s="28">
        <v>314</v>
      </c>
      <c r="O25" s="28">
        <v>381</v>
      </c>
      <c r="P25" s="28">
        <v>389</v>
      </c>
      <c r="Q25" s="26">
        <v>303</v>
      </c>
      <c r="R25" s="26">
        <v>320</v>
      </c>
    </row>
    <row r="26" spans="8:19" ht="13.8" x14ac:dyDescent="0.25">
      <c r="H26" s="2"/>
      <c r="I26" s="29" t="s">
        <v>28</v>
      </c>
      <c r="J26" s="10"/>
      <c r="K26" s="10"/>
      <c r="L26" s="10"/>
      <c r="M26" s="30">
        <v>362</v>
      </c>
      <c r="N26" s="31">
        <v>340</v>
      </c>
      <c r="O26" s="31">
        <v>349</v>
      </c>
      <c r="P26" s="31">
        <v>362</v>
      </c>
      <c r="Q26" s="30">
        <v>378</v>
      </c>
      <c r="R26" s="30">
        <v>308</v>
      </c>
      <c r="S26" s="10"/>
    </row>
    <row r="27" spans="8:19" ht="13.8" x14ac:dyDescent="0.25">
      <c r="H27" s="2"/>
      <c r="I27" s="29" t="s">
        <v>29</v>
      </c>
      <c r="J27" s="10"/>
      <c r="K27" s="10"/>
      <c r="L27" s="10"/>
      <c r="M27" s="30">
        <v>370</v>
      </c>
      <c r="N27" s="31">
        <v>308</v>
      </c>
      <c r="O27" s="31">
        <v>311</v>
      </c>
      <c r="P27" s="31">
        <v>387</v>
      </c>
      <c r="Q27" s="30">
        <v>340</v>
      </c>
      <c r="R27" s="30">
        <v>382</v>
      </c>
      <c r="S27" s="10"/>
    </row>
    <row r="28" spans="8:19" ht="13.8" x14ac:dyDescent="0.2">
      <c r="H28" s="2"/>
      <c r="I28" s="29" t="s">
        <v>30</v>
      </c>
      <c r="J28" s="10"/>
      <c r="K28" s="10"/>
      <c r="L28" s="10"/>
      <c r="M28" s="30">
        <v>300</v>
      </c>
      <c r="N28" s="30">
        <v>381</v>
      </c>
      <c r="O28" s="30">
        <v>365</v>
      </c>
      <c r="P28" s="30">
        <v>320</v>
      </c>
      <c r="Q28" s="30">
        <v>311</v>
      </c>
      <c r="R28" s="30">
        <v>328</v>
      </c>
      <c r="S28" s="10"/>
    </row>
    <row r="29" spans="8:19" ht="13.8" x14ac:dyDescent="0.2">
      <c r="H29" s="2"/>
      <c r="I29" s="29" t="s">
        <v>31</v>
      </c>
      <c r="J29" s="10"/>
      <c r="K29" s="10"/>
      <c r="L29" s="10"/>
      <c r="M29" s="30">
        <v>373</v>
      </c>
      <c r="N29" s="30">
        <v>343</v>
      </c>
      <c r="O29" s="30">
        <v>376</v>
      </c>
      <c r="P29" s="30">
        <v>352</v>
      </c>
      <c r="Q29" s="30">
        <v>343</v>
      </c>
      <c r="R29" s="30">
        <v>333</v>
      </c>
      <c r="S29" s="10"/>
    </row>
    <row r="30" spans="8:19" ht="13.8" x14ac:dyDescent="0.2">
      <c r="H30" s="2"/>
      <c r="I30" s="21" t="s">
        <v>32</v>
      </c>
      <c r="M30" s="26">
        <v>349</v>
      </c>
      <c r="N30" s="26">
        <v>319</v>
      </c>
      <c r="O30" s="26">
        <v>326</v>
      </c>
      <c r="P30" s="26">
        <v>311</v>
      </c>
      <c r="Q30" s="26">
        <v>356</v>
      </c>
      <c r="R30" s="26">
        <v>352</v>
      </c>
    </row>
    <row r="31" spans="8:19" ht="13.8" x14ac:dyDescent="0.2">
      <c r="H31" s="2"/>
      <c r="I31" s="21" t="s">
        <v>33</v>
      </c>
      <c r="M31" s="26">
        <v>331</v>
      </c>
      <c r="N31" s="26">
        <v>386</v>
      </c>
      <c r="O31" s="26">
        <v>301</v>
      </c>
      <c r="P31" s="26">
        <v>326</v>
      </c>
      <c r="Q31" s="26">
        <v>304</v>
      </c>
      <c r="R31" s="26">
        <v>304</v>
      </c>
    </row>
    <row r="32" spans="8:19" ht="13.8" x14ac:dyDescent="0.2">
      <c r="H32" s="2"/>
      <c r="I32" s="21" t="s">
        <v>34</v>
      </c>
      <c r="M32" s="26">
        <v>369</v>
      </c>
      <c r="N32" s="26">
        <v>312</v>
      </c>
      <c r="O32" s="26">
        <v>324</v>
      </c>
      <c r="P32" s="26">
        <v>328</v>
      </c>
      <c r="Q32" s="26">
        <v>347</v>
      </c>
      <c r="R32" s="26">
        <v>311</v>
      </c>
    </row>
    <row r="33" spans="8:18" ht="13.8" x14ac:dyDescent="0.2">
      <c r="H33" s="2"/>
      <c r="I33" s="19" t="s">
        <v>36</v>
      </c>
    </row>
    <row r="34" spans="8:18" ht="13.8" x14ac:dyDescent="0.2">
      <c r="H34" s="2"/>
      <c r="I34" s="20" t="s">
        <v>24</v>
      </c>
    </row>
    <row r="35" spans="8:18" ht="13.8" x14ac:dyDescent="0.2">
      <c r="H35" s="2"/>
      <c r="I35" s="21" t="s">
        <v>25</v>
      </c>
      <c r="M35" s="26">
        <v>126</v>
      </c>
      <c r="N35" s="26">
        <v>113</v>
      </c>
      <c r="O35" s="26">
        <v>102</v>
      </c>
      <c r="P35" s="26">
        <v>103</v>
      </c>
      <c r="Q35" s="26">
        <v>200</v>
      </c>
      <c r="R35" s="26">
        <v>162</v>
      </c>
    </row>
    <row r="36" spans="8:18" ht="13.8" x14ac:dyDescent="0.25">
      <c r="H36" s="2"/>
      <c r="I36" s="21" t="s">
        <v>26</v>
      </c>
      <c r="M36" s="26">
        <v>182</v>
      </c>
      <c r="N36" s="26">
        <v>129</v>
      </c>
      <c r="O36" s="26">
        <v>179</v>
      </c>
      <c r="P36" s="26">
        <v>189</v>
      </c>
      <c r="Q36" s="28">
        <v>198</v>
      </c>
      <c r="R36" s="26">
        <v>180</v>
      </c>
    </row>
    <row r="37" spans="8:18" ht="13.8" x14ac:dyDescent="0.25">
      <c r="H37" s="2"/>
      <c r="I37" s="21" t="s">
        <v>27</v>
      </c>
      <c r="M37" s="26">
        <v>173</v>
      </c>
      <c r="N37" s="26">
        <v>194</v>
      </c>
      <c r="O37" s="26">
        <v>104</v>
      </c>
      <c r="P37" s="26">
        <v>138</v>
      </c>
      <c r="Q37" s="28">
        <v>191</v>
      </c>
      <c r="R37" s="26">
        <v>110</v>
      </c>
    </row>
    <row r="38" spans="8:18" ht="13.8" x14ac:dyDescent="0.25">
      <c r="H38" s="2"/>
      <c r="I38" s="21" t="s">
        <v>28</v>
      </c>
      <c r="M38" s="26">
        <v>156</v>
      </c>
      <c r="N38" s="26">
        <v>147</v>
      </c>
      <c r="O38" s="26">
        <v>125</v>
      </c>
      <c r="P38" s="26">
        <v>111</v>
      </c>
      <c r="Q38" s="28">
        <v>187</v>
      </c>
      <c r="R38" s="26">
        <v>165</v>
      </c>
    </row>
    <row r="39" spans="8:18" ht="13.8" x14ac:dyDescent="0.25">
      <c r="H39" s="2"/>
      <c r="I39" s="21" t="s">
        <v>29</v>
      </c>
      <c r="M39" s="26">
        <v>161</v>
      </c>
      <c r="N39" s="26">
        <v>199</v>
      </c>
      <c r="O39" s="26">
        <v>123</v>
      </c>
      <c r="P39" s="26">
        <v>176</v>
      </c>
      <c r="Q39" s="28">
        <v>137</v>
      </c>
      <c r="R39" s="26">
        <v>119</v>
      </c>
    </row>
    <row r="40" spans="8:18" ht="13.8" x14ac:dyDescent="0.25">
      <c r="H40" s="2"/>
      <c r="I40" s="21" t="s">
        <v>30</v>
      </c>
      <c r="M40" s="26">
        <v>114</v>
      </c>
      <c r="N40" s="26">
        <v>132</v>
      </c>
      <c r="O40" s="26">
        <v>149</v>
      </c>
      <c r="P40" s="26">
        <v>172</v>
      </c>
      <c r="Q40" s="28">
        <v>156</v>
      </c>
      <c r="R40" s="26">
        <v>108</v>
      </c>
    </row>
    <row r="41" spans="8:18" ht="13.8" x14ac:dyDescent="0.25">
      <c r="H41" s="2"/>
      <c r="I41" s="21" t="s">
        <v>31</v>
      </c>
      <c r="M41" s="26">
        <v>195</v>
      </c>
      <c r="N41" s="26">
        <v>116</v>
      </c>
      <c r="O41" s="26">
        <v>169</v>
      </c>
      <c r="P41" s="26">
        <v>118</v>
      </c>
      <c r="Q41" s="28">
        <v>183</v>
      </c>
      <c r="R41" s="26">
        <v>161</v>
      </c>
    </row>
    <row r="42" spans="8:18" ht="13.8" x14ac:dyDescent="0.25">
      <c r="H42" s="2"/>
      <c r="I42" s="21" t="s">
        <v>32</v>
      </c>
      <c r="M42" s="26">
        <v>100</v>
      </c>
      <c r="N42" s="26">
        <v>149</v>
      </c>
      <c r="O42" s="26">
        <v>121</v>
      </c>
      <c r="P42" s="26">
        <v>176</v>
      </c>
      <c r="Q42" s="28">
        <v>185</v>
      </c>
      <c r="R42" s="26">
        <v>149</v>
      </c>
    </row>
    <row r="43" spans="8:18" ht="13.8" x14ac:dyDescent="0.25">
      <c r="H43" s="2"/>
      <c r="I43" s="21" t="s">
        <v>33</v>
      </c>
      <c r="M43" s="26">
        <v>107</v>
      </c>
      <c r="N43" s="26">
        <v>108</v>
      </c>
      <c r="O43" s="26">
        <v>138</v>
      </c>
      <c r="P43" s="26">
        <v>138</v>
      </c>
      <c r="Q43" s="28">
        <v>165</v>
      </c>
      <c r="R43" s="26">
        <v>193</v>
      </c>
    </row>
    <row r="44" spans="8:18" ht="13.8" x14ac:dyDescent="0.25">
      <c r="H44" s="2"/>
      <c r="I44" s="21" t="s">
        <v>34</v>
      </c>
      <c r="M44" s="26">
        <v>178</v>
      </c>
      <c r="N44" s="26">
        <v>195</v>
      </c>
      <c r="O44" s="26">
        <v>146</v>
      </c>
      <c r="P44" s="26">
        <v>131</v>
      </c>
      <c r="Q44" s="28">
        <v>180</v>
      </c>
      <c r="R44" s="26">
        <v>105</v>
      </c>
    </row>
    <row r="45" spans="8:18" ht="13.8" x14ac:dyDescent="0.2">
      <c r="H45" s="2"/>
      <c r="I45" s="20" t="s">
        <v>35</v>
      </c>
    </row>
    <row r="46" spans="8:18" ht="13.8" x14ac:dyDescent="0.25">
      <c r="H46" s="2"/>
      <c r="I46" s="21" t="s">
        <v>25</v>
      </c>
      <c r="M46" s="26">
        <v>354</v>
      </c>
      <c r="N46" s="26">
        <v>322</v>
      </c>
      <c r="O46" s="26">
        <v>387</v>
      </c>
      <c r="P46" s="26">
        <v>342</v>
      </c>
      <c r="Q46" s="32">
        <v>334</v>
      </c>
      <c r="R46" s="26">
        <v>353</v>
      </c>
    </row>
    <row r="47" spans="8:18" ht="13.8" x14ac:dyDescent="0.25">
      <c r="H47" s="2"/>
      <c r="I47" s="21" t="s">
        <v>26</v>
      </c>
      <c r="M47" s="26">
        <v>308</v>
      </c>
      <c r="N47" s="26">
        <v>389</v>
      </c>
      <c r="O47" s="26">
        <v>393</v>
      </c>
      <c r="P47" s="26">
        <v>316</v>
      </c>
      <c r="Q47" s="32">
        <v>306</v>
      </c>
      <c r="R47" s="26">
        <v>309</v>
      </c>
    </row>
    <row r="48" spans="8:18" ht="13.8" x14ac:dyDescent="0.25">
      <c r="H48" s="2"/>
      <c r="I48" s="21" t="s">
        <v>27</v>
      </c>
      <c r="M48" s="26">
        <v>353</v>
      </c>
      <c r="N48" s="26">
        <v>325</v>
      </c>
      <c r="O48" s="26">
        <v>386</v>
      </c>
      <c r="P48" s="26">
        <v>308</v>
      </c>
      <c r="Q48" s="32">
        <v>385</v>
      </c>
      <c r="R48" s="26">
        <v>352</v>
      </c>
    </row>
    <row r="49" spans="8:18" ht="13.8" x14ac:dyDescent="0.25">
      <c r="H49" s="2"/>
      <c r="I49" s="21" t="s">
        <v>28</v>
      </c>
      <c r="M49" s="26">
        <v>303</v>
      </c>
      <c r="N49" s="26">
        <v>329</v>
      </c>
      <c r="O49" s="26">
        <v>362</v>
      </c>
      <c r="P49" s="26">
        <v>374</v>
      </c>
      <c r="Q49" s="32">
        <v>389</v>
      </c>
      <c r="R49" s="26">
        <v>346</v>
      </c>
    </row>
    <row r="50" spans="8:18" ht="13.8" x14ac:dyDescent="0.25">
      <c r="H50" s="2"/>
      <c r="I50" s="21" t="s">
        <v>29</v>
      </c>
      <c r="M50" s="26">
        <v>311</v>
      </c>
      <c r="N50" s="26">
        <v>349</v>
      </c>
      <c r="O50" s="26">
        <v>370</v>
      </c>
      <c r="P50" s="26">
        <v>338</v>
      </c>
      <c r="Q50" s="32">
        <v>318</v>
      </c>
      <c r="R50" s="26">
        <v>373</v>
      </c>
    </row>
    <row r="51" spans="8:18" ht="13.8" x14ac:dyDescent="0.25">
      <c r="H51" s="2"/>
      <c r="I51" s="21" t="s">
        <v>30</v>
      </c>
      <c r="M51" s="26">
        <v>304</v>
      </c>
      <c r="N51" s="26">
        <v>316</v>
      </c>
      <c r="O51" s="26">
        <v>376</v>
      </c>
      <c r="P51" s="26">
        <v>342</v>
      </c>
      <c r="Q51" s="32">
        <v>345</v>
      </c>
      <c r="R51" s="26">
        <v>393</v>
      </c>
    </row>
    <row r="52" spans="8:18" ht="13.8" x14ac:dyDescent="0.25">
      <c r="H52" s="2"/>
      <c r="I52" s="21" t="s">
        <v>31</v>
      </c>
      <c r="M52" s="26">
        <v>366</v>
      </c>
      <c r="N52" s="26">
        <v>388</v>
      </c>
      <c r="O52" s="26">
        <v>392</v>
      </c>
      <c r="P52" s="26">
        <v>379</v>
      </c>
      <c r="Q52" s="32">
        <v>365</v>
      </c>
      <c r="R52" s="26">
        <v>344</v>
      </c>
    </row>
    <row r="53" spans="8:18" ht="13.8" x14ac:dyDescent="0.25">
      <c r="H53" s="2"/>
      <c r="I53" s="21" t="s">
        <v>32</v>
      </c>
      <c r="M53" s="26">
        <v>348</v>
      </c>
      <c r="N53" s="26">
        <v>313</v>
      </c>
      <c r="O53" s="26">
        <v>320</v>
      </c>
      <c r="P53" s="26">
        <v>390</v>
      </c>
      <c r="Q53" s="32">
        <v>370</v>
      </c>
      <c r="R53" s="26">
        <v>350</v>
      </c>
    </row>
    <row r="54" spans="8:18" ht="13.8" x14ac:dyDescent="0.25">
      <c r="H54" s="2"/>
      <c r="I54" s="21" t="s">
        <v>33</v>
      </c>
      <c r="M54" s="26">
        <v>312</v>
      </c>
      <c r="N54" s="26">
        <v>348</v>
      </c>
      <c r="O54" s="26">
        <v>382</v>
      </c>
      <c r="P54" s="26">
        <v>351</v>
      </c>
      <c r="Q54" s="32">
        <v>381</v>
      </c>
      <c r="R54" s="26">
        <v>366</v>
      </c>
    </row>
    <row r="55" spans="8:18" ht="13.8" x14ac:dyDescent="0.25">
      <c r="H55" s="2"/>
      <c r="I55" s="21" t="s">
        <v>34</v>
      </c>
      <c r="M55" s="26">
        <v>314</v>
      </c>
      <c r="N55" s="26">
        <v>333</v>
      </c>
      <c r="O55" s="26">
        <v>315</v>
      </c>
      <c r="P55" s="26">
        <v>397</v>
      </c>
      <c r="Q55" s="32">
        <v>400</v>
      </c>
      <c r="R55" s="26">
        <v>346</v>
      </c>
    </row>
    <row r="56" spans="8:18" ht="13.8" x14ac:dyDescent="0.2">
      <c r="I56" s="20"/>
    </row>
    <row r="58" spans="8:18" ht="13.8" x14ac:dyDescent="0.2">
      <c r="H58" s="36" t="s">
        <v>37</v>
      </c>
      <c r="I58" s="19" t="s">
        <v>23</v>
      </c>
    </row>
    <row r="59" spans="8:18" ht="13.8" x14ac:dyDescent="0.2">
      <c r="H59" s="36"/>
      <c r="I59" s="20" t="s">
        <v>24</v>
      </c>
    </row>
    <row r="60" spans="8:18" ht="13.8" x14ac:dyDescent="0.2">
      <c r="H60" s="36"/>
      <c r="I60" s="21" t="s">
        <v>25</v>
      </c>
      <c r="M60" s="26">
        <v>160</v>
      </c>
      <c r="N60" s="26">
        <v>200</v>
      </c>
      <c r="O60" s="26">
        <v>190</v>
      </c>
      <c r="P60" s="26">
        <v>153</v>
      </c>
      <c r="Q60" s="26">
        <v>142</v>
      </c>
      <c r="R60" s="26">
        <v>194</v>
      </c>
    </row>
    <row r="61" spans="8:18" ht="13.8" x14ac:dyDescent="0.2">
      <c r="H61" s="36"/>
      <c r="I61" s="21" t="s">
        <v>26</v>
      </c>
      <c r="M61" s="26">
        <v>182</v>
      </c>
      <c r="N61" s="26">
        <v>183</v>
      </c>
      <c r="O61" s="26">
        <v>115</v>
      </c>
      <c r="P61" s="26">
        <v>120</v>
      </c>
      <c r="Q61" s="26">
        <v>100</v>
      </c>
      <c r="R61" s="26">
        <v>195</v>
      </c>
    </row>
    <row r="62" spans="8:18" ht="13.8" x14ac:dyDescent="0.2">
      <c r="H62" s="36"/>
      <c r="I62" s="21" t="s">
        <v>27</v>
      </c>
      <c r="M62" s="26">
        <v>191</v>
      </c>
      <c r="N62" s="26">
        <v>119</v>
      </c>
      <c r="O62" s="26">
        <v>109</v>
      </c>
      <c r="P62" s="26">
        <v>111</v>
      </c>
      <c r="Q62" s="26">
        <v>128</v>
      </c>
      <c r="R62" s="26">
        <v>138</v>
      </c>
    </row>
    <row r="63" spans="8:18" ht="13.8" x14ac:dyDescent="0.2">
      <c r="H63" s="36"/>
      <c r="I63" s="21" t="s">
        <v>28</v>
      </c>
      <c r="M63" s="26">
        <v>162</v>
      </c>
      <c r="N63" s="26">
        <v>197</v>
      </c>
      <c r="O63" s="27">
        <v>182</v>
      </c>
      <c r="P63" s="26">
        <v>179</v>
      </c>
      <c r="Q63" s="26">
        <v>114</v>
      </c>
      <c r="R63" s="26">
        <v>189</v>
      </c>
    </row>
    <row r="64" spans="8:18" ht="13.8" x14ac:dyDescent="0.2">
      <c r="H64" s="36"/>
      <c r="I64" s="21" t="s">
        <v>29</v>
      </c>
      <c r="M64" s="26">
        <v>193</v>
      </c>
      <c r="N64" s="26">
        <v>144</v>
      </c>
      <c r="O64" s="26">
        <v>194</v>
      </c>
      <c r="P64" s="26">
        <v>151</v>
      </c>
      <c r="Q64" s="26">
        <v>180</v>
      </c>
      <c r="R64" s="26">
        <v>173</v>
      </c>
    </row>
    <row r="65" spans="8:18" ht="13.8" x14ac:dyDescent="0.2">
      <c r="H65" s="36"/>
      <c r="I65" s="21" t="s">
        <v>30</v>
      </c>
      <c r="M65" s="26">
        <v>106</v>
      </c>
      <c r="N65" s="26">
        <v>189</v>
      </c>
      <c r="O65" s="26">
        <v>199</v>
      </c>
      <c r="P65" s="26">
        <v>155</v>
      </c>
      <c r="Q65" s="26">
        <v>138</v>
      </c>
      <c r="R65" s="26">
        <v>155</v>
      </c>
    </row>
    <row r="66" spans="8:18" ht="13.8" x14ac:dyDescent="0.2">
      <c r="H66" s="36"/>
      <c r="I66" s="21" t="s">
        <v>31</v>
      </c>
      <c r="M66" s="26">
        <v>177</v>
      </c>
      <c r="N66" s="26">
        <v>105</v>
      </c>
      <c r="O66" s="26">
        <v>159</v>
      </c>
      <c r="P66" s="26">
        <v>124</v>
      </c>
      <c r="Q66" s="26">
        <v>132</v>
      </c>
      <c r="R66" s="26">
        <v>188</v>
      </c>
    </row>
    <row r="67" spans="8:18" ht="13.8" x14ac:dyDescent="0.2">
      <c r="H67" s="36"/>
      <c r="I67" s="21" t="s">
        <v>32</v>
      </c>
      <c r="M67" s="26">
        <v>168</v>
      </c>
      <c r="N67" s="26">
        <v>156</v>
      </c>
      <c r="O67" s="26">
        <v>110</v>
      </c>
      <c r="P67" s="26">
        <v>128</v>
      </c>
      <c r="Q67" s="26">
        <v>151</v>
      </c>
      <c r="R67" s="26">
        <v>164</v>
      </c>
    </row>
    <row r="68" spans="8:18" ht="13.8" x14ac:dyDescent="0.2">
      <c r="H68" s="36"/>
      <c r="I68" s="21" t="s">
        <v>33</v>
      </c>
      <c r="M68" s="26">
        <v>165</v>
      </c>
      <c r="N68" s="26">
        <v>137</v>
      </c>
      <c r="O68" s="26">
        <v>113</v>
      </c>
      <c r="P68" s="26">
        <v>173</v>
      </c>
      <c r="Q68" s="26">
        <v>199</v>
      </c>
      <c r="R68" s="26">
        <v>115</v>
      </c>
    </row>
    <row r="69" spans="8:18" ht="13.8" x14ac:dyDescent="0.2">
      <c r="H69" s="36"/>
      <c r="I69" s="21" t="s">
        <v>34</v>
      </c>
      <c r="M69" s="26">
        <v>142</v>
      </c>
      <c r="N69" s="26">
        <v>184</v>
      </c>
      <c r="O69" s="26">
        <v>199</v>
      </c>
      <c r="P69" s="26">
        <v>118</v>
      </c>
      <c r="Q69" s="26">
        <v>134</v>
      </c>
      <c r="R69" s="26">
        <v>127</v>
      </c>
    </row>
    <row r="70" spans="8:18" ht="13.8" x14ac:dyDescent="0.2">
      <c r="H70" s="36"/>
      <c r="I70" s="20" t="s">
        <v>35</v>
      </c>
    </row>
    <row r="71" spans="8:18" ht="13.8" x14ac:dyDescent="0.2">
      <c r="H71" s="36"/>
      <c r="I71" s="21" t="s">
        <v>25</v>
      </c>
      <c r="M71" s="26">
        <v>313</v>
      </c>
      <c r="N71" s="26">
        <v>347</v>
      </c>
      <c r="O71" s="26">
        <v>388</v>
      </c>
      <c r="P71" s="26">
        <v>325</v>
      </c>
      <c r="Q71" s="26">
        <v>361</v>
      </c>
      <c r="R71" s="26">
        <v>372</v>
      </c>
    </row>
    <row r="72" spans="8:18" ht="13.8" x14ac:dyDescent="0.2">
      <c r="H72" s="36"/>
      <c r="I72" s="21" t="s">
        <v>26</v>
      </c>
      <c r="M72" s="26">
        <v>300</v>
      </c>
      <c r="N72" s="26">
        <v>317</v>
      </c>
      <c r="O72" s="26">
        <v>307</v>
      </c>
      <c r="P72" s="26">
        <v>304</v>
      </c>
      <c r="Q72" s="26">
        <v>338</v>
      </c>
      <c r="R72" s="26">
        <v>387</v>
      </c>
    </row>
    <row r="73" spans="8:18" ht="13.8" x14ac:dyDescent="0.2">
      <c r="H73" s="36"/>
      <c r="I73" s="21" t="s">
        <v>27</v>
      </c>
      <c r="M73" s="26">
        <v>332</v>
      </c>
      <c r="N73" s="26">
        <v>316</v>
      </c>
      <c r="O73" s="26">
        <v>339</v>
      </c>
      <c r="P73" s="26">
        <v>304</v>
      </c>
      <c r="Q73" s="26">
        <v>311</v>
      </c>
      <c r="R73" s="26">
        <v>383</v>
      </c>
    </row>
    <row r="74" spans="8:18" ht="13.8" x14ac:dyDescent="0.2">
      <c r="H74" s="36"/>
      <c r="I74" s="21" t="s">
        <v>28</v>
      </c>
      <c r="M74" s="26">
        <v>399</v>
      </c>
      <c r="N74" s="26">
        <v>331</v>
      </c>
      <c r="O74" s="26">
        <v>317</v>
      </c>
      <c r="P74" s="26">
        <v>384</v>
      </c>
      <c r="Q74" s="26">
        <v>303</v>
      </c>
      <c r="R74" s="26">
        <v>357</v>
      </c>
    </row>
    <row r="75" spans="8:18" ht="13.8" x14ac:dyDescent="0.2">
      <c r="H75" s="36"/>
      <c r="I75" s="21" t="s">
        <v>29</v>
      </c>
      <c r="M75" s="26">
        <v>320</v>
      </c>
      <c r="N75" s="26">
        <v>374</v>
      </c>
      <c r="O75" s="26">
        <v>324</v>
      </c>
      <c r="P75" s="33">
        <v>350</v>
      </c>
      <c r="Q75" s="26">
        <v>368</v>
      </c>
      <c r="R75" s="26">
        <v>303</v>
      </c>
    </row>
    <row r="76" spans="8:18" ht="13.8" x14ac:dyDescent="0.2">
      <c r="H76" s="36"/>
      <c r="I76" s="21" t="s">
        <v>30</v>
      </c>
      <c r="M76" s="26">
        <v>314</v>
      </c>
      <c r="N76" s="26">
        <v>304</v>
      </c>
      <c r="O76" s="26">
        <v>331</v>
      </c>
      <c r="P76" s="26">
        <v>327</v>
      </c>
      <c r="Q76" s="26">
        <v>345</v>
      </c>
      <c r="R76" s="26">
        <v>316</v>
      </c>
    </row>
    <row r="77" spans="8:18" ht="13.8" x14ac:dyDescent="0.2">
      <c r="H77" s="36"/>
      <c r="I77" s="21" t="s">
        <v>31</v>
      </c>
      <c r="M77" s="26">
        <v>384</v>
      </c>
      <c r="N77" s="26">
        <v>353</v>
      </c>
      <c r="O77" s="26">
        <v>334</v>
      </c>
      <c r="P77" s="26">
        <v>353</v>
      </c>
      <c r="Q77" s="26">
        <v>312</v>
      </c>
      <c r="R77" s="26">
        <v>400</v>
      </c>
    </row>
    <row r="78" spans="8:18" ht="13.8" x14ac:dyDescent="0.2">
      <c r="H78" s="36"/>
      <c r="I78" s="21" t="s">
        <v>32</v>
      </c>
      <c r="M78" s="26">
        <v>352</v>
      </c>
      <c r="N78" s="26">
        <v>310</v>
      </c>
      <c r="O78" s="26">
        <v>342</v>
      </c>
      <c r="P78" s="26">
        <v>324</v>
      </c>
      <c r="Q78" s="26">
        <v>396</v>
      </c>
      <c r="R78" s="26">
        <v>310</v>
      </c>
    </row>
    <row r="79" spans="8:18" ht="13.8" x14ac:dyDescent="0.2">
      <c r="H79" s="36"/>
      <c r="I79" s="21" t="s">
        <v>33</v>
      </c>
      <c r="M79" s="26">
        <v>375</v>
      </c>
      <c r="N79" s="26">
        <v>347</v>
      </c>
      <c r="O79" s="26">
        <v>374</v>
      </c>
      <c r="P79" s="26">
        <v>309</v>
      </c>
      <c r="Q79" s="26">
        <v>381</v>
      </c>
      <c r="R79" s="26">
        <v>343</v>
      </c>
    </row>
    <row r="80" spans="8:18" ht="13.8" x14ac:dyDescent="0.2">
      <c r="H80" s="36"/>
      <c r="I80" s="21" t="s">
        <v>34</v>
      </c>
      <c r="M80" s="26">
        <v>345</v>
      </c>
      <c r="N80" s="26">
        <v>325</v>
      </c>
      <c r="O80" s="26">
        <v>392</v>
      </c>
      <c r="P80" s="26">
        <v>357</v>
      </c>
      <c r="Q80" s="26">
        <v>313</v>
      </c>
      <c r="R80" s="26">
        <v>301</v>
      </c>
    </row>
    <row r="81" spans="8:18" ht="13.8" x14ac:dyDescent="0.2">
      <c r="H81" s="36"/>
      <c r="I81" s="19" t="s">
        <v>36</v>
      </c>
    </row>
    <row r="82" spans="8:18" ht="13.8" x14ac:dyDescent="0.2">
      <c r="H82" s="36"/>
      <c r="I82" s="20" t="s">
        <v>24</v>
      </c>
    </row>
    <row r="83" spans="8:18" ht="13.8" x14ac:dyDescent="0.2">
      <c r="H83" s="36"/>
      <c r="I83" s="21" t="s">
        <v>25</v>
      </c>
      <c r="M83" s="26">
        <v>172</v>
      </c>
      <c r="N83" s="26">
        <v>177</v>
      </c>
      <c r="O83" s="26">
        <v>177</v>
      </c>
      <c r="P83" s="26">
        <v>121</v>
      </c>
      <c r="Q83" s="26">
        <v>135</v>
      </c>
      <c r="R83" s="26">
        <v>144</v>
      </c>
    </row>
    <row r="84" spans="8:18" ht="13.8" x14ac:dyDescent="0.2">
      <c r="H84" s="36"/>
      <c r="I84" s="21" t="s">
        <v>26</v>
      </c>
      <c r="M84" s="26">
        <v>159</v>
      </c>
      <c r="N84" s="26">
        <v>115</v>
      </c>
      <c r="O84" s="26">
        <v>131</v>
      </c>
      <c r="P84" s="26">
        <v>118</v>
      </c>
      <c r="Q84" s="26">
        <v>115</v>
      </c>
      <c r="R84" s="26">
        <v>126</v>
      </c>
    </row>
    <row r="85" spans="8:18" ht="13.8" x14ac:dyDescent="0.2">
      <c r="H85" s="36"/>
      <c r="I85" s="21" t="s">
        <v>27</v>
      </c>
      <c r="M85" s="26">
        <v>125</v>
      </c>
      <c r="N85" s="26">
        <v>119</v>
      </c>
      <c r="O85" s="26">
        <v>117</v>
      </c>
      <c r="P85" s="26">
        <v>172</v>
      </c>
      <c r="Q85" s="26">
        <v>192</v>
      </c>
      <c r="R85" s="26">
        <v>109</v>
      </c>
    </row>
    <row r="86" spans="8:18" ht="13.8" x14ac:dyDescent="0.2">
      <c r="H86" s="36"/>
      <c r="I86" s="21" t="s">
        <v>28</v>
      </c>
      <c r="M86" s="26">
        <v>191</v>
      </c>
      <c r="N86" s="33">
        <v>139</v>
      </c>
      <c r="O86" s="33">
        <v>184</v>
      </c>
      <c r="P86" s="33">
        <v>142</v>
      </c>
      <c r="Q86" s="26">
        <v>188</v>
      </c>
      <c r="R86" s="26">
        <v>135</v>
      </c>
    </row>
    <row r="87" spans="8:18" ht="13.8" x14ac:dyDescent="0.2">
      <c r="H87" s="36"/>
      <c r="I87" s="21" t="s">
        <v>29</v>
      </c>
      <c r="M87" s="26">
        <v>166</v>
      </c>
      <c r="N87" s="33">
        <v>130</v>
      </c>
      <c r="O87" s="33">
        <v>192</v>
      </c>
      <c r="P87" s="26">
        <v>116</v>
      </c>
      <c r="Q87" s="26">
        <v>148</v>
      </c>
      <c r="R87" s="26">
        <v>102</v>
      </c>
    </row>
    <row r="88" spans="8:18" ht="13.8" x14ac:dyDescent="0.2">
      <c r="H88" s="36"/>
      <c r="I88" s="21" t="s">
        <v>30</v>
      </c>
      <c r="M88" s="26">
        <v>197</v>
      </c>
      <c r="N88" s="26">
        <v>158</v>
      </c>
      <c r="O88" s="26">
        <v>174</v>
      </c>
      <c r="P88" s="26">
        <v>176</v>
      </c>
      <c r="Q88" s="26">
        <v>108</v>
      </c>
      <c r="R88" s="26">
        <v>187</v>
      </c>
    </row>
    <row r="89" spans="8:18" ht="13.8" x14ac:dyDescent="0.2">
      <c r="H89" s="36"/>
      <c r="I89" s="21" t="s">
        <v>31</v>
      </c>
      <c r="M89" s="26">
        <v>185</v>
      </c>
      <c r="N89" s="26">
        <v>119</v>
      </c>
      <c r="O89" s="26">
        <v>169</v>
      </c>
      <c r="P89" s="26">
        <v>121</v>
      </c>
      <c r="Q89" s="26">
        <v>171</v>
      </c>
      <c r="R89" s="26">
        <v>118</v>
      </c>
    </row>
    <row r="90" spans="8:18" ht="13.8" x14ac:dyDescent="0.2">
      <c r="H90" s="36"/>
      <c r="I90" s="21" t="s">
        <v>32</v>
      </c>
      <c r="M90" s="26">
        <v>144</v>
      </c>
      <c r="N90" s="26">
        <v>107</v>
      </c>
      <c r="O90" s="26">
        <v>128</v>
      </c>
      <c r="P90" s="26">
        <v>126</v>
      </c>
      <c r="Q90" s="26">
        <v>190</v>
      </c>
      <c r="R90" s="26">
        <v>147</v>
      </c>
    </row>
    <row r="91" spans="8:18" ht="13.8" x14ac:dyDescent="0.2">
      <c r="H91" s="36"/>
      <c r="I91" s="21" t="s">
        <v>33</v>
      </c>
      <c r="M91" s="26">
        <v>112</v>
      </c>
      <c r="N91" s="26">
        <v>183</v>
      </c>
      <c r="O91" s="26">
        <v>145</v>
      </c>
      <c r="P91" s="26">
        <v>127</v>
      </c>
      <c r="Q91" s="33">
        <v>129</v>
      </c>
      <c r="R91" s="26">
        <v>161</v>
      </c>
    </row>
    <row r="92" spans="8:18" ht="13.8" x14ac:dyDescent="0.2">
      <c r="H92" s="36"/>
      <c r="I92" s="21" t="s">
        <v>34</v>
      </c>
      <c r="M92" s="26">
        <v>111</v>
      </c>
      <c r="N92" s="26">
        <v>148</v>
      </c>
      <c r="O92" s="26">
        <v>155</v>
      </c>
      <c r="P92" s="26">
        <v>161</v>
      </c>
      <c r="Q92" s="26">
        <v>166</v>
      </c>
      <c r="R92" s="26">
        <v>156</v>
      </c>
    </row>
    <row r="93" spans="8:18" ht="13.8" x14ac:dyDescent="0.2">
      <c r="H93" s="36"/>
      <c r="I93" s="20" t="s">
        <v>35</v>
      </c>
    </row>
    <row r="94" spans="8:18" ht="13.8" x14ac:dyDescent="0.2">
      <c r="H94" s="36"/>
      <c r="I94" s="21" t="s">
        <v>25</v>
      </c>
      <c r="M94" s="26">
        <v>375</v>
      </c>
      <c r="N94" s="26">
        <v>336</v>
      </c>
      <c r="O94" s="26">
        <v>318</v>
      </c>
      <c r="P94" s="26">
        <v>384</v>
      </c>
      <c r="Q94" s="26">
        <v>380</v>
      </c>
      <c r="R94" s="26">
        <v>373</v>
      </c>
    </row>
    <row r="95" spans="8:18" ht="13.8" x14ac:dyDescent="0.2">
      <c r="H95" s="36"/>
      <c r="I95" s="21" t="s">
        <v>26</v>
      </c>
      <c r="M95" s="26">
        <v>359</v>
      </c>
      <c r="N95" s="26">
        <v>356</v>
      </c>
      <c r="O95" s="26">
        <v>311</v>
      </c>
      <c r="P95" s="26">
        <v>313</v>
      </c>
      <c r="Q95" s="26">
        <v>329</v>
      </c>
      <c r="R95" s="26">
        <v>396</v>
      </c>
    </row>
    <row r="96" spans="8:18" ht="13.8" x14ac:dyDescent="0.2">
      <c r="H96" s="36"/>
      <c r="I96" s="21" t="s">
        <v>27</v>
      </c>
      <c r="M96" s="26">
        <v>368</v>
      </c>
      <c r="N96" s="30">
        <v>347</v>
      </c>
      <c r="O96" s="26">
        <v>325</v>
      </c>
      <c r="P96" s="30">
        <v>376</v>
      </c>
      <c r="Q96" s="26">
        <v>358</v>
      </c>
      <c r="R96" s="26">
        <v>376</v>
      </c>
    </row>
    <row r="97" spans="8:24" ht="13.8" x14ac:dyDescent="0.2">
      <c r="H97" s="36"/>
      <c r="I97" s="21" t="s">
        <v>28</v>
      </c>
      <c r="M97" s="26">
        <v>391</v>
      </c>
      <c r="N97" s="26">
        <v>318</v>
      </c>
      <c r="O97" s="26">
        <v>346</v>
      </c>
      <c r="P97" s="26">
        <v>336</v>
      </c>
      <c r="Q97" s="26">
        <v>390</v>
      </c>
      <c r="R97" s="26">
        <v>367</v>
      </c>
    </row>
    <row r="98" spans="8:24" ht="13.8" x14ac:dyDescent="0.2">
      <c r="H98" s="36"/>
      <c r="I98" s="21" t="s">
        <v>29</v>
      </c>
      <c r="M98" s="26">
        <v>336</v>
      </c>
      <c r="N98" s="26">
        <v>392</v>
      </c>
      <c r="O98" s="26">
        <v>319</v>
      </c>
      <c r="P98" s="26">
        <v>308</v>
      </c>
      <c r="Q98" s="26">
        <v>340</v>
      </c>
      <c r="R98" s="26">
        <v>383</v>
      </c>
    </row>
    <row r="99" spans="8:24" ht="13.8" x14ac:dyDescent="0.2">
      <c r="H99" s="36"/>
      <c r="I99" s="21" t="s">
        <v>30</v>
      </c>
      <c r="M99" s="26">
        <v>377</v>
      </c>
      <c r="N99" s="26">
        <v>340</v>
      </c>
      <c r="O99" s="33">
        <v>397</v>
      </c>
      <c r="P99" s="26">
        <v>396</v>
      </c>
      <c r="Q99" s="26">
        <v>335</v>
      </c>
      <c r="R99" s="26">
        <v>356</v>
      </c>
    </row>
    <row r="100" spans="8:24" ht="13.8" x14ac:dyDescent="0.2">
      <c r="H100" s="36"/>
      <c r="I100" s="21" t="s">
        <v>31</v>
      </c>
      <c r="M100" s="26">
        <v>300</v>
      </c>
      <c r="N100" s="26">
        <v>394</v>
      </c>
      <c r="O100" s="26">
        <v>371</v>
      </c>
      <c r="P100" s="26">
        <v>322</v>
      </c>
      <c r="Q100" s="26">
        <v>400</v>
      </c>
      <c r="R100" s="26">
        <v>376</v>
      </c>
    </row>
    <row r="101" spans="8:24" ht="13.8" x14ac:dyDescent="0.2">
      <c r="H101" s="36"/>
      <c r="I101" s="29" t="s">
        <v>32</v>
      </c>
      <c r="J101" s="10"/>
      <c r="K101" s="10"/>
      <c r="L101" s="10"/>
      <c r="M101" s="30">
        <v>303</v>
      </c>
      <c r="N101" s="30">
        <v>320</v>
      </c>
      <c r="O101" s="30">
        <v>390</v>
      </c>
      <c r="P101" s="30">
        <v>378</v>
      </c>
      <c r="Q101" s="30">
        <v>380</v>
      </c>
      <c r="R101" s="30">
        <v>327</v>
      </c>
      <c r="S101" s="10"/>
      <c r="T101" s="10"/>
      <c r="U101" s="10"/>
      <c r="V101" s="10"/>
      <c r="W101" s="10"/>
      <c r="X101" s="10"/>
    </row>
    <row r="102" spans="8:24" ht="13.8" x14ac:dyDescent="0.2">
      <c r="H102" s="36"/>
      <c r="I102" s="21" t="s">
        <v>33</v>
      </c>
      <c r="M102" s="26">
        <v>347</v>
      </c>
      <c r="N102" s="26">
        <v>346</v>
      </c>
      <c r="O102" s="26">
        <v>379</v>
      </c>
      <c r="P102" s="26">
        <v>372</v>
      </c>
      <c r="Q102" s="26">
        <v>388</v>
      </c>
      <c r="R102" s="26">
        <v>364</v>
      </c>
    </row>
    <row r="103" spans="8:24" ht="13.8" x14ac:dyDescent="0.2">
      <c r="H103" s="36"/>
      <c r="I103" s="21" t="s">
        <v>34</v>
      </c>
      <c r="M103" s="26">
        <v>310</v>
      </c>
      <c r="N103" s="26">
        <v>378</v>
      </c>
      <c r="O103" s="26">
        <v>307</v>
      </c>
      <c r="P103" s="26">
        <v>335</v>
      </c>
      <c r="Q103" s="26">
        <v>388</v>
      </c>
      <c r="R103" s="26">
        <v>320</v>
      </c>
    </row>
  </sheetData>
  <mergeCells count="2">
    <mergeCell ref="H10:H55"/>
    <mergeCell ref="H58:H10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P105"/>
  <sheetViews>
    <sheetView zoomScale="85" zoomScaleNormal="85" workbookViewId="0">
      <selection activeCell="G1" sqref="G1"/>
    </sheetView>
  </sheetViews>
  <sheetFormatPr defaultColWidth="9" defaultRowHeight="11.4" x14ac:dyDescent="0.2"/>
  <cols>
    <col min="2" max="2" width="31" customWidth="1"/>
    <col min="10" max="10" width="13" customWidth="1"/>
  </cols>
  <sheetData>
    <row r="3" spans="2:16" x14ac:dyDescent="0.2">
      <c r="B3" t="s">
        <v>42</v>
      </c>
    </row>
    <row r="9" spans="2:16" x14ac:dyDescent="0.2">
      <c r="E9" s="9">
        <v>44927</v>
      </c>
      <c r="F9" s="9">
        <v>44958</v>
      </c>
      <c r="G9" s="9">
        <v>44986</v>
      </c>
      <c r="H9" s="9">
        <v>45017</v>
      </c>
      <c r="I9" s="9">
        <v>45047</v>
      </c>
      <c r="J9" s="9">
        <v>45078</v>
      </c>
      <c r="K9" s="9">
        <v>45108</v>
      </c>
      <c r="L9" s="9">
        <v>45139</v>
      </c>
      <c r="M9" s="9">
        <v>45170</v>
      </c>
      <c r="N9" s="9">
        <v>45200</v>
      </c>
      <c r="O9" s="9">
        <v>45231</v>
      </c>
      <c r="P9" s="9">
        <v>45261</v>
      </c>
    </row>
    <row r="11" spans="2:16" ht="13.8" x14ac:dyDescent="0.2">
      <c r="C11" s="18"/>
    </row>
    <row r="12" spans="2:16" ht="13.8" x14ac:dyDescent="0.2">
      <c r="B12" t="s">
        <v>22</v>
      </c>
      <c r="C12" s="19" t="s">
        <v>23</v>
      </c>
    </row>
    <row r="13" spans="2:16" ht="13.8" x14ac:dyDescent="0.2">
      <c r="B13" t="s">
        <v>22</v>
      </c>
      <c r="C13" s="20" t="s">
        <v>24</v>
      </c>
    </row>
    <row r="14" spans="2:16" ht="13.8" x14ac:dyDescent="0.2">
      <c r="B14" t="s">
        <v>22</v>
      </c>
      <c r="C14" s="21" t="s">
        <v>25</v>
      </c>
      <c r="E14">
        <v>73.687450198377832</v>
      </c>
      <c r="F14">
        <v>96.479189433201697</v>
      </c>
      <c r="G14">
        <v>68.053013215724278</v>
      </c>
      <c r="H14">
        <v>103.5535095344234</v>
      </c>
      <c r="I14">
        <v>142.55330537438735</v>
      </c>
      <c r="J14">
        <v>103.99018511080278</v>
      </c>
      <c r="K14">
        <v>98.324176202391229</v>
      </c>
      <c r="L14">
        <v>202.16839692694225</v>
      </c>
      <c r="M14">
        <v>133.82837626586152</v>
      </c>
      <c r="N14">
        <v>125.52615031052021</v>
      </c>
      <c r="O14">
        <v>121.55107112212247</v>
      </c>
      <c r="P14">
        <v>103.99419033587388</v>
      </c>
    </row>
    <row r="15" spans="2:16" ht="13.8" x14ac:dyDescent="0.2">
      <c r="B15" t="s">
        <v>22</v>
      </c>
      <c r="C15" s="21" t="s">
        <v>26</v>
      </c>
      <c r="E15">
        <v>113.76375939878771</v>
      </c>
      <c r="F15">
        <v>207.5499621746697</v>
      </c>
      <c r="G15">
        <v>145.77090323160655</v>
      </c>
      <c r="H15">
        <v>71.269187057498939</v>
      </c>
      <c r="I15">
        <v>107.83720446898688</v>
      </c>
      <c r="J15">
        <v>146.08755994178139</v>
      </c>
      <c r="K15">
        <v>77.642334686813982</v>
      </c>
      <c r="L15">
        <v>201.09710179192678</v>
      </c>
      <c r="M15">
        <v>93.040860805455068</v>
      </c>
      <c r="N15">
        <v>178.52563890119268</v>
      </c>
      <c r="O15">
        <v>189.41568042252024</v>
      </c>
      <c r="P15">
        <v>174.32708582016156</v>
      </c>
    </row>
    <row r="16" spans="2:16" ht="13.8" x14ac:dyDescent="0.2">
      <c r="B16" t="s">
        <v>22</v>
      </c>
      <c r="C16" s="21" t="s">
        <v>27</v>
      </c>
      <c r="E16">
        <v>158.97745156158317</v>
      </c>
      <c r="F16">
        <v>136.04412484982407</v>
      </c>
      <c r="G16">
        <v>96.337489163781839</v>
      </c>
      <c r="H16">
        <v>126.77372674687076</v>
      </c>
      <c r="I16">
        <v>110.30804227423646</v>
      </c>
      <c r="J16">
        <v>166.15905177294246</v>
      </c>
      <c r="K16">
        <v>131.00135163662804</v>
      </c>
      <c r="L16">
        <v>218.93305175279892</v>
      </c>
      <c r="M16">
        <v>158.91509104950188</v>
      </c>
      <c r="N16">
        <v>109.72603931911144</v>
      </c>
      <c r="O16">
        <v>90.082490818633147</v>
      </c>
      <c r="P16">
        <v>101.05029740489876</v>
      </c>
    </row>
    <row r="17" spans="2:16" ht="13.8" x14ac:dyDescent="0.2">
      <c r="B17" t="s">
        <v>22</v>
      </c>
      <c r="C17" s="21" t="s">
        <v>28</v>
      </c>
      <c r="E17">
        <v>155.74071752507101</v>
      </c>
      <c r="F17">
        <v>178.35060935293671</v>
      </c>
      <c r="G17">
        <v>164.67511956030762</v>
      </c>
      <c r="H17">
        <v>136.72685728460553</v>
      </c>
      <c r="I17">
        <v>186.01307614553565</v>
      </c>
      <c r="J17">
        <v>94.705677992610006</v>
      </c>
      <c r="K17">
        <v>200.8637731206536</v>
      </c>
      <c r="L17">
        <v>116.97875632267623</v>
      </c>
      <c r="M17">
        <v>156.91924637836979</v>
      </c>
      <c r="N17">
        <v>117.63248648251759</v>
      </c>
      <c r="O17">
        <v>123.22341150877402</v>
      </c>
      <c r="P17">
        <v>206.23772650585957</v>
      </c>
    </row>
    <row r="18" spans="2:16" ht="13.8" x14ac:dyDescent="0.2">
      <c r="B18" t="s">
        <v>22</v>
      </c>
      <c r="C18" s="21" t="s">
        <v>29</v>
      </c>
      <c r="E18">
        <v>160.15558557765004</v>
      </c>
      <c r="F18">
        <v>163.15784486195361</v>
      </c>
      <c r="G18">
        <v>204.79836598155151</v>
      </c>
      <c r="H18">
        <v>200.77032634928528</v>
      </c>
      <c r="I18">
        <v>118.04718851969557</v>
      </c>
      <c r="J18">
        <v>144.23593825206964</v>
      </c>
      <c r="K18">
        <v>197.35950082724838</v>
      </c>
      <c r="L18">
        <v>238.4496481159816</v>
      </c>
      <c r="M18">
        <v>157.12074445275715</v>
      </c>
      <c r="N18">
        <v>97.938732412033758</v>
      </c>
      <c r="O18">
        <v>214.69738382125385</v>
      </c>
      <c r="P18">
        <v>115.2590986979133</v>
      </c>
    </row>
    <row r="19" spans="2:16" ht="13.8" x14ac:dyDescent="0.2">
      <c r="B19" t="s">
        <v>22</v>
      </c>
      <c r="C19" s="21" t="s">
        <v>30</v>
      </c>
      <c r="E19">
        <v>164.14089427995708</v>
      </c>
      <c r="F19">
        <v>95.730856756199884</v>
      </c>
      <c r="G19">
        <v>181.95688334220964</v>
      </c>
      <c r="H19">
        <v>86.898666320954334</v>
      </c>
      <c r="I19">
        <v>88.794244784581437</v>
      </c>
      <c r="J19">
        <v>95.290166458521682</v>
      </c>
      <c r="K19">
        <v>135.05312208916106</v>
      </c>
      <c r="L19">
        <v>96.741903554167735</v>
      </c>
      <c r="M19">
        <v>113.02344323985557</v>
      </c>
      <c r="N19">
        <v>79.407619361836055</v>
      </c>
      <c r="O19">
        <v>119.13424974776903</v>
      </c>
      <c r="P19">
        <v>154.55379265580171</v>
      </c>
    </row>
    <row r="20" spans="2:16" ht="13.8" x14ac:dyDescent="0.2">
      <c r="B20" t="s">
        <v>22</v>
      </c>
      <c r="C20" s="21" t="s">
        <v>31</v>
      </c>
      <c r="E20">
        <v>162.0998452518416</v>
      </c>
      <c r="F20">
        <v>120.17277590735664</v>
      </c>
      <c r="G20">
        <v>139.56106601574814</v>
      </c>
      <c r="H20">
        <v>203.5471087850309</v>
      </c>
      <c r="I20">
        <v>119.55517712534919</v>
      </c>
      <c r="J20">
        <v>117.75781453286795</v>
      </c>
      <c r="K20">
        <v>147.0249030070074</v>
      </c>
      <c r="L20">
        <v>115.81658643996093</v>
      </c>
      <c r="M20">
        <v>130.16139113339028</v>
      </c>
      <c r="N20">
        <v>136.878620259987</v>
      </c>
      <c r="O20">
        <v>99.149187808460113</v>
      </c>
      <c r="P20">
        <v>115.62319495104005</v>
      </c>
    </row>
    <row r="21" spans="2:16" ht="13.8" x14ac:dyDescent="0.2">
      <c r="B21" t="s">
        <v>22</v>
      </c>
      <c r="C21" s="21" t="s">
        <v>32</v>
      </c>
      <c r="E21">
        <v>150.83837388407829</v>
      </c>
      <c r="F21">
        <v>120.31676632202765</v>
      </c>
      <c r="G21">
        <v>159.67742354276521</v>
      </c>
      <c r="H21">
        <v>70.829998891351636</v>
      </c>
      <c r="I21">
        <v>144.88447058268764</v>
      </c>
      <c r="J21">
        <v>193.27452742182237</v>
      </c>
      <c r="K21">
        <v>121.0712432370169</v>
      </c>
      <c r="L21">
        <v>122.5420559286288</v>
      </c>
      <c r="M21">
        <v>80.615686315900902</v>
      </c>
      <c r="N21">
        <v>168.81612901278956</v>
      </c>
      <c r="O21">
        <v>105.31913437685604</v>
      </c>
      <c r="P21">
        <v>152.85990573312463</v>
      </c>
    </row>
    <row r="22" spans="2:16" ht="13.8" x14ac:dyDescent="0.2">
      <c r="B22" t="s">
        <v>22</v>
      </c>
      <c r="C22" s="21" t="s">
        <v>33</v>
      </c>
      <c r="E22">
        <v>105.4864939824939</v>
      </c>
      <c r="F22">
        <v>108.08927897316433</v>
      </c>
      <c r="G22">
        <v>73.041404838470356</v>
      </c>
      <c r="H22">
        <v>103.92510881835288</v>
      </c>
      <c r="I22">
        <v>160.55823960195218</v>
      </c>
      <c r="J22">
        <v>132.3769091000965</v>
      </c>
      <c r="K22">
        <v>135.13361736119282</v>
      </c>
      <c r="L22">
        <v>110.33457802380219</v>
      </c>
      <c r="M22">
        <v>124.14470391222763</v>
      </c>
      <c r="N22">
        <v>220.68534021811718</v>
      </c>
      <c r="O22">
        <v>177.64252087372364</v>
      </c>
      <c r="P22">
        <v>161.51689070093693</v>
      </c>
    </row>
    <row r="23" spans="2:16" ht="13.8" x14ac:dyDescent="0.2">
      <c r="B23" t="s">
        <v>22</v>
      </c>
      <c r="C23" s="21" t="s">
        <v>34</v>
      </c>
      <c r="E23">
        <v>174.8675141284541</v>
      </c>
      <c r="F23">
        <v>175.65336527410412</v>
      </c>
      <c r="G23">
        <v>68.705117825926763</v>
      </c>
      <c r="H23">
        <v>135.47935541641735</v>
      </c>
      <c r="I23">
        <v>157.90157147776597</v>
      </c>
      <c r="J23">
        <v>81.245844720983754</v>
      </c>
      <c r="K23">
        <v>215.42401803970401</v>
      </c>
      <c r="L23">
        <v>142.92339501876702</v>
      </c>
      <c r="M23">
        <v>128.87380282933617</v>
      </c>
      <c r="N23">
        <v>187.46531404965501</v>
      </c>
      <c r="O23">
        <v>98.222373280715487</v>
      </c>
      <c r="P23">
        <v>211.44160254400978</v>
      </c>
    </row>
    <row r="24" spans="2:16" ht="13.8" x14ac:dyDescent="0.2">
      <c r="B24" t="s">
        <v>22</v>
      </c>
      <c r="C24" s="20" t="s">
        <v>35</v>
      </c>
    </row>
    <row r="25" spans="2:16" ht="13.8" x14ac:dyDescent="0.2">
      <c r="B25" t="s">
        <v>22</v>
      </c>
      <c r="C25" s="21" t="s">
        <v>25</v>
      </c>
      <c r="E25">
        <v>318.04235669583397</v>
      </c>
      <c r="F25">
        <v>194.28134070767018</v>
      </c>
      <c r="G25">
        <v>292.2877583068564</v>
      </c>
      <c r="H25">
        <v>338.40308933391765</v>
      </c>
      <c r="I25">
        <v>308.02895014823423</v>
      </c>
      <c r="J25">
        <v>343.80430776715576</v>
      </c>
      <c r="K25">
        <v>308.95030002309414</v>
      </c>
      <c r="L25">
        <v>245.8865367330028</v>
      </c>
      <c r="M25">
        <v>242.714754859328</v>
      </c>
      <c r="N25">
        <v>364.2034011435581</v>
      </c>
      <c r="O25">
        <v>330.42763022801887</v>
      </c>
      <c r="P25">
        <v>324.46536919948943</v>
      </c>
    </row>
    <row r="26" spans="2:16" ht="13.8" x14ac:dyDescent="0.2">
      <c r="B26" t="s">
        <v>22</v>
      </c>
      <c r="C26" s="21" t="s">
        <v>26</v>
      </c>
      <c r="E26">
        <v>349.11580168831983</v>
      </c>
      <c r="F26">
        <v>422.37055118063404</v>
      </c>
      <c r="G26">
        <v>261.5146649256846</v>
      </c>
      <c r="H26">
        <v>368.00175093842034</v>
      </c>
      <c r="I26">
        <v>190.91689534546151</v>
      </c>
      <c r="J26">
        <v>329.23245469116932</v>
      </c>
      <c r="K26">
        <v>293.62120509631438</v>
      </c>
      <c r="L26">
        <v>220.23785209867464</v>
      </c>
      <c r="M26">
        <v>291.26588021923772</v>
      </c>
      <c r="N26">
        <v>322.80877874378069</v>
      </c>
      <c r="O26">
        <v>468.05381809633269</v>
      </c>
      <c r="P26">
        <v>384.59303834991175</v>
      </c>
    </row>
    <row r="27" spans="2:16" ht="13.8" x14ac:dyDescent="0.2">
      <c r="B27" t="s">
        <v>22</v>
      </c>
      <c r="C27" s="21" t="s">
        <v>27</v>
      </c>
      <c r="E27">
        <v>385.25811179516609</v>
      </c>
      <c r="F27">
        <v>289.44900055365224</v>
      </c>
      <c r="G27">
        <v>247.74054961263525</v>
      </c>
      <c r="H27">
        <v>356.77754078969258</v>
      </c>
      <c r="I27">
        <v>345.66586899297778</v>
      </c>
      <c r="J27">
        <v>487.31144677217554</v>
      </c>
      <c r="K27">
        <v>237.5291063187874</v>
      </c>
      <c r="L27">
        <v>228.23599878629332</v>
      </c>
      <c r="M27">
        <v>437.0043696726238</v>
      </c>
      <c r="N27">
        <v>313.49308179383826</v>
      </c>
      <c r="O27">
        <v>305.16538552623854</v>
      </c>
      <c r="P27">
        <v>337.74910624591513</v>
      </c>
    </row>
    <row r="28" spans="2:16" ht="13.8" x14ac:dyDescent="0.2">
      <c r="B28" t="s">
        <v>22</v>
      </c>
      <c r="C28" s="29" t="s">
        <v>28</v>
      </c>
      <c r="E28">
        <v>454.1005677901411</v>
      </c>
      <c r="F28">
        <v>334.66835574614151</v>
      </c>
      <c r="G28">
        <v>431.68524894220837</v>
      </c>
      <c r="H28">
        <v>388.81170216745335</v>
      </c>
      <c r="I28">
        <v>503.37686180758186</v>
      </c>
      <c r="J28">
        <v>241.40187526947122</v>
      </c>
      <c r="K28">
        <v>276.91418127466261</v>
      </c>
      <c r="L28">
        <v>273.32947692469764</v>
      </c>
      <c r="M28">
        <v>253.51119126240198</v>
      </c>
      <c r="N28">
        <v>401.79118555318695</v>
      </c>
      <c r="O28">
        <v>384.87515963037242</v>
      </c>
      <c r="P28">
        <v>204.66063575265244</v>
      </c>
    </row>
    <row r="29" spans="2:16" ht="13.8" x14ac:dyDescent="0.2">
      <c r="B29" t="s">
        <v>22</v>
      </c>
      <c r="C29" s="29" t="s">
        <v>29</v>
      </c>
      <c r="E29">
        <v>213.2344002567097</v>
      </c>
      <c r="F29">
        <v>428.0371362916635</v>
      </c>
      <c r="G29">
        <v>465.25804820342262</v>
      </c>
      <c r="H29">
        <v>236.45591321410251</v>
      </c>
      <c r="I29">
        <v>445.18788650942179</v>
      </c>
      <c r="J29">
        <v>244.10273365906227</v>
      </c>
      <c r="K29">
        <v>441.08361965650158</v>
      </c>
      <c r="L29">
        <v>188.30985430871777</v>
      </c>
      <c r="M29">
        <v>289.66559589768053</v>
      </c>
      <c r="N29">
        <v>344.090246428667</v>
      </c>
      <c r="O29">
        <v>212.38751766053727</v>
      </c>
      <c r="P29">
        <v>425.70260337848833</v>
      </c>
    </row>
    <row r="30" spans="2:16" ht="13.8" x14ac:dyDescent="0.2">
      <c r="B30" t="s">
        <v>22</v>
      </c>
      <c r="C30" s="29" t="s">
        <v>30</v>
      </c>
      <c r="E30">
        <v>210.06078550195735</v>
      </c>
      <c r="F30">
        <v>356.48581728873404</v>
      </c>
      <c r="G30">
        <v>377.18257654746873</v>
      </c>
      <c r="H30">
        <v>339.09654651450205</v>
      </c>
      <c r="I30">
        <v>340.87676275073517</v>
      </c>
      <c r="J30">
        <v>342.60847271630973</v>
      </c>
      <c r="K30">
        <v>218.37070570011988</v>
      </c>
      <c r="L30">
        <v>434.78276349038157</v>
      </c>
      <c r="M30">
        <v>431.20240752119355</v>
      </c>
      <c r="N30">
        <v>246.59350596186673</v>
      </c>
      <c r="O30">
        <v>307.54742986033432</v>
      </c>
      <c r="P30">
        <v>383.79566735242736</v>
      </c>
    </row>
    <row r="31" spans="2:16" ht="13.8" x14ac:dyDescent="0.2">
      <c r="B31" t="s">
        <v>22</v>
      </c>
      <c r="C31" s="29" t="s">
        <v>31</v>
      </c>
      <c r="E31">
        <v>310.7873926230593</v>
      </c>
      <c r="F31">
        <v>339.21064016930984</v>
      </c>
      <c r="G31">
        <v>254.52620330025582</v>
      </c>
      <c r="H31">
        <v>219.61278004745864</v>
      </c>
      <c r="I31">
        <v>377.19851538108469</v>
      </c>
      <c r="J31">
        <v>321.3858774727957</v>
      </c>
      <c r="K31">
        <v>379.36660641435805</v>
      </c>
      <c r="L31">
        <v>210.91471995612073</v>
      </c>
      <c r="M31">
        <v>379.66179620351215</v>
      </c>
      <c r="N31">
        <v>435.45123150377538</v>
      </c>
      <c r="O31">
        <v>259.49137734872471</v>
      </c>
      <c r="P31">
        <v>406.29160276145552</v>
      </c>
    </row>
    <row r="32" spans="2:16" ht="13.8" x14ac:dyDescent="0.2">
      <c r="B32" t="s">
        <v>22</v>
      </c>
      <c r="C32" s="21" t="s">
        <v>32</v>
      </c>
      <c r="E32">
        <v>417.09950374504615</v>
      </c>
      <c r="F32">
        <v>269.19260162213766</v>
      </c>
      <c r="G32">
        <v>448.63305558821077</v>
      </c>
      <c r="H32">
        <v>304.83838071789592</v>
      </c>
      <c r="I32">
        <v>451.70716916915643</v>
      </c>
      <c r="J32">
        <v>407.32090257358266</v>
      </c>
      <c r="K32">
        <v>295.29847271657263</v>
      </c>
      <c r="L32">
        <v>351.74157798798319</v>
      </c>
      <c r="M32">
        <v>298.32095841394022</v>
      </c>
      <c r="N32">
        <v>346.14130110322054</v>
      </c>
      <c r="O32">
        <v>260.6040050598815</v>
      </c>
      <c r="P32">
        <v>243.15837905823395</v>
      </c>
    </row>
    <row r="33" spans="2:16" ht="13.8" x14ac:dyDescent="0.2">
      <c r="B33" t="s">
        <v>22</v>
      </c>
      <c r="C33" s="21" t="s">
        <v>33</v>
      </c>
      <c r="E33">
        <v>437.27158175282671</v>
      </c>
      <c r="F33">
        <v>289.64618123362902</v>
      </c>
      <c r="G33">
        <v>269.85249922549912</v>
      </c>
      <c r="H33">
        <v>393.13713179506004</v>
      </c>
      <c r="I33">
        <v>338.36745772488575</v>
      </c>
      <c r="J33">
        <v>458.445327096482</v>
      </c>
      <c r="K33">
        <v>200.47071338397848</v>
      </c>
      <c r="L33">
        <v>260.58486018515447</v>
      </c>
      <c r="M33">
        <v>188.71336234671102</v>
      </c>
      <c r="N33">
        <v>228.23642111856373</v>
      </c>
      <c r="O33">
        <v>363.8113799854969</v>
      </c>
      <c r="P33">
        <v>363.78905852168668</v>
      </c>
    </row>
    <row r="34" spans="2:16" ht="13.8" x14ac:dyDescent="0.2">
      <c r="B34" t="s">
        <v>22</v>
      </c>
      <c r="C34" s="21" t="s">
        <v>34</v>
      </c>
      <c r="E34">
        <v>283.64790842112814</v>
      </c>
      <c r="F34">
        <v>419.55597123507511</v>
      </c>
      <c r="G34">
        <v>301.71083169501475</v>
      </c>
      <c r="H34">
        <v>364.81954777299131</v>
      </c>
      <c r="I34">
        <v>355.84040263965767</v>
      </c>
      <c r="J34">
        <v>487.00844374116258</v>
      </c>
      <c r="K34">
        <v>361.48352909093126</v>
      </c>
      <c r="L34">
        <v>273.8984331060804</v>
      </c>
      <c r="M34">
        <v>385.27589279434994</v>
      </c>
      <c r="N34">
        <v>381.41199805554066</v>
      </c>
      <c r="O34">
        <v>408.98231844609467</v>
      </c>
      <c r="P34">
        <v>344.47201896982222</v>
      </c>
    </row>
    <row r="35" spans="2:16" ht="13.8" x14ac:dyDescent="0.2">
      <c r="B35" t="s">
        <v>22</v>
      </c>
      <c r="C35" s="19" t="s">
        <v>36</v>
      </c>
    </row>
    <row r="36" spans="2:16" ht="13.8" x14ac:dyDescent="0.2">
      <c r="B36" t="s">
        <v>22</v>
      </c>
      <c r="C36" s="20" t="s">
        <v>24</v>
      </c>
    </row>
    <row r="37" spans="2:16" ht="13.8" x14ac:dyDescent="0.2">
      <c r="B37" t="s">
        <v>22</v>
      </c>
      <c r="C37" s="21" t="s">
        <v>25</v>
      </c>
      <c r="E37">
        <v>184.16612220762664</v>
      </c>
      <c r="F37">
        <v>122.03036086155693</v>
      </c>
      <c r="G37">
        <v>84.722493590367193</v>
      </c>
      <c r="H37">
        <v>211.27502891361777</v>
      </c>
      <c r="I37">
        <v>156.20407698564381</v>
      </c>
      <c r="J37">
        <v>170.26837561779922</v>
      </c>
      <c r="K37">
        <v>144.9668395104577</v>
      </c>
      <c r="L37">
        <v>82.985004644926761</v>
      </c>
      <c r="M37">
        <v>116.62329052839787</v>
      </c>
      <c r="N37">
        <v>78.533896900996709</v>
      </c>
      <c r="O37">
        <v>125.91311257548071</v>
      </c>
      <c r="P37">
        <v>99.407261868529773</v>
      </c>
    </row>
    <row r="38" spans="2:16" ht="13.8" x14ac:dyDescent="0.2">
      <c r="B38" t="s">
        <v>22</v>
      </c>
      <c r="C38" s="21" t="s">
        <v>26</v>
      </c>
      <c r="E38">
        <v>164.33683652209609</v>
      </c>
      <c r="F38">
        <v>116.19354656350289</v>
      </c>
      <c r="G38">
        <v>150.03469525651272</v>
      </c>
      <c r="H38">
        <v>87.884075979253041</v>
      </c>
      <c r="I38">
        <v>181.20592983577612</v>
      </c>
      <c r="J38">
        <v>143.44435739000002</v>
      </c>
      <c r="K38">
        <v>159.22874933415869</v>
      </c>
      <c r="L38">
        <v>120.54979106818902</v>
      </c>
      <c r="M38">
        <v>220.02778433065473</v>
      </c>
      <c r="N38">
        <v>198.50371091252643</v>
      </c>
      <c r="O38">
        <v>122.97078344500783</v>
      </c>
      <c r="P38">
        <v>168.85938203260841</v>
      </c>
    </row>
    <row r="39" spans="2:16" ht="13.8" x14ac:dyDescent="0.2">
      <c r="B39" t="s">
        <v>22</v>
      </c>
      <c r="C39" s="21" t="s">
        <v>27</v>
      </c>
      <c r="E39">
        <v>75.629035647464733</v>
      </c>
      <c r="F39">
        <v>128.88708050411154</v>
      </c>
      <c r="G39">
        <v>80.538868690896209</v>
      </c>
      <c r="H39">
        <v>88.606196625447524</v>
      </c>
      <c r="I39">
        <v>91.837729262688597</v>
      </c>
      <c r="J39">
        <v>235.04845825688648</v>
      </c>
      <c r="K39">
        <v>118.82072476201532</v>
      </c>
      <c r="L39">
        <v>226.19385455932016</v>
      </c>
      <c r="M39">
        <v>116.71605266104571</v>
      </c>
      <c r="N39">
        <v>142.56227952270183</v>
      </c>
      <c r="O39">
        <v>134.83120508273473</v>
      </c>
      <c r="P39">
        <v>88.520553864659206</v>
      </c>
    </row>
    <row r="40" spans="2:16" ht="13.8" x14ac:dyDescent="0.2">
      <c r="B40" t="s">
        <v>22</v>
      </c>
      <c r="C40" s="21" t="s">
        <v>28</v>
      </c>
      <c r="E40">
        <v>88.728991425102521</v>
      </c>
      <c r="F40">
        <v>98.526548621524071</v>
      </c>
      <c r="G40">
        <v>144.38917310462116</v>
      </c>
      <c r="H40">
        <v>199.85067462959802</v>
      </c>
      <c r="I40">
        <v>111.96822541283944</v>
      </c>
      <c r="J40">
        <v>165.11170870809681</v>
      </c>
      <c r="K40">
        <v>131.03599213791094</v>
      </c>
      <c r="L40">
        <v>114.00599404920358</v>
      </c>
      <c r="M40">
        <v>124.00131525591176</v>
      </c>
      <c r="N40">
        <v>115.56181314719008</v>
      </c>
      <c r="O40">
        <v>126.14651405272542</v>
      </c>
      <c r="P40">
        <v>158.87787137174018</v>
      </c>
    </row>
    <row r="41" spans="2:16" ht="13.8" x14ac:dyDescent="0.2">
      <c r="B41" t="s">
        <v>22</v>
      </c>
      <c r="C41" s="21" t="s">
        <v>29</v>
      </c>
      <c r="E41">
        <v>91.008058469414053</v>
      </c>
      <c r="F41">
        <v>131.06764265893474</v>
      </c>
      <c r="G41">
        <v>89.618346898621638</v>
      </c>
      <c r="H41">
        <v>75.117436499376012</v>
      </c>
      <c r="I41">
        <v>148.03825087416399</v>
      </c>
      <c r="J41">
        <v>106.07047289267723</v>
      </c>
      <c r="K41">
        <v>107.0950696187645</v>
      </c>
      <c r="L41">
        <v>162.9278936011435</v>
      </c>
      <c r="M41">
        <v>79.348442889711478</v>
      </c>
      <c r="N41">
        <v>192.84123773915601</v>
      </c>
      <c r="O41">
        <v>166.53019631419752</v>
      </c>
      <c r="P41">
        <v>67.641890711942196</v>
      </c>
    </row>
    <row r="42" spans="2:16" ht="13.8" x14ac:dyDescent="0.2">
      <c r="B42" t="s">
        <v>22</v>
      </c>
      <c r="C42" s="21" t="s">
        <v>30</v>
      </c>
      <c r="E42">
        <v>134.05349942520689</v>
      </c>
      <c r="F42">
        <v>135.80403670892792</v>
      </c>
      <c r="G42">
        <v>134.53013890463185</v>
      </c>
      <c r="H42">
        <v>84.635586101311333</v>
      </c>
      <c r="I42">
        <v>124.42486794866235</v>
      </c>
      <c r="J42">
        <v>197.58152957958089</v>
      </c>
      <c r="K42">
        <v>71.527286814399574</v>
      </c>
      <c r="L42">
        <v>88.368090633714061</v>
      </c>
      <c r="M42">
        <v>149.25693385769853</v>
      </c>
      <c r="N42">
        <v>207.94648845573607</v>
      </c>
      <c r="O42">
        <v>126.06781734390215</v>
      </c>
      <c r="P42">
        <v>100.04975425629172</v>
      </c>
    </row>
    <row r="43" spans="2:16" ht="13.8" x14ac:dyDescent="0.2">
      <c r="B43" t="s">
        <v>22</v>
      </c>
      <c r="C43" s="21" t="s">
        <v>31</v>
      </c>
      <c r="E43">
        <v>103.82093925012433</v>
      </c>
      <c r="F43">
        <v>158.70384093315442</v>
      </c>
      <c r="G43">
        <v>143.88851672311367</v>
      </c>
      <c r="H43">
        <v>134.03356792694086</v>
      </c>
      <c r="I43">
        <v>143.42611298322916</v>
      </c>
      <c r="J43">
        <v>121.36934364965444</v>
      </c>
      <c r="K43">
        <v>203.91215850727525</v>
      </c>
      <c r="L43">
        <v>97.830053153534138</v>
      </c>
      <c r="M43">
        <v>140.62657928245554</v>
      </c>
      <c r="N43">
        <v>89.547117053138408</v>
      </c>
      <c r="O43">
        <v>160.99018787724742</v>
      </c>
      <c r="P43">
        <v>156.29050911087776</v>
      </c>
    </row>
    <row r="44" spans="2:16" ht="13.8" x14ac:dyDescent="0.2">
      <c r="B44" t="s">
        <v>22</v>
      </c>
      <c r="C44" s="21" t="s">
        <v>32</v>
      </c>
      <c r="E44">
        <v>106.73469902828315</v>
      </c>
      <c r="F44">
        <v>132.3062270197004</v>
      </c>
      <c r="G44">
        <v>191.54679833862173</v>
      </c>
      <c r="H44">
        <v>106.98026877877361</v>
      </c>
      <c r="I44">
        <v>182.62533552712</v>
      </c>
      <c r="J44">
        <v>188.92955871709816</v>
      </c>
      <c r="K44">
        <v>114.53096289823333</v>
      </c>
      <c r="L44">
        <v>181.489522223454</v>
      </c>
      <c r="M44">
        <v>74.552010010790283</v>
      </c>
      <c r="N44">
        <v>218.61570274186914</v>
      </c>
      <c r="O44">
        <v>135.67612873874214</v>
      </c>
      <c r="P44">
        <v>111.08504799780671</v>
      </c>
    </row>
    <row r="45" spans="2:16" ht="13.8" x14ac:dyDescent="0.2">
      <c r="B45" t="s">
        <v>22</v>
      </c>
      <c r="C45" s="21" t="s">
        <v>33</v>
      </c>
      <c r="E45">
        <v>101.64479170900233</v>
      </c>
      <c r="F45">
        <v>149.91605227920294</v>
      </c>
      <c r="G45">
        <v>173.37976464825016</v>
      </c>
      <c r="H45">
        <v>108.29716480136888</v>
      </c>
      <c r="I45">
        <v>233.71647687611315</v>
      </c>
      <c r="J45">
        <v>119.49896548213722</v>
      </c>
      <c r="K45">
        <v>73.817033733744225</v>
      </c>
      <c r="L45">
        <v>122.55081611947678</v>
      </c>
      <c r="M45">
        <v>94.64609032818035</v>
      </c>
      <c r="N45">
        <v>149.32552785583789</v>
      </c>
      <c r="O45">
        <v>170.08912264008228</v>
      </c>
      <c r="P45">
        <v>151.34849540354</v>
      </c>
    </row>
    <row r="46" spans="2:16" ht="13.8" x14ac:dyDescent="0.2">
      <c r="B46" t="s">
        <v>22</v>
      </c>
      <c r="C46" s="21" t="s">
        <v>34</v>
      </c>
      <c r="E46">
        <v>98.467517143971776</v>
      </c>
      <c r="F46">
        <v>94.86265704178895</v>
      </c>
      <c r="G46">
        <v>134.2710272498187</v>
      </c>
      <c r="H46">
        <v>131.43991082648705</v>
      </c>
      <c r="I46">
        <v>100.87854949399966</v>
      </c>
      <c r="J46">
        <v>152.38878925762191</v>
      </c>
      <c r="K46">
        <v>125.56006086632534</v>
      </c>
      <c r="L46">
        <v>165.22320071209236</v>
      </c>
      <c r="M46">
        <v>149.34793828385475</v>
      </c>
      <c r="N46">
        <v>140.12549463630356</v>
      </c>
      <c r="O46">
        <v>143.24325442388212</v>
      </c>
      <c r="P46">
        <v>115.10836848659753</v>
      </c>
    </row>
    <row r="47" spans="2:16" ht="13.8" x14ac:dyDescent="0.2">
      <c r="B47" t="s">
        <v>22</v>
      </c>
      <c r="C47" s="20" t="s">
        <v>35</v>
      </c>
    </row>
    <row r="48" spans="2:16" ht="13.8" x14ac:dyDescent="0.2">
      <c r="B48" t="s">
        <v>22</v>
      </c>
      <c r="C48" s="21" t="s">
        <v>25</v>
      </c>
      <c r="E48">
        <v>249.56940298561977</v>
      </c>
      <c r="F48">
        <v>434.77049208944499</v>
      </c>
      <c r="G48">
        <v>393.29676830323262</v>
      </c>
      <c r="H48">
        <v>198.39661665272772</v>
      </c>
      <c r="I48">
        <v>423.31135561891011</v>
      </c>
      <c r="J48">
        <v>379.73971178438478</v>
      </c>
      <c r="K48">
        <v>411.50808616354044</v>
      </c>
      <c r="L48">
        <v>246.64604901582811</v>
      </c>
      <c r="M48">
        <v>283.5443325675443</v>
      </c>
      <c r="N48">
        <v>354.12167898958279</v>
      </c>
      <c r="O48">
        <v>249.32138607671436</v>
      </c>
      <c r="P48">
        <v>423.89900772362984</v>
      </c>
    </row>
    <row r="49" spans="2:16" ht="13.8" x14ac:dyDescent="0.2">
      <c r="B49" t="s">
        <v>22</v>
      </c>
      <c r="C49" s="21" t="s">
        <v>26</v>
      </c>
      <c r="E49">
        <v>407.69364201428374</v>
      </c>
      <c r="F49">
        <v>421.44732967530189</v>
      </c>
      <c r="G49">
        <v>221.89942209191585</v>
      </c>
      <c r="H49">
        <v>306.87304982439201</v>
      </c>
      <c r="I49">
        <v>327.17368319548353</v>
      </c>
      <c r="J49">
        <v>329.27777136660882</v>
      </c>
      <c r="K49">
        <v>258.18296068022806</v>
      </c>
      <c r="L49">
        <v>249.0876057404613</v>
      </c>
      <c r="M49">
        <v>474.35355572581528</v>
      </c>
      <c r="N49">
        <v>386.85205977270277</v>
      </c>
      <c r="O49">
        <v>340.16367968860413</v>
      </c>
      <c r="P49">
        <v>382.71266960028566</v>
      </c>
    </row>
    <row r="50" spans="2:16" ht="13.8" x14ac:dyDescent="0.2">
      <c r="B50" t="s">
        <v>22</v>
      </c>
      <c r="C50" s="21" t="s">
        <v>27</v>
      </c>
      <c r="E50">
        <v>393.43855643408477</v>
      </c>
      <c r="F50">
        <v>260.44078247555314</v>
      </c>
      <c r="G50">
        <v>333.05149765242334</v>
      </c>
      <c r="H50">
        <v>369.84312009482773</v>
      </c>
      <c r="I50">
        <v>369.63758532871253</v>
      </c>
      <c r="J50">
        <v>302.531796553726</v>
      </c>
      <c r="K50">
        <v>376.57350989172124</v>
      </c>
      <c r="L50">
        <v>303.22637297155546</v>
      </c>
      <c r="M50">
        <v>393.78074834452553</v>
      </c>
      <c r="N50">
        <v>345.87172381733228</v>
      </c>
      <c r="O50">
        <v>310.04742955777755</v>
      </c>
      <c r="P50">
        <v>318.31233353760172</v>
      </c>
    </row>
    <row r="51" spans="2:16" ht="13.8" x14ac:dyDescent="0.2">
      <c r="B51" t="s">
        <v>22</v>
      </c>
      <c r="C51" s="21" t="s">
        <v>28</v>
      </c>
      <c r="E51">
        <v>292.57036100424256</v>
      </c>
      <c r="F51">
        <v>343.93926219614082</v>
      </c>
      <c r="G51">
        <v>329.58613177244069</v>
      </c>
      <c r="H51">
        <v>411.21269773435159</v>
      </c>
      <c r="I51">
        <v>231.21893805514944</v>
      </c>
      <c r="J51">
        <v>259.01265908732336</v>
      </c>
      <c r="K51">
        <v>298.08236085428217</v>
      </c>
      <c r="L51">
        <v>251.0262879649143</v>
      </c>
      <c r="M51">
        <v>432.99209225933038</v>
      </c>
      <c r="N51">
        <v>389.1621791290213</v>
      </c>
      <c r="O51">
        <v>394.68225370558906</v>
      </c>
      <c r="P51">
        <v>361.40958229944061</v>
      </c>
    </row>
    <row r="52" spans="2:16" ht="13.8" x14ac:dyDescent="0.2">
      <c r="B52" t="s">
        <v>22</v>
      </c>
      <c r="C52" s="21" t="s">
        <v>29</v>
      </c>
      <c r="E52">
        <v>253.68419928287994</v>
      </c>
      <c r="F52">
        <v>363.20404398793102</v>
      </c>
      <c r="G52">
        <v>337.63326939326174</v>
      </c>
      <c r="H52">
        <v>320.65123950199541</v>
      </c>
      <c r="I52">
        <v>267.89998642136209</v>
      </c>
      <c r="J52">
        <v>373.17767239268903</v>
      </c>
      <c r="K52">
        <v>240.72222029976103</v>
      </c>
      <c r="L52">
        <v>333.49773165845272</v>
      </c>
      <c r="M52">
        <v>299.21011491651097</v>
      </c>
      <c r="N52">
        <v>206.14430542635819</v>
      </c>
      <c r="O52">
        <v>215.01254699918914</v>
      </c>
      <c r="P52">
        <v>327.79322936675908</v>
      </c>
    </row>
    <row r="53" spans="2:16" ht="13.8" x14ac:dyDescent="0.2">
      <c r="B53" t="s">
        <v>22</v>
      </c>
      <c r="C53" s="21" t="s">
        <v>30</v>
      </c>
      <c r="E53">
        <v>395.89170451183929</v>
      </c>
      <c r="F53">
        <v>239.98270243287678</v>
      </c>
      <c r="G53">
        <v>288.53102141553353</v>
      </c>
      <c r="H53">
        <v>298.6284934019929</v>
      </c>
      <c r="I53">
        <v>352.08008750139442</v>
      </c>
      <c r="J53">
        <v>351.62222524287472</v>
      </c>
      <c r="K53">
        <v>272.89471290325793</v>
      </c>
      <c r="L53">
        <v>378.96259610316099</v>
      </c>
      <c r="M53">
        <v>426.08683705524317</v>
      </c>
      <c r="N53">
        <v>421.66472189099136</v>
      </c>
      <c r="O53">
        <v>226.56347451512684</v>
      </c>
      <c r="P53">
        <v>487.45195959469407</v>
      </c>
    </row>
    <row r="54" spans="2:16" ht="13.8" x14ac:dyDescent="0.2">
      <c r="B54" t="s">
        <v>22</v>
      </c>
      <c r="C54" s="21" t="s">
        <v>31</v>
      </c>
      <c r="E54">
        <v>269.05057098057011</v>
      </c>
      <c r="F54">
        <v>365.68313798607738</v>
      </c>
      <c r="G54">
        <v>200.70272822877951</v>
      </c>
      <c r="H54">
        <v>209.03814332065912</v>
      </c>
      <c r="I54">
        <v>452.31231884764463</v>
      </c>
      <c r="J54">
        <v>358.46218563646556</v>
      </c>
      <c r="K54">
        <v>284.28293410322078</v>
      </c>
      <c r="L54">
        <v>306.73626725201092</v>
      </c>
      <c r="M54">
        <v>318.55443223412396</v>
      </c>
      <c r="N54">
        <v>288.12797852387712</v>
      </c>
      <c r="O54">
        <v>356.63274220989069</v>
      </c>
      <c r="P54">
        <v>369.11699671383815</v>
      </c>
    </row>
    <row r="55" spans="2:16" ht="13.8" x14ac:dyDescent="0.2">
      <c r="B55" t="s">
        <v>22</v>
      </c>
      <c r="C55" s="21" t="s">
        <v>32</v>
      </c>
      <c r="E55">
        <v>320.4911369446811</v>
      </c>
      <c r="F55">
        <v>301.97892376668676</v>
      </c>
      <c r="G55">
        <v>407.08145185421336</v>
      </c>
      <c r="H55">
        <v>366.78262165149886</v>
      </c>
      <c r="I55">
        <v>293.36140092736861</v>
      </c>
      <c r="J55">
        <v>244.10969218487364</v>
      </c>
      <c r="K55">
        <v>350.61908606023758</v>
      </c>
      <c r="L55">
        <v>221.23522044449388</v>
      </c>
      <c r="M55">
        <v>357.97849378281734</v>
      </c>
      <c r="N55">
        <v>489.708442889651</v>
      </c>
      <c r="O55">
        <v>334.61574502522984</v>
      </c>
      <c r="P55">
        <v>274.43205989378396</v>
      </c>
    </row>
    <row r="56" spans="2:16" ht="13.8" x14ac:dyDescent="0.2">
      <c r="B56" t="s">
        <v>22</v>
      </c>
      <c r="C56" s="21" t="s">
        <v>33</v>
      </c>
      <c r="E56">
        <v>226.25422871081793</v>
      </c>
      <c r="F56">
        <v>215.94582564543134</v>
      </c>
      <c r="G56">
        <v>302.74579710023613</v>
      </c>
      <c r="H56">
        <v>243.34442874039533</v>
      </c>
      <c r="I56">
        <v>365.93588753371586</v>
      </c>
      <c r="J56">
        <v>383.19722583357515</v>
      </c>
      <c r="K56">
        <v>242.08481222644397</v>
      </c>
      <c r="L56">
        <v>236.55786493953411</v>
      </c>
      <c r="M56">
        <v>441.5484078019868</v>
      </c>
      <c r="N56">
        <v>216.15588132337101</v>
      </c>
      <c r="O56">
        <v>321.58137959113805</v>
      </c>
      <c r="P56">
        <v>232.51348488793221</v>
      </c>
    </row>
    <row r="57" spans="2:16" ht="13.8" x14ac:dyDescent="0.2">
      <c r="B57" t="s">
        <v>22</v>
      </c>
      <c r="C57" s="21" t="s">
        <v>34</v>
      </c>
      <c r="E57">
        <v>228.11431086397559</v>
      </c>
      <c r="F57">
        <v>428.16571639492435</v>
      </c>
      <c r="G57">
        <v>344.67047861724615</v>
      </c>
      <c r="H57">
        <v>341.72287196359372</v>
      </c>
      <c r="I57">
        <v>294.21199394900538</v>
      </c>
      <c r="J57">
        <v>485.3446046324903</v>
      </c>
      <c r="K57">
        <v>283.61781687303255</v>
      </c>
      <c r="L57">
        <v>301.82686305863245</v>
      </c>
      <c r="M57">
        <v>391.43420254484676</v>
      </c>
      <c r="N57">
        <v>361.13370113678735</v>
      </c>
      <c r="O57">
        <v>335.88666447839421</v>
      </c>
      <c r="P57">
        <v>222.3822794907106</v>
      </c>
    </row>
    <row r="58" spans="2:16" ht="13.8" x14ac:dyDescent="0.2">
      <c r="C58" s="20"/>
    </row>
    <row r="60" spans="2:16" ht="13.8" x14ac:dyDescent="0.2">
      <c r="B60" t="s">
        <v>37</v>
      </c>
      <c r="C60" s="19" t="s">
        <v>23</v>
      </c>
    </row>
    <row r="61" spans="2:16" ht="13.8" x14ac:dyDescent="0.2">
      <c r="B61" t="s">
        <v>37</v>
      </c>
      <c r="C61" s="20" t="s">
        <v>24</v>
      </c>
    </row>
    <row r="62" spans="2:16" ht="13.8" x14ac:dyDescent="0.2">
      <c r="B62" t="s">
        <v>37</v>
      </c>
      <c r="C62" s="21" t="s">
        <v>25</v>
      </c>
      <c r="E62">
        <v>150.21309653534766</v>
      </c>
      <c r="F62">
        <v>142.39838691017584</v>
      </c>
      <c r="G62">
        <v>124.03358155032625</v>
      </c>
      <c r="H62">
        <v>193.13693842459119</v>
      </c>
      <c r="I62">
        <v>97.291672582117783</v>
      </c>
      <c r="J62">
        <v>114.10481408679114</v>
      </c>
      <c r="K62">
        <v>106.79539097144831</v>
      </c>
      <c r="L62">
        <v>171.90437273338316</v>
      </c>
      <c r="M62">
        <v>150.95918837953724</v>
      </c>
      <c r="N62">
        <v>144.27242284458265</v>
      </c>
      <c r="O62">
        <v>123.58580770700024</v>
      </c>
      <c r="P62">
        <v>212.77992466356073</v>
      </c>
    </row>
    <row r="63" spans="2:16" ht="13.8" x14ac:dyDescent="0.2">
      <c r="B63" t="s">
        <v>37</v>
      </c>
      <c r="C63" s="21" t="s">
        <v>26</v>
      </c>
      <c r="E63">
        <v>178.50311634411472</v>
      </c>
      <c r="F63">
        <v>184.10092296156853</v>
      </c>
      <c r="G63">
        <v>123.13844277871608</v>
      </c>
      <c r="H63">
        <v>114.64394107192295</v>
      </c>
      <c r="I63">
        <v>143.83140336894394</v>
      </c>
      <c r="J63">
        <v>121.04616025644427</v>
      </c>
      <c r="K63">
        <v>223.42236671680141</v>
      </c>
      <c r="L63">
        <v>182.35006883615162</v>
      </c>
      <c r="M63">
        <v>65.543455672286441</v>
      </c>
      <c r="N63">
        <v>89.22669867656559</v>
      </c>
      <c r="O63">
        <v>95.491836625560978</v>
      </c>
      <c r="P63">
        <v>208.13984193503399</v>
      </c>
    </row>
    <row r="64" spans="2:16" ht="13.8" x14ac:dyDescent="0.2">
      <c r="B64" t="s">
        <v>37</v>
      </c>
      <c r="C64" s="21" t="s">
        <v>27</v>
      </c>
      <c r="E64">
        <v>105.87492114675017</v>
      </c>
      <c r="F64">
        <v>172.36848551989556</v>
      </c>
      <c r="G64">
        <v>129.08564992332782</v>
      </c>
      <c r="H64">
        <v>62.226009895961404</v>
      </c>
      <c r="I64">
        <v>105.37245086670708</v>
      </c>
      <c r="J64">
        <v>116.42700014206083</v>
      </c>
      <c r="K64">
        <v>218.80545155686306</v>
      </c>
      <c r="L64">
        <v>81.077727554654416</v>
      </c>
      <c r="M64">
        <v>79.989332446157889</v>
      </c>
      <c r="N64">
        <v>128.42897720887677</v>
      </c>
      <c r="O64">
        <v>77.99884898813643</v>
      </c>
      <c r="P64">
        <v>134.98591874009497</v>
      </c>
    </row>
    <row r="65" spans="2:16" ht="13.8" x14ac:dyDescent="0.2">
      <c r="B65" t="s">
        <v>37</v>
      </c>
      <c r="C65" s="21" t="s">
        <v>28</v>
      </c>
      <c r="E65">
        <v>110.69412345832644</v>
      </c>
      <c r="F65">
        <v>221.5983118130579</v>
      </c>
      <c r="G65">
        <v>147.76897432062003</v>
      </c>
      <c r="H65">
        <v>86.909766812595265</v>
      </c>
      <c r="I65">
        <v>97.057325232449585</v>
      </c>
      <c r="J65">
        <v>116.15593701706274</v>
      </c>
      <c r="K65">
        <v>127.42246518882624</v>
      </c>
      <c r="L65">
        <v>125.7875158738006</v>
      </c>
      <c r="M65">
        <v>119.84295798384689</v>
      </c>
      <c r="N65">
        <v>220.24230943882554</v>
      </c>
      <c r="O65">
        <v>76.193525538714283</v>
      </c>
      <c r="P65">
        <v>187.90421160104302</v>
      </c>
    </row>
    <row r="66" spans="2:16" ht="13.8" x14ac:dyDescent="0.2">
      <c r="B66" t="s">
        <v>37</v>
      </c>
      <c r="C66" s="21" t="s">
        <v>29</v>
      </c>
      <c r="E66">
        <v>168.77898973899215</v>
      </c>
      <c r="F66">
        <v>214.8740746536925</v>
      </c>
      <c r="G66">
        <v>193.31655425970305</v>
      </c>
      <c r="H66">
        <v>238.93475274988032</v>
      </c>
      <c r="I66">
        <v>120.54229132618124</v>
      </c>
      <c r="J66">
        <v>102.09017943929861</v>
      </c>
      <c r="K66">
        <v>192.13273532777825</v>
      </c>
      <c r="L66">
        <v>95.372523643711972</v>
      </c>
      <c r="M66">
        <v>193.34383548990931</v>
      </c>
      <c r="N66">
        <v>184.39293118825717</v>
      </c>
      <c r="O66">
        <v>174.72440115841076</v>
      </c>
      <c r="P66">
        <v>173.22906125124084</v>
      </c>
    </row>
    <row r="67" spans="2:16" ht="13.8" x14ac:dyDescent="0.2">
      <c r="B67" t="s">
        <v>37</v>
      </c>
      <c r="C67" s="21" t="s">
        <v>30</v>
      </c>
      <c r="E67">
        <v>93.303217144237863</v>
      </c>
      <c r="F67">
        <v>237.56051187410543</v>
      </c>
      <c r="G67">
        <v>217.36157826412361</v>
      </c>
      <c r="H67">
        <v>89.861923177960733</v>
      </c>
      <c r="I67">
        <v>116.01021964938842</v>
      </c>
      <c r="J67">
        <v>192.99799132651461</v>
      </c>
      <c r="K67">
        <v>119.0031937781151</v>
      </c>
      <c r="L67">
        <v>230.3307317857255</v>
      </c>
      <c r="M67">
        <v>180.8334364945047</v>
      </c>
      <c r="N67">
        <v>153.31492988534296</v>
      </c>
      <c r="O67">
        <v>144.33695591129091</v>
      </c>
      <c r="P67">
        <v>90.715541291112913</v>
      </c>
    </row>
    <row r="68" spans="2:16" ht="13.8" x14ac:dyDescent="0.2">
      <c r="B68" t="s">
        <v>37</v>
      </c>
      <c r="C68" s="21" t="s">
        <v>31</v>
      </c>
      <c r="E68">
        <v>212.23010030241352</v>
      </c>
      <c r="F68">
        <v>133.43769731672117</v>
      </c>
      <c r="G68">
        <v>207.87728304674644</v>
      </c>
      <c r="H68">
        <v>120.11598507356938</v>
      </c>
      <c r="I68">
        <v>123.9517837464219</v>
      </c>
      <c r="J68">
        <v>154.39876558345185</v>
      </c>
      <c r="K68">
        <v>143.35297245030713</v>
      </c>
      <c r="L68">
        <v>96.232323949517479</v>
      </c>
      <c r="M68">
        <v>103.90537289160203</v>
      </c>
      <c r="N68">
        <v>137.32515797472948</v>
      </c>
      <c r="O68">
        <v>117.65224491606718</v>
      </c>
      <c r="P68">
        <v>226.27042590146311</v>
      </c>
    </row>
    <row r="69" spans="2:16" ht="13.8" x14ac:dyDescent="0.2">
      <c r="B69" t="s">
        <v>37</v>
      </c>
      <c r="C69" s="21" t="s">
        <v>32</v>
      </c>
      <c r="E69">
        <v>119.2622186203424</v>
      </c>
      <c r="F69">
        <v>160.37688244778991</v>
      </c>
      <c r="G69">
        <v>93.153300331873197</v>
      </c>
      <c r="H69">
        <v>243.55853182673766</v>
      </c>
      <c r="I69">
        <v>138.10400840620864</v>
      </c>
      <c r="J69">
        <v>221.10711727366714</v>
      </c>
      <c r="K69">
        <v>187.36281844237686</v>
      </c>
      <c r="L69">
        <v>111.93682698794726</v>
      </c>
      <c r="M69">
        <v>101.15431981360921</v>
      </c>
      <c r="N69">
        <v>153.89179354733889</v>
      </c>
      <c r="O69">
        <v>105.91811667158626</v>
      </c>
      <c r="P69">
        <v>148.724859398495</v>
      </c>
    </row>
    <row r="70" spans="2:16" ht="13.8" x14ac:dyDescent="0.2">
      <c r="B70" t="s">
        <v>37</v>
      </c>
      <c r="C70" s="21" t="s">
        <v>33</v>
      </c>
      <c r="E70">
        <v>152.40032642150331</v>
      </c>
      <c r="F70">
        <v>110.65084018570531</v>
      </c>
      <c r="G70">
        <v>197.78493693085309</v>
      </c>
      <c r="H70">
        <v>145.84999838978524</v>
      </c>
      <c r="I70">
        <v>125.9398615209609</v>
      </c>
      <c r="J70">
        <v>107.58552692739335</v>
      </c>
      <c r="K70">
        <v>130.38805607187953</v>
      </c>
      <c r="L70">
        <v>162.26043473514349</v>
      </c>
      <c r="M70">
        <v>70.979533250416566</v>
      </c>
      <c r="N70">
        <v>101.84555291174891</v>
      </c>
      <c r="O70">
        <v>176.03280436862875</v>
      </c>
      <c r="P70">
        <v>137.76470529120922</v>
      </c>
    </row>
    <row r="71" spans="2:16" ht="13.8" x14ac:dyDescent="0.2">
      <c r="B71" t="s">
        <v>37</v>
      </c>
      <c r="C71" s="21" t="s">
        <v>34</v>
      </c>
      <c r="E71">
        <v>146.9901240322701</v>
      </c>
      <c r="F71">
        <v>138.95614220178402</v>
      </c>
      <c r="G71">
        <v>173.0509548139531</v>
      </c>
      <c r="H71">
        <v>127.97600253423246</v>
      </c>
      <c r="I71">
        <v>214.79406296959206</v>
      </c>
      <c r="J71">
        <v>128.0561798731004</v>
      </c>
      <c r="K71">
        <v>166.6093848302248</v>
      </c>
      <c r="L71">
        <v>186.57919086398795</v>
      </c>
      <c r="M71">
        <v>127.5537724740395</v>
      </c>
      <c r="N71">
        <v>130.12007025571498</v>
      </c>
      <c r="O71">
        <v>166.04244808346968</v>
      </c>
      <c r="P71">
        <v>151.86420371667768</v>
      </c>
    </row>
    <row r="72" spans="2:16" ht="13.8" x14ac:dyDescent="0.2">
      <c r="B72" t="s">
        <v>37</v>
      </c>
      <c r="C72" s="20" t="s">
        <v>35</v>
      </c>
    </row>
    <row r="73" spans="2:16" ht="13.8" x14ac:dyDescent="0.2">
      <c r="B73" t="s">
        <v>37</v>
      </c>
      <c r="C73" s="21" t="s">
        <v>25</v>
      </c>
      <c r="E73">
        <v>233.56773701079962</v>
      </c>
      <c r="F73">
        <v>233.02816281622941</v>
      </c>
      <c r="G73">
        <v>318.89049520794094</v>
      </c>
      <c r="H73">
        <v>228.89152469504597</v>
      </c>
      <c r="I73">
        <v>467.72541875078679</v>
      </c>
      <c r="J73">
        <v>282.16507995937837</v>
      </c>
      <c r="K73">
        <v>198.32727106910153</v>
      </c>
      <c r="L73">
        <v>377.57498379733323</v>
      </c>
      <c r="M73">
        <v>282.55723060087979</v>
      </c>
      <c r="N73">
        <v>261.07780393955994</v>
      </c>
      <c r="O73">
        <v>287.72608481268259</v>
      </c>
      <c r="P73">
        <v>447.44593594884606</v>
      </c>
    </row>
    <row r="74" spans="2:16" ht="13.8" x14ac:dyDescent="0.2">
      <c r="B74" t="s">
        <v>37</v>
      </c>
      <c r="C74" s="21" t="s">
        <v>26</v>
      </c>
      <c r="E74">
        <v>296.36925069405606</v>
      </c>
      <c r="F74">
        <v>377.55250818012138</v>
      </c>
      <c r="G74">
        <v>244.10314041589399</v>
      </c>
      <c r="H74">
        <v>310.69707677041868</v>
      </c>
      <c r="I74">
        <v>329.79185231228263</v>
      </c>
      <c r="J74">
        <v>201.88735647658527</v>
      </c>
      <c r="K74">
        <v>318.68910643912574</v>
      </c>
      <c r="L74">
        <v>339.41427082908154</v>
      </c>
      <c r="M74">
        <v>332.79875362476531</v>
      </c>
      <c r="N74">
        <v>355.9149151545779</v>
      </c>
      <c r="O74">
        <v>422.25701847746069</v>
      </c>
      <c r="P74">
        <v>475.42833477955469</v>
      </c>
    </row>
    <row r="75" spans="2:16" ht="13.8" x14ac:dyDescent="0.2">
      <c r="B75" t="s">
        <v>37</v>
      </c>
      <c r="C75" s="21" t="s">
        <v>27</v>
      </c>
      <c r="E75">
        <v>239.7261259237674</v>
      </c>
      <c r="F75">
        <v>447.92036943315128</v>
      </c>
      <c r="G75">
        <v>362.11677518031138</v>
      </c>
      <c r="H75">
        <v>209.84311050206014</v>
      </c>
      <c r="I75">
        <v>427.84627778271732</v>
      </c>
      <c r="J75">
        <v>277.25682642387659</v>
      </c>
      <c r="K75">
        <v>234.01926849457271</v>
      </c>
      <c r="L75">
        <v>190.44598099973993</v>
      </c>
      <c r="M75">
        <v>270.02614569017919</v>
      </c>
      <c r="N75">
        <v>295.75758492445181</v>
      </c>
      <c r="O75">
        <v>236.33040556603655</v>
      </c>
      <c r="P75">
        <v>399.37498186056996</v>
      </c>
    </row>
    <row r="76" spans="2:16" ht="13.8" x14ac:dyDescent="0.2">
      <c r="B76" t="s">
        <v>37</v>
      </c>
      <c r="C76" s="21" t="s">
        <v>28</v>
      </c>
      <c r="E76">
        <v>363.37982855310776</v>
      </c>
      <c r="F76">
        <v>298.13875610795162</v>
      </c>
      <c r="G76">
        <v>393.5169887024644</v>
      </c>
      <c r="H76">
        <v>353.22828457318997</v>
      </c>
      <c r="I76">
        <v>401.38428407683591</v>
      </c>
      <c r="J76">
        <v>283.89380886266616</v>
      </c>
      <c r="K76">
        <v>450.7046946156355</v>
      </c>
      <c r="L76">
        <v>373.12647195818266</v>
      </c>
      <c r="M76">
        <v>283.2343440045513</v>
      </c>
      <c r="N76">
        <v>437.34087640000456</v>
      </c>
      <c r="O76">
        <v>267.02521422313606</v>
      </c>
      <c r="P76">
        <v>292.68767822321712</v>
      </c>
    </row>
    <row r="77" spans="2:16" ht="13.8" x14ac:dyDescent="0.2">
      <c r="B77" t="s">
        <v>37</v>
      </c>
      <c r="C77" s="21" t="s">
        <v>29</v>
      </c>
      <c r="E77">
        <v>398.48511645499184</v>
      </c>
      <c r="F77">
        <v>330.10613595283144</v>
      </c>
      <c r="G77">
        <v>403.22840344679764</v>
      </c>
      <c r="H77">
        <v>226.06770891617782</v>
      </c>
      <c r="I77">
        <v>299.5167849961299</v>
      </c>
      <c r="J77">
        <v>320.25185836109205</v>
      </c>
      <c r="K77">
        <v>228.06341022179515</v>
      </c>
      <c r="L77">
        <v>339.24701422410857</v>
      </c>
      <c r="M77">
        <v>344.46891012240826</v>
      </c>
      <c r="N77">
        <v>245.19764390742804</v>
      </c>
      <c r="O77">
        <v>226.75870728251297</v>
      </c>
      <c r="P77">
        <v>302.74258098658311</v>
      </c>
    </row>
    <row r="78" spans="2:16" ht="13.8" x14ac:dyDescent="0.2">
      <c r="B78" t="s">
        <v>37</v>
      </c>
      <c r="C78" s="21" t="s">
        <v>30</v>
      </c>
      <c r="E78">
        <v>386.40844622559894</v>
      </c>
      <c r="F78">
        <v>428.49516152901805</v>
      </c>
      <c r="G78">
        <v>218.51251623724914</v>
      </c>
      <c r="H78">
        <v>459.1709709550841</v>
      </c>
      <c r="I78">
        <v>353.11537503830004</v>
      </c>
      <c r="J78">
        <v>376.59493039255585</v>
      </c>
      <c r="K78">
        <v>227.46513071996614</v>
      </c>
      <c r="L78">
        <v>360.63526010275609</v>
      </c>
      <c r="M78">
        <v>232.71681116954312</v>
      </c>
      <c r="N78">
        <v>405.28073156661782</v>
      </c>
      <c r="O78">
        <v>261.00370083165421</v>
      </c>
      <c r="P78">
        <v>241.22289855021975</v>
      </c>
    </row>
    <row r="79" spans="2:16" ht="13.8" x14ac:dyDescent="0.2">
      <c r="B79" t="s">
        <v>37</v>
      </c>
      <c r="C79" s="21" t="s">
        <v>31</v>
      </c>
      <c r="E79">
        <v>307.12839146805419</v>
      </c>
      <c r="F79">
        <v>240.50290801134483</v>
      </c>
      <c r="G79">
        <v>352.04285482583157</v>
      </c>
      <c r="H79">
        <v>342.4151176199594</v>
      </c>
      <c r="I79">
        <v>239.2574865813196</v>
      </c>
      <c r="J79">
        <v>301.11987121773859</v>
      </c>
      <c r="K79">
        <v>462.53672574408364</v>
      </c>
      <c r="L79">
        <v>381.4758802919402</v>
      </c>
      <c r="M79">
        <v>236.76132352138237</v>
      </c>
      <c r="N79">
        <v>283.05590062813553</v>
      </c>
      <c r="O79">
        <v>293.54347014082248</v>
      </c>
      <c r="P79">
        <v>262.76981984822726</v>
      </c>
    </row>
    <row r="80" spans="2:16" ht="13.8" x14ac:dyDescent="0.2">
      <c r="B80" t="s">
        <v>37</v>
      </c>
      <c r="C80" s="21" t="s">
        <v>32</v>
      </c>
      <c r="E80">
        <v>354.95997862231957</v>
      </c>
      <c r="F80">
        <v>217.29418883666102</v>
      </c>
      <c r="G80">
        <v>381.13046181549925</v>
      </c>
      <c r="H80">
        <v>316.7105420134904</v>
      </c>
      <c r="I80">
        <v>254.82708128014227</v>
      </c>
      <c r="J80">
        <v>297.14406219284058</v>
      </c>
      <c r="K80">
        <v>380.46174679159788</v>
      </c>
      <c r="L80">
        <v>196.03371039701079</v>
      </c>
      <c r="M80">
        <v>267.10344677818114</v>
      </c>
      <c r="N80">
        <v>221.23568227582112</v>
      </c>
      <c r="O80">
        <v>441.46329786546147</v>
      </c>
      <c r="P80">
        <v>372.20093435266165</v>
      </c>
    </row>
    <row r="81" spans="2:16" ht="13.8" x14ac:dyDescent="0.2">
      <c r="B81" t="s">
        <v>37</v>
      </c>
      <c r="C81" s="21" t="s">
        <v>33</v>
      </c>
      <c r="E81">
        <v>418.57231541399784</v>
      </c>
      <c r="F81">
        <v>374.91737260250642</v>
      </c>
      <c r="G81">
        <v>273.58843527852088</v>
      </c>
      <c r="H81">
        <v>418.59243468339872</v>
      </c>
      <c r="I81">
        <v>356.58039336369347</v>
      </c>
      <c r="J81">
        <v>369.76824275531294</v>
      </c>
      <c r="K81">
        <v>423.97880557628446</v>
      </c>
      <c r="L81">
        <v>252.56416611124925</v>
      </c>
      <c r="M81">
        <v>297.345678911601</v>
      </c>
      <c r="N81">
        <v>380.1289087482678</v>
      </c>
      <c r="O81">
        <v>361.91962238929091</v>
      </c>
      <c r="P81">
        <v>241.77407770002671</v>
      </c>
    </row>
    <row r="82" spans="2:16" ht="13.8" x14ac:dyDescent="0.2">
      <c r="B82" t="s">
        <v>37</v>
      </c>
      <c r="C82" s="21" t="s">
        <v>34</v>
      </c>
      <c r="E82">
        <v>402.67544185560536</v>
      </c>
      <c r="F82">
        <v>252.18001799423749</v>
      </c>
      <c r="G82">
        <v>340.26700723326451</v>
      </c>
      <c r="H82">
        <v>391.6802713112271</v>
      </c>
      <c r="I82">
        <v>283.85121225518492</v>
      </c>
      <c r="J82">
        <v>209.28679346759824</v>
      </c>
      <c r="K82">
        <v>357.13091569790345</v>
      </c>
      <c r="L82">
        <v>234.05740511685565</v>
      </c>
      <c r="M82">
        <v>460.78936072577079</v>
      </c>
      <c r="N82">
        <v>215.50130844966961</v>
      </c>
      <c r="O82">
        <v>303.61710856825283</v>
      </c>
      <c r="P82">
        <v>209.71866601141483</v>
      </c>
    </row>
    <row r="83" spans="2:16" ht="13.8" x14ac:dyDescent="0.2">
      <c r="B83" t="s">
        <v>37</v>
      </c>
      <c r="C83" s="19" t="s">
        <v>36</v>
      </c>
    </row>
    <row r="84" spans="2:16" ht="13.8" x14ac:dyDescent="0.2">
      <c r="B84" t="s">
        <v>37</v>
      </c>
      <c r="C84" s="20" t="s">
        <v>24</v>
      </c>
    </row>
    <row r="85" spans="2:16" ht="13.8" x14ac:dyDescent="0.2">
      <c r="B85" t="s">
        <v>37</v>
      </c>
      <c r="C85" s="21" t="s">
        <v>25</v>
      </c>
      <c r="E85">
        <v>110.24560243257478</v>
      </c>
      <c r="F85">
        <v>70.550390017331281</v>
      </c>
      <c r="G85">
        <v>150.50217947116991</v>
      </c>
      <c r="H85">
        <v>82.979836703320828</v>
      </c>
      <c r="I85">
        <v>161.17108051674563</v>
      </c>
      <c r="J85">
        <v>114.14722448934228</v>
      </c>
      <c r="K85">
        <v>158.24345464044151</v>
      </c>
      <c r="L85">
        <v>114.73949483679169</v>
      </c>
      <c r="M85">
        <v>167.60931514101262</v>
      </c>
      <c r="N85">
        <v>76.324412977169388</v>
      </c>
      <c r="O85">
        <v>86.379015448903658</v>
      </c>
      <c r="P85">
        <v>98.133637621570813</v>
      </c>
    </row>
    <row r="86" spans="2:16" ht="13.8" x14ac:dyDescent="0.2">
      <c r="B86" t="s">
        <v>37</v>
      </c>
      <c r="C86" s="21" t="s">
        <v>26</v>
      </c>
      <c r="E86">
        <v>158.65786425000508</v>
      </c>
      <c r="F86">
        <v>171.92931819092519</v>
      </c>
      <c r="G86">
        <v>97.097331875493637</v>
      </c>
      <c r="H86">
        <v>186.52262057236058</v>
      </c>
      <c r="I86">
        <v>102.48252600761413</v>
      </c>
      <c r="J86">
        <v>184.86747495001566</v>
      </c>
      <c r="K86">
        <v>161.91033376692147</v>
      </c>
      <c r="L86">
        <v>135.42422302305422</v>
      </c>
      <c r="M86">
        <v>139.20843691338536</v>
      </c>
      <c r="N86">
        <v>118.29538503826895</v>
      </c>
      <c r="O86">
        <v>109.53054489427286</v>
      </c>
      <c r="P86">
        <v>102.24309576389774</v>
      </c>
    </row>
    <row r="87" spans="2:16" ht="13.8" x14ac:dyDescent="0.2">
      <c r="B87" t="s">
        <v>37</v>
      </c>
      <c r="C87" s="21" t="s">
        <v>27</v>
      </c>
      <c r="E87">
        <v>104.681899817211</v>
      </c>
      <c r="F87">
        <v>229.64114756421407</v>
      </c>
      <c r="G87">
        <v>187.65316075031018</v>
      </c>
      <c r="H87">
        <v>91.298175837487577</v>
      </c>
      <c r="I87">
        <v>142.09728930694428</v>
      </c>
      <c r="J87">
        <v>160.46802426867924</v>
      </c>
      <c r="K87">
        <v>80.682821482399532</v>
      </c>
      <c r="L87">
        <v>97.321477951494046</v>
      </c>
      <c r="M87">
        <v>127.74966962274958</v>
      </c>
      <c r="N87">
        <v>200.60348460210196</v>
      </c>
      <c r="O87">
        <v>242.04740911167497</v>
      </c>
      <c r="P87">
        <v>68.92739953384924</v>
      </c>
    </row>
    <row r="88" spans="2:16" ht="13.8" x14ac:dyDescent="0.2">
      <c r="B88" t="s">
        <v>37</v>
      </c>
      <c r="C88" s="21" t="s">
        <v>28</v>
      </c>
      <c r="E88">
        <v>116.0066317806555</v>
      </c>
      <c r="F88">
        <v>113.92381064592344</v>
      </c>
      <c r="G88">
        <v>161.40121642092078</v>
      </c>
      <c r="H88">
        <v>96.395368894853505</v>
      </c>
      <c r="I88">
        <v>180.24023540350404</v>
      </c>
      <c r="J88">
        <v>133.24883734810439</v>
      </c>
      <c r="K88">
        <v>167.96427110217169</v>
      </c>
      <c r="L88">
        <v>103.71704518670364</v>
      </c>
      <c r="M88">
        <v>125.75921551729161</v>
      </c>
      <c r="N88">
        <v>84.852417736525936</v>
      </c>
      <c r="O88">
        <v>169.83605282581885</v>
      </c>
      <c r="P88">
        <v>94.363033489849684</v>
      </c>
    </row>
    <row r="89" spans="2:16" ht="13.8" x14ac:dyDescent="0.2">
      <c r="B89" t="s">
        <v>37</v>
      </c>
      <c r="C89" s="21" t="s">
        <v>29</v>
      </c>
      <c r="E89">
        <v>162.18320016030901</v>
      </c>
      <c r="F89">
        <v>128.70050991416821</v>
      </c>
      <c r="G89">
        <v>136.4300065838917</v>
      </c>
      <c r="H89">
        <v>108.0087194272124</v>
      </c>
      <c r="I89">
        <v>106.15455879403521</v>
      </c>
      <c r="J89">
        <v>139.0806426901986</v>
      </c>
      <c r="K89">
        <v>105.65938678895988</v>
      </c>
      <c r="L89">
        <v>83.507914901781518</v>
      </c>
      <c r="M89">
        <v>189.96868905308276</v>
      </c>
      <c r="N89">
        <v>105.66410263260401</v>
      </c>
      <c r="O89">
        <v>147.21962268209671</v>
      </c>
      <c r="P89">
        <v>77.110915988208404</v>
      </c>
    </row>
    <row r="90" spans="2:16" ht="13.8" x14ac:dyDescent="0.2">
      <c r="B90" t="s">
        <v>37</v>
      </c>
      <c r="C90" s="21" t="s">
        <v>30</v>
      </c>
      <c r="E90">
        <v>116.08908682900484</v>
      </c>
      <c r="F90">
        <v>100.1882461749837</v>
      </c>
      <c r="G90">
        <v>152.12632929930024</v>
      </c>
      <c r="H90">
        <v>238.15223513696597</v>
      </c>
      <c r="I90">
        <v>176.75191353790058</v>
      </c>
      <c r="J90">
        <v>197.87277041700622</v>
      </c>
      <c r="K90">
        <v>238.50447680488776</v>
      </c>
      <c r="L90">
        <v>176.55741206631166</v>
      </c>
      <c r="M90">
        <v>168.60722450429066</v>
      </c>
      <c r="N90">
        <v>188.03649031531592</v>
      </c>
      <c r="O90">
        <v>98.575409623975986</v>
      </c>
      <c r="P90">
        <v>214.88652781962546</v>
      </c>
    </row>
    <row r="91" spans="2:16" ht="13.8" x14ac:dyDescent="0.2">
      <c r="B91" t="s">
        <v>37</v>
      </c>
      <c r="C91" s="21" t="s">
        <v>31</v>
      </c>
      <c r="E91">
        <v>132.104074864501</v>
      </c>
      <c r="F91">
        <v>84.745983539852688</v>
      </c>
      <c r="G91">
        <v>112.24188132497906</v>
      </c>
      <c r="H91">
        <v>141.68019569298937</v>
      </c>
      <c r="I91">
        <v>222.11774209627183</v>
      </c>
      <c r="J91">
        <v>59.412662408035949</v>
      </c>
      <c r="K91">
        <v>211.32666803572224</v>
      </c>
      <c r="L91">
        <v>146.19826989042434</v>
      </c>
      <c r="M91">
        <v>187.17731025682096</v>
      </c>
      <c r="N91">
        <v>127.5292402807534</v>
      </c>
      <c r="O91">
        <v>155.38414141335002</v>
      </c>
      <c r="P91">
        <v>116.11909806214173</v>
      </c>
    </row>
    <row r="92" spans="2:16" ht="13.8" x14ac:dyDescent="0.2">
      <c r="B92" t="s">
        <v>37</v>
      </c>
      <c r="C92" s="21" t="s">
        <v>32</v>
      </c>
      <c r="E92">
        <v>153.43815850791182</v>
      </c>
      <c r="F92">
        <v>131.11162310477476</v>
      </c>
      <c r="G92">
        <v>173.67684369643473</v>
      </c>
      <c r="H92">
        <v>120.28916735430336</v>
      </c>
      <c r="I92">
        <v>89.623254576971476</v>
      </c>
      <c r="J92">
        <v>199.4327769706079</v>
      </c>
      <c r="K92">
        <v>125.06550327695059</v>
      </c>
      <c r="L92">
        <v>96.272190101677353</v>
      </c>
      <c r="M92">
        <v>99.341160321376222</v>
      </c>
      <c r="N92">
        <v>154.48914076973338</v>
      </c>
      <c r="O92">
        <v>145.65671643060631</v>
      </c>
      <c r="P92">
        <v>161.66696668675721</v>
      </c>
    </row>
    <row r="93" spans="2:16" ht="13.8" x14ac:dyDescent="0.2">
      <c r="B93" t="s">
        <v>37</v>
      </c>
      <c r="C93" s="21" t="s">
        <v>33</v>
      </c>
      <c r="E93">
        <v>150.55237769673275</v>
      </c>
      <c r="F93">
        <v>63.85505574082454</v>
      </c>
      <c r="G93">
        <v>170.9799366579816</v>
      </c>
      <c r="H93">
        <v>169.51666886123331</v>
      </c>
      <c r="I93">
        <v>132.36533251860436</v>
      </c>
      <c r="J93">
        <v>165.11361756925797</v>
      </c>
      <c r="K93">
        <v>132.02131003627889</v>
      </c>
      <c r="L93">
        <v>121.9823420164105</v>
      </c>
      <c r="M93">
        <v>131.41468585405809</v>
      </c>
      <c r="N93">
        <v>138.63648587390662</v>
      </c>
      <c r="O93">
        <v>73.443918922040226</v>
      </c>
      <c r="P93">
        <v>192.43554364781383</v>
      </c>
    </row>
    <row r="94" spans="2:16" ht="13.8" x14ac:dyDescent="0.2">
      <c r="B94" t="s">
        <v>37</v>
      </c>
      <c r="C94" s="21" t="s">
        <v>34</v>
      </c>
      <c r="E94">
        <v>114.56802073226966</v>
      </c>
      <c r="F94">
        <v>110.45918171477227</v>
      </c>
      <c r="G94">
        <v>86.027002185130584</v>
      </c>
      <c r="H94">
        <v>149.17017624387842</v>
      </c>
      <c r="I94">
        <v>130.96316713181801</v>
      </c>
      <c r="J94">
        <v>216.31173297498</v>
      </c>
      <c r="K94">
        <v>92.929321528168586</v>
      </c>
      <c r="L94">
        <v>144.96255651477119</v>
      </c>
      <c r="M94">
        <v>184.78089568536254</v>
      </c>
      <c r="N94">
        <v>115.99826445341331</v>
      </c>
      <c r="O94">
        <v>143.31835717389333</v>
      </c>
      <c r="P94">
        <v>141.16354916163249</v>
      </c>
    </row>
    <row r="95" spans="2:16" ht="13.8" x14ac:dyDescent="0.2">
      <c r="B95" t="s">
        <v>37</v>
      </c>
      <c r="C95" s="20" t="s">
        <v>35</v>
      </c>
    </row>
    <row r="96" spans="2:16" ht="13.8" x14ac:dyDescent="0.2">
      <c r="B96" t="s">
        <v>37</v>
      </c>
      <c r="C96" s="21" t="s">
        <v>25</v>
      </c>
      <c r="E96">
        <v>223.48755416548013</v>
      </c>
      <c r="F96">
        <v>367.00628298600526</v>
      </c>
      <c r="G96">
        <v>245.16556626489137</v>
      </c>
      <c r="H96">
        <v>272.39348753916477</v>
      </c>
      <c r="I96">
        <v>299.43411691298962</v>
      </c>
      <c r="J96">
        <v>231.60817712241172</v>
      </c>
      <c r="K96">
        <v>316.23310857931256</v>
      </c>
      <c r="L96">
        <v>323.68094180319395</v>
      </c>
      <c r="M96">
        <v>391.79316782837174</v>
      </c>
      <c r="N96">
        <v>397.15269769694811</v>
      </c>
      <c r="O96">
        <v>269.47386952796364</v>
      </c>
      <c r="P96">
        <v>369.09319972113428</v>
      </c>
    </row>
    <row r="97" spans="2:16" ht="13.8" x14ac:dyDescent="0.2">
      <c r="B97" t="s">
        <v>37</v>
      </c>
      <c r="C97" s="21" t="s">
        <v>26</v>
      </c>
      <c r="E97">
        <v>220.75437383763494</v>
      </c>
      <c r="F97">
        <v>332.01055455048669</v>
      </c>
      <c r="G97">
        <v>373.36563264070071</v>
      </c>
      <c r="H97">
        <v>310.09545518315235</v>
      </c>
      <c r="I97">
        <v>373.72938029449352</v>
      </c>
      <c r="J97">
        <v>398.19292582063628</v>
      </c>
      <c r="K97">
        <v>216.75885410384009</v>
      </c>
      <c r="L97">
        <v>333.16941991598736</v>
      </c>
      <c r="M97">
        <v>233.89640996630652</v>
      </c>
      <c r="N97">
        <v>334.00046594742565</v>
      </c>
      <c r="O97">
        <v>287.351379940215</v>
      </c>
      <c r="P97">
        <v>336.90525473777666</v>
      </c>
    </row>
    <row r="98" spans="2:16" ht="13.8" x14ac:dyDescent="0.2">
      <c r="B98" t="s">
        <v>37</v>
      </c>
      <c r="C98" s="21" t="s">
        <v>27</v>
      </c>
      <c r="E98">
        <v>362.40548916094679</v>
      </c>
      <c r="F98">
        <v>340.38037717894417</v>
      </c>
      <c r="G98">
        <v>245.21438230915004</v>
      </c>
      <c r="H98">
        <v>368.44079900882099</v>
      </c>
      <c r="I98">
        <v>302.03386003931411</v>
      </c>
      <c r="J98">
        <v>287.67290831602077</v>
      </c>
      <c r="K98">
        <v>337.37101564119456</v>
      </c>
      <c r="L98">
        <v>392.74683188785252</v>
      </c>
      <c r="M98">
        <v>331.53892158010495</v>
      </c>
      <c r="N98">
        <v>441.56185179912177</v>
      </c>
      <c r="O98">
        <v>363.55772847107755</v>
      </c>
      <c r="P98">
        <v>232.44321987509252</v>
      </c>
    </row>
    <row r="99" spans="2:16" ht="13.8" x14ac:dyDescent="0.2">
      <c r="B99" t="s">
        <v>37</v>
      </c>
      <c r="C99" s="21" t="s">
        <v>28</v>
      </c>
      <c r="E99">
        <v>274.20530832890904</v>
      </c>
      <c r="F99">
        <v>283.82757496261189</v>
      </c>
      <c r="G99">
        <v>362.56029872914218</v>
      </c>
      <c r="H99">
        <v>301.98073292704555</v>
      </c>
      <c r="I99">
        <v>242.57203717576292</v>
      </c>
      <c r="J99">
        <v>350.79700201808458</v>
      </c>
      <c r="K99">
        <v>491.1390136557967</v>
      </c>
      <c r="L99">
        <v>390.94673556801558</v>
      </c>
      <c r="M99">
        <v>417.22450782591301</v>
      </c>
      <c r="N99">
        <v>239.30873800600216</v>
      </c>
      <c r="O99">
        <v>454.89163116374766</v>
      </c>
      <c r="P99">
        <v>425.28714084152148</v>
      </c>
    </row>
    <row r="100" spans="2:16" ht="13.8" x14ac:dyDescent="0.2">
      <c r="B100" t="s">
        <v>37</v>
      </c>
      <c r="C100" s="21" t="s">
        <v>29</v>
      </c>
      <c r="E100">
        <v>383.94012013875647</v>
      </c>
      <c r="F100">
        <v>260.56370446170195</v>
      </c>
      <c r="G100">
        <v>216.95155572901862</v>
      </c>
      <c r="H100">
        <v>247.75107819190114</v>
      </c>
      <c r="I100">
        <v>317.80235438061959</v>
      </c>
      <c r="J100">
        <v>444.8258660311879</v>
      </c>
      <c r="K100">
        <v>262.80319422503555</v>
      </c>
      <c r="L100">
        <v>277.58664022347978</v>
      </c>
      <c r="M100">
        <v>194.59551528059086</v>
      </c>
      <c r="N100">
        <v>360.63034814684289</v>
      </c>
      <c r="O100">
        <v>400.58220816934613</v>
      </c>
      <c r="P100">
        <v>382.21264392602149</v>
      </c>
    </row>
    <row r="101" spans="2:16" ht="13.8" x14ac:dyDescent="0.2">
      <c r="B101" t="s">
        <v>37</v>
      </c>
      <c r="C101" s="21" t="s">
        <v>30</v>
      </c>
      <c r="E101">
        <v>277.41049791430248</v>
      </c>
      <c r="F101">
        <v>407.82913502626997</v>
      </c>
      <c r="G101">
        <v>363.92807482834621</v>
      </c>
      <c r="H101">
        <v>308.98676154375056</v>
      </c>
      <c r="I101">
        <v>311.47952653367992</v>
      </c>
      <c r="J101">
        <v>416.62933555046425</v>
      </c>
      <c r="K101">
        <v>290.65110187711707</v>
      </c>
      <c r="L101">
        <v>417.20636349598942</v>
      </c>
      <c r="M101">
        <v>256.04643182904528</v>
      </c>
      <c r="N101">
        <v>269.89599958220344</v>
      </c>
      <c r="O101">
        <v>358.21965288548131</v>
      </c>
      <c r="P101">
        <v>350.03254946946981</v>
      </c>
    </row>
    <row r="102" spans="2:16" ht="13.8" x14ac:dyDescent="0.2">
      <c r="B102" t="s">
        <v>37</v>
      </c>
      <c r="C102" s="21" t="s">
        <v>31</v>
      </c>
      <c r="E102">
        <v>280.27467393944482</v>
      </c>
      <c r="F102">
        <v>361.15897559272804</v>
      </c>
      <c r="G102">
        <v>272.06657239157568</v>
      </c>
      <c r="H102">
        <v>198.17072609712085</v>
      </c>
      <c r="I102">
        <v>373.28576578328648</v>
      </c>
      <c r="J102">
        <v>354.67830364476885</v>
      </c>
      <c r="K102">
        <v>246.17602991239923</v>
      </c>
      <c r="L102">
        <v>323.34202808380712</v>
      </c>
      <c r="M102">
        <v>451.34742970597904</v>
      </c>
      <c r="N102">
        <v>323.05931734517213</v>
      </c>
      <c r="O102">
        <v>478.35765894843223</v>
      </c>
      <c r="P102">
        <v>323.41817697387063</v>
      </c>
    </row>
    <row r="103" spans="2:16" ht="13.8" x14ac:dyDescent="0.2">
      <c r="B103" t="s">
        <v>37</v>
      </c>
      <c r="C103" s="29" t="s">
        <v>32</v>
      </c>
      <c r="E103">
        <v>252.69376623957439</v>
      </c>
      <c r="F103">
        <v>396.64311711291606</v>
      </c>
      <c r="G103">
        <v>339.72049133371763</v>
      </c>
      <c r="H103">
        <v>323.37559176576184</v>
      </c>
      <c r="I103">
        <v>428.48485665345203</v>
      </c>
      <c r="J103">
        <v>251.89098691379715</v>
      </c>
      <c r="K103">
        <v>235.60291307537932</v>
      </c>
      <c r="L103">
        <v>223.38720199699981</v>
      </c>
      <c r="M103">
        <v>466.18382440450858</v>
      </c>
      <c r="N103">
        <v>335.53484752597734</v>
      </c>
      <c r="O103">
        <v>465.8139129524522</v>
      </c>
      <c r="P103">
        <v>394.77243314263518</v>
      </c>
    </row>
    <row r="104" spans="2:16" ht="13.8" x14ac:dyDescent="0.2">
      <c r="B104" t="s">
        <v>37</v>
      </c>
      <c r="C104" s="21" t="s">
        <v>33</v>
      </c>
      <c r="E104">
        <v>318.3508366559098</v>
      </c>
      <c r="F104">
        <v>408.78006606001145</v>
      </c>
      <c r="G104">
        <v>231.85058874495476</v>
      </c>
      <c r="H104">
        <v>218.49287993737929</v>
      </c>
      <c r="I104">
        <v>227.12061101046439</v>
      </c>
      <c r="J104">
        <v>235.25717801655708</v>
      </c>
      <c r="K104">
        <v>212.4416597446716</v>
      </c>
      <c r="L104">
        <v>394.27431303599701</v>
      </c>
      <c r="M104">
        <v>399.01795037012977</v>
      </c>
      <c r="N104">
        <v>467.22358315269202</v>
      </c>
      <c r="O104">
        <v>295.86521305704366</v>
      </c>
      <c r="P104">
        <v>426.05945301181617</v>
      </c>
    </row>
    <row r="105" spans="2:16" ht="13.8" x14ac:dyDescent="0.2">
      <c r="B105" t="s">
        <v>37</v>
      </c>
      <c r="C105" s="21" t="s">
        <v>34</v>
      </c>
      <c r="E105">
        <v>263.19074174265546</v>
      </c>
      <c r="F105">
        <v>252.09291778925714</v>
      </c>
      <c r="G105">
        <v>235.54960363806049</v>
      </c>
      <c r="H105">
        <v>283.00354027679151</v>
      </c>
      <c r="I105">
        <v>388.80970980654536</v>
      </c>
      <c r="J105">
        <v>217.68588971843965</v>
      </c>
      <c r="K105">
        <v>206.97946513079964</v>
      </c>
      <c r="L105">
        <v>253.02026807412511</v>
      </c>
      <c r="M105">
        <v>238.38767948662621</v>
      </c>
      <c r="N105">
        <v>256.54602558334403</v>
      </c>
      <c r="O105">
        <v>441.50403672570479</v>
      </c>
      <c r="P105">
        <v>375.41861805546432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Задание</vt:lpstr>
      <vt:lpstr>Фин.результат</vt:lpstr>
      <vt:lpstr>Исходные данные→</vt:lpstr>
      <vt:lpstr>продажи натураль.</vt:lpstr>
      <vt:lpstr>цены 1 полуг</vt:lpstr>
      <vt:lpstr>цены 2 полуг</vt:lpstr>
      <vt:lpstr>Расходы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Rumyantseva | SP</dc:creator>
  <cp:lastModifiedBy>Сергей Антоневич</cp:lastModifiedBy>
  <dcterms:created xsi:type="dcterms:W3CDTF">2022-11-08T15:24:12Z</dcterms:created>
  <dcterms:modified xsi:type="dcterms:W3CDTF">2026-03-11T19:18:11Z</dcterms:modified>
</cp:coreProperties>
</file>